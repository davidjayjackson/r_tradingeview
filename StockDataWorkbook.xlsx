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Owner\Documents\r_tradingeview\"/>
    </mc:Choice>
  </mc:AlternateContent>
  <xr:revisionPtr revIDLastSave="0" documentId="13_ncr:1_{AB80952F-208D-4467-8C6C-75C2C4E7B7C2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Master" sheetId="1" r:id="rId1"/>
    <sheet name="CRGY" sheetId="2" r:id="rId2"/>
    <sheet name="LFST" sheetId="3" r:id="rId3"/>
    <sheet name="NG" sheetId="11" r:id="rId4"/>
    <sheet name="BGC" sheetId="10" r:id="rId5"/>
    <sheet name="ONDS" sheetId="12" r:id="rId6"/>
    <sheet name="VNET" sheetId="4" r:id="rId7"/>
    <sheet name="IBRX" sheetId="5" r:id="rId8"/>
    <sheet name="PAYO" sheetId="6" r:id="rId9"/>
    <sheet name="BULL" sheetId="7" r:id="rId10"/>
    <sheet name="IEP" sheetId="8" r:id="rId11"/>
    <sheet name="GBTG" sheetId="9" r:id="rId12"/>
    <sheet name="TMC" sheetId="13" r:id="rId13"/>
    <sheet name="FOLD" sheetId="14" r:id="rId14"/>
    <sheet name="NUVB" sheetId="15" r:id="rId15"/>
  </sheets>
  <externalReferences>
    <externalReference r:id="rId1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5" l="1"/>
  <c r="A1" i="14"/>
  <c r="A1" i="13"/>
  <c r="A2" i="2" a="1"/>
  <c r="A2" i="12" a="1"/>
  <c r="A2" i="10" a="1"/>
  <c r="A1" i="8" a="1"/>
  <c r="A1" i="4" a="1"/>
  <c r="A1" i="6" a="1"/>
  <c r="A2" i="11" a="1"/>
  <c r="A1" i="9" a="1"/>
  <c r="A1" i="7" a="1"/>
  <c r="A1" i="5" a="1"/>
  <c r="A2" i="3" a="1"/>
  <c r="F150" i="2" l="1"/>
  <c r="F56" i="2"/>
  <c r="F57" i="2"/>
  <c r="F65" i="2"/>
  <c r="F73" i="2"/>
  <c r="F81" i="2"/>
  <c r="F89" i="2"/>
  <c r="F97" i="2"/>
  <c r="F105" i="2"/>
  <c r="F113" i="2"/>
  <c r="F121" i="2"/>
  <c r="F129" i="2"/>
  <c r="F137" i="2"/>
  <c r="F145" i="2"/>
  <c r="F153" i="2"/>
  <c r="F161" i="2"/>
  <c r="F169" i="2"/>
  <c r="F177" i="2"/>
  <c r="F185" i="2"/>
  <c r="F193" i="2"/>
  <c r="F201" i="2"/>
  <c r="F209" i="2"/>
  <c r="F217" i="2"/>
  <c r="F225" i="2"/>
  <c r="F233" i="2"/>
  <c r="F58" i="2"/>
  <c r="F66" i="2"/>
  <c r="F74" i="2"/>
  <c r="F82" i="2"/>
  <c r="F90" i="2"/>
  <c r="F98" i="2"/>
  <c r="F106" i="2"/>
  <c r="F114" i="2"/>
  <c r="F122" i="2"/>
  <c r="F130" i="2"/>
  <c r="F138" i="2"/>
  <c r="F146" i="2"/>
  <c r="F154" i="2"/>
  <c r="F162" i="2"/>
  <c r="F170" i="2"/>
  <c r="F178" i="2"/>
  <c r="F186" i="2"/>
  <c r="F194" i="2"/>
  <c r="F202" i="2"/>
  <c r="F210" i="2"/>
  <c r="F218" i="2"/>
  <c r="F226" i="2"/>
  <c r="F234" i="2"/>
  <c r="F59" i="2"/>
  <c r="F67" i="2"/>
  <c r="F75" i="2"/>
  <c r="F83" i="2"/>
  <c r="F91" i="2"/>
  <c r="F99" i="2"/>
  <c r="F107" i="2"/>
  <c r="F115" i="2"/>
  <c r="F123" i="2"/>
  <c r="F131" i="2"/>
  <c r="F139" i="2"/>
  <c r="F147" i="2"/>
  <c r="F155" i="2"/>
  <c r="F163" i="2"/>
  <c r="F171" i="2"/>
  <c r="F179" i="2"/>
  <c r="F187" i="2"/>
  <c r="F195" i="2"/>
  <c r="F203" i="2"/>
  <c r="F211" i="2"/>
  <c r="F219" i="2"/>
  <c r="F227" i="2"/>
  <c r="F235" i="2"/>
  <c r="F54" i="2"/>
  <c r="F62" i="2"/>
  <c r="F70" i="2"/>
  <c r="F78" i="2"/>
  <c r="F86" i="2"/>
  <c r="F94" i="2"/>
  <c r="F102" i="2"/>
  <c r="F110" i="2"/>
  <c r="F118" i="2"/>
  <c r="F126" i="2"/>
  <c r="F134" i="2"/>
  <c r="F142" i="2"/>
  <c r="F158" i="2"/>
  <c r="F174" i="2"/>
  <c r="F190" i="2"/>
  <c r="F198" i="2"/>
  <c r="F166" i="2"/>
  <c r="F60" i="2"/>
  <c r="F68" i="2"/>
  <c r="F76" i="2"/>
  <c r="F84" i="2"/>
  <c r="F92" i="2"/>
  <c r="F100" i="2"/>
  <c r="F108" i="2"/>
  <c r="F116" i="2"/>
  <c r="F124" i="2"/>
  <c r="F132" i="2"/>
  <c r="F140" i="2"/>
  <c r="F148" i="2"/>
  <c r="F156" i="2"/>
  <c r="F164" i="2"/>
  <c r="F172" i="2"/>
  <c r="F180" i="2"/>
  <c r="F188" i="2"/>
  <c r="F196" i="2"/>
  <c r="F204" i="2"/>
  <c r="F212" i="2"/>
  <c r="F220" i="2"/>
  <c r="F228" i="2"/>
  <c r="F236" i="2"/>
  <c r="F53" i="2"/>
  <c r="F61" i="2"/>
  <c r="F69" i="2"/>
  <c r="F77" i="2"/>
  <c r="F85" i="2"/>
  <c r="F93" i="2"/>
  <c r="F101" i="2"/>
  <c r="F109" i="2"/>
  <c r="F117" i="2"/>
  <c r="F125" i="2"/>
  <c r="F133" i="2"/>
  <c r="F141" i="2"/>
  <c r="F149" i="2"/>
  <c r="F157" i="2"/>
  <c r="F165" i="2"/>
  <c r="F173" i="2"/>
  <c r="F181" i="2"/>
  <c r="F189" i="2"/>
  <c r="F197" i="2"/>
  <c r="F205" i="2"/>
  <c r="F213" i="2"/>
  <c r="F221" i="2"/>
  <c r="F229" i="2"/>
  <c r="F182" i="2"/>
  <c r="F206" i="2"/>
  <c r="F222" i="2"/>
  <c r="F230" i="2"/>
  <c r="F55" i="2"/>
  <c r="F215" i="2"/>
  <c r="F63" i="2"/>
  <c r="F95" i="2"/>
  <c r="F127" i="2"/>
  <c r="F159" i="2"/>
  <c r="F191" i="2"/>
  <c r="F216" i="2"/>
  <c r="F96" i="2"/>
  <c r="F128" i="2"/>
  <c r="F160" i="2"/>
  <c r="F223" i="2"/>
  <c r="F152" i="2"/>
  <c r="F64" i="2"/>
  <c r="F192" i="2"/>
  <c r="F71" i="2"/>
  <c r="F103" i="2"/>
  <c r="F135" i="2"/>
  <c r="F167" i="2"/>
  <c r="F199" i="2"/>
  <c r="F224" i="2"/>
  <c r="F111" i="2"/>
  <c r="F175" i="2"/>
  <c r="F232" i="2"/>
  <c r="F80" i="2"/>
  <c r="F176" i="2"/>
  <c r="F87" i="2"/>
  <c r="F151" i="2"/>
  <c r="F214" i="2"/>
  <c r="F88" i="2"/>
  <c r="F120" i="2"/>
  <c r="F184" i="2"/>
  <c r="F72" i="2"/>
  <c r="F104" i="2"/>
  <c r="F136" i="2"/>
  <c r="F168" i="2"/>
  <c r="F200" i="2"/>
  <c r="F231" i="2"/>
  <c r="F79" i="2"/>
  <c r="F143" i="2"/>
  <c r="F207" i="2"/>
  <c r="F112" i="2"/>
  <c r="F144" i="2"/>
  <c r="F208" i="2"/>
  <c r="F119" i="2"/>
  <c r="F183" i="2"/>
  <c r="F52" i="2"/>
  <c r="E53" i="2"/>
  <c r="E61" i="2"/>
  <c r="E69" i="2"/>
  <c r="E77" i="2"/>
  <c r="E85" i="2"/>
  <c r="E93" i="2"/>
  <c r="E101" i="2"/>
  <c r="E109" i="2"/>
  <c r="E117" i="2"/>
  <c r="E125" i="2"/>
  <c r="E133" i="2"/>
  <c r="E141" i="2"/>
  <c r="E149" i="2"/>
  <c r="E157" i="2"/>
  <c r="E165" i="2"/>
  <c r="E173" i="2"/>
  <c r="E181" i="2"/>
  <c r="E189" i="2"/>
  <c r="E197" i="2"/>
  <c r="E205" i="2"/>
  <c r="E213" i="2"/>
  <c r="E221" i="2"/>
  <c r="E229" i="2"/>
  <c r="E54" i="2"/>
  <c r="E62" i="2"/>
  <c r="E70" i="2"/>
  <c r="E78" i="2"/>
  <c r="E86" i="2"/>
  <c r="E94" i="2"/>
  <c r="E102" i="2"/>
  <c r="E110" i="2"/>
  <c r="E118" i="2"/>
  <c r="E126" i="2"/>
  <c r="E134" i="2"/>
  <c r="E142" i="2"/>
  <c r="E150" i="2"/>
  <c r="E158" i="2"/>
  <c r="E166" i="2"/>
  <c r="E174" i="2"/>
  <c r="E182" i="2"/>
  <c r="E190" i="2"/>
  <c r="E198" i="2"/>
  <c r="E206" i="2"/>
  <c r="E214" i="2"/>
  <c r="E222" i="2"/>
  <c r="E230" i="2"/>
  <c r="E55" i="2"/>
  <c r="E63" i="2"/>
  <c r="E71" i="2"/>
  <c r="E79" i="2"/>
  <c r="E87" i="2"/>
  <c r="E95" i="2"/>
  <c r="E103" i="2"/>
  <c r="E111" i="2"/>
  <c r="E119" i="2"/>
  <c r="E127" i="2"/>
  <c r="E135" i="2"/>
  <c r="E143" i="2"/>
  <c r="E151" i="2"/>
  <c r="E159" i="2"/>
  <c r="E167" i="2"/>
  <c r="E175" i="2"/>
  <c r="E183" i="2"/>
  <c r="E191" i="2"/>
  <c r="E199" i="2"/>
  <c r="E207" i="2"/>
  <c r="E215" i="2"/>
  <c r="E223" i="2"/>
  <c r="E231" i="2"/>
  <c r="E56" i="2"/>
  <c r="E64" i="2"/>
  <c r="E72" i="2"/>
  <c r="E80" i="2"/>
  <c r="E88" i="2"/>
  <c r="E96" i="2"/>
  <c r="E104" i="2"/>
  <c r="E112" i="2"/>
  <c r="E120" i="2"/>
  <c r="E128" i="2"/>
  <c r="E136" i="2"/>
  <c r="E144" i="2"/>
  <c r="E152" i="2"/>
  <c r="E160" i="2"/>
  <c r="E168" i="2"/>
  <c r="E176" i="2"/>
  <c r="E184" i="2"/>
  <c r="E192" i="2"/>
  <c r="E200" i="2"/>
  <c r="E208" i="2"/>
  <c r="E216" i="2"/>
  <c r="E224" i="2"/>
  <c r="E232" i="2"/>
  <c r="E57" i="2"/>
  <c r="E65" i="2"/>
  <c r="E73" i="2"/>
  <c r="E81" i="2"/>
  <c r="E89" i="2"/>
  <c r="E97" i="2"/>
  <c r="E105" i="2"/>
  <c r="E113" i="2"/>
  <c r="E121" i="2"/>
  <c r="E129" i="2"/>
  <c r="E137" i="2"/>
  <c r="E153" i="2"/>
  <c r="E169" i="2"/>
  <c r="E209" i="2"/>
  <c r="E58" i="2"/>
  <c r="E66" i="2"/>
  <c r="E74" i="2"/>
  <c r="E82" i="2"/>
  <c r="E90" i="2"/>
  <c r="E98" i="2"/>
  <c r="E106" i="2"/>
  <c r="E114" i="2"/>
  <c r="E122" i="2"/>
  <c r="E130" i="2"/>
  <c r="E138" i="2"/>
  <c r="E146" i="2"/>
  <c r="E154" i="2"/>
  <c r="E162" i="2"/>
  <c r="E170" i="2"/>
  <c r="E178" i="2"/>
  <c r="E186" i="2"/>
  <c r="E194" i="2"/>
  <c r="E202" i="2"/>
  <c r="E210" i="2"/>
  <c r="E218" i="2"/>
  <c r="E226" i="2"/>
  <c r="E234" i="2"/>
  <c r="E227" i="2"/>
  <c r="E68" i="2"/>
  <c r="E76" i="2"/>
  <c r="E92" i="2"/>
  <c r="E108" i="2"/>
  <c r="E124" i="2"/>
  <c r="E140" i="2"/>
  <c r="E156" i="2"/>
  <c r="E180" i="2"/>
  <c r="E188" i="2"/>
  <c r="E212" i="2"/>
  <c r="E228" i="2"/>
  <c r="E145" i="2"/>
  <c r="E185" i="2"/>
  <c r="E193" i="2"/>
  <c r="E217" i="2"/>
  <c r="E233" i="2"/>
  <c r="E59" i="2"/>
  <c r="E67" i="2"/>
  <c r="E75" i="2"/>
  <c r="E83" i="2"/>
  <c r="E91" i="2"/>
  <c r="E99" i="2"/>
  <c r="E107" i="2"/>
  <c r="E115" i="2"/>
  <c r="E123" i="2"/>
  <c r="E131" i="2"/>
  <c r="E139" i="2"/>
  <c r="E147" i="2"/>
  <c r="E155" i="2"/>
  <c r="E163" i="2"/>
  <c r="E171" i="2"/>
  <c r="E179" i="2"/>
  <c r="E187" i="2"/>
  <c r="E195" i="2"/>
  <c r="E203" i="2"/>
  <c r="E211" i="2"/>
  <c r="E219" i="2"/>
  <c r="E235" i="2"/>
  <c r="E60" i="2"/>
  <c r="E84" i="2"/>
  <c r="E100" i="2"/>
  <c r="E116" i="2"/>
  <c r="E132" i="2"/>
  <c r="E148" i="2"/>
  <c r="E164" i="2"/>
  <c r="E172" i="2"/>
  <c r="E196" i="2"/>
  <c r="E204" i="2"/>
  <c r="E220" i="2"/>
  <c r="E236" i="2"/>
  <c r="E161" i="2"/>
  <c r="E177" i="2"/>
  <c r="E201" i="2"/>
  <c r="E225" i="2"/>
  <c r="E52" i="2"/>
  <c r="A2" i="2"/>
  <c r="A2" i="12"/>
  <c r="A2" i="10"/>
  <c r="A2" i="11"/>
  <c r="A2" i="3"/>
  <c r="A1" i="9"/>
  <c r="A1" i="8"/>
  <c r="A1" i="7"/>
  <c r="A1" i="6"/>
  <c r="A1" i="5"/>
  <c r="D3" i="4"/>
  <c r="D11" i="4"/>
  <c r="D19" i="4"/>
  <c r="D27" i="4"/>
  <c r="D35" i="4"/>
  <c r="D43" i="4"/>
  <c r="D51" i="4"/>
  <c r="D59" i="4"/>
  <c r="D67" i="4"/>
  <c r="D75" i="4"/>
  <c r="D83" i="4"/>
  <c r="D91" i="4"/>
  <c r="D99" i="4"/>
  <c r="D107" i="4"/>
  <c r="D115" i="4"/>
  <c r="D123" i="4"/>
  <c r="D131" i="4"/>
  <c r="D139" i="4"/>
  <c r="D147" i="4"/>
  <c r="D155" i="4"/>
  <c r="D163" i="4"/>
  <c r="D171" i="4"/>
  <c r="D179" i="4"/>
  <c r="D187" i="4"/>
  <c r="D195" i="4"/>
  <c r="D203" i="4"/>
  <c r="D211" i="4"/>
  <c r="D219" i="4"/>
  <c r="D227" i="4"/>
  <c r="D137" i="4"/>
  <c r="D42" i="4"/>
  <c r="D114" i="4"/>
  <c r="D178" i="4"/>
  <c r="D4" i="4"/>
  <c r="D12" i="4"/>
  <c r="D20" i="4"/>
  <c r="D28" i="4"/>
  <c r="D36" i="4"/>
  <c r="D44" i="4"/>
  <c r="D52" i="4"/>
  <c r="D60" i="4"/>
  <c r="D68" i="4"/>
  <c r="D76" i="4"/>
  <c r="D84" i="4"/>
  <c r="D92" i="4"/>
  <c r="D100" i="4"/>
  <c r="D108" i="4"/>
  <c r="D116" i="4"/>
  <c r="D124" i="4"/>
  <c r="D132" i="4"/>
  <c r="D140" i="4"/>
  <c r="D148" i="4"/>
  <c r="D156" i="4"/>
  <c r="D164" i="4"/>
  <c r="D172" i="4"/>
  <c r="D180" i="4"/>
  <c r="D188" i="4"/>
  <c r="D196" i="4"/>
  <c r="D204" i="4"/>
  <c r="D212" i="4"/>
  <c r="D220" i="4"/>
  <c r="D228" i="4"/>
  <c r="D41" i="4"/>
  <c r="D105" i="4"/>
  <c r="D169" i="4"/>
  <c r="D201" i="4"/>
  <c r="D233" i="4"/>
  <c r="D26" i="4"/>
  <c r="D66" i="4"/>
  <c r="D98" i="4"/>
  <c r="D122" i="4"/>
  <c r="D146" i="4"/>
  <c r="D202" i="4"/>
  <c r="D5" i="4"/>
  <c r="D13" i="4"/>
  <c r="D21" i="4"/>
  <c r="D29" i="4"/>
  <c r="D37" i="4"/>
  <c r="D45" i="4"/>
  <c r="D53" i="4"/>
  <c r="D61" i="4"/>
  <c r="D69" i="4"/>
  <c r="D77" i="4"/>
  <c r="D85" i="4"/>
  <c r="D93" i="4"/>
  <c r="D101" i="4"/>
  <c r="D109" i="4"/>
  <c r="D117" i="4"/>
  <c r="D125" i="4"/>
  <c r="D133" i="4"/>
  <c r="D141" i="4"/>
  <c r="D149" i="4"/>
  <c r="D157" i="4"/>
  <c r="D165" i="4"/>
  <c r="D173" i="4"/>
  <c r="D181" i="4"/>
  <c r="D189" i="4"/>
  <c r="D197" i="4"/>
  <c r="D205" i="4"/>
  <c r="D213" i="4"/>
  <c r="D221" i="4"/>
  <c r="D229" i="4"/>
  <c r="D17" i="4"/>
  <c r="D97" i="4"/>
  <c r="D129" i="4"/>
  <c r="D177" i="4"/>
  <c r="D209" i="4"/>
  <c r="D10" i="4"/>
  <c r="D50" i="4"/>
  <c r="D74" i="4"/>
  <c r="D90" i="4"/>
  <c r="D138" i="4"/>
  <c r="D154" i="4"/>
  <c r="D186" i="4"/>
  <c r="D210" i="4"/>
  <c r="D226" i="4"/>
  <c r="D6" i="4"/>
  <c r="D14" i="4"/>
  <c r="D22" i="4"/>
  <c r="D30" i="4"/>
  <c r="D38" i="4"/>
  <c r="D46" i="4"/>
  <c r="D54" i="4"/>
  <c r="D62" i="4"/>
  <c r="D70" i="4"/>
  <c r="D78" i="4"/>
  <c r="D86" i="4"/>
  <c r="D94" i="4"/>
  <c r="D102" i="4"/>
  <c r="D110" i="4"/>
  <c r="D118" i="4"/>
  <c r="D126" i="4"/>
  <c r="D134" i="4"/>
  <c r="D142" i="4"/>
  <c r="D150" i="4"/>
  <c r="D158" i="4"/>
  <c r="D166" i="4"/>
  <c r="D174" i="4"/>
  <c r="D182" i="4"/>
  <c r="D190" i="4"/>
  <c r="D198" i="4"/>
  <c r="D206" i="4"/>
  <c r="D214" i="4"/>
  <c r="D222" i="4"/>
  <c r="D230" i="4"/>
  <c r="D25" i="4"/>
  <c r="D65" i="4"/>
  <c r="D89" i="4"/>
  <c r="D121" i="4"/>
  <c r="D153" i="4"/>
  <c r="D185" i="4"/>
  <c r="D217" i="4"/>
  <c r="D18" i="4"/>
  <c r="D58" i="4"/>
  <c r="D82" i="4"/>
  <c r="D130" i="4"/>
  <c r="D162" i="4"/>
  <c r="D194" i="4"/>
  <c r="D218" i="4"/>
  <c r="D7" i="4"/>
  <c r="D15" i="4"/>
  <c r="D23" i="4"/>
  <c r="D31" i="4"/>
  <c r="D39" i="4"/>
  <c r="D47" i="4"/>
  <c r="D55" i="4"/>
  <c r="D63" i="4"/>
  <c r="D71" i="4"/>
  <c r="D79" i="4"/>
  <c r="D87" i="4"/>
  <c r="D95" i="4"/>
  <c r="D103" i="4"/>
  <c r="D111" i="4"/>
  <c r="D119" i="4"/>
  <c r="D127" i="4"/>
  <c r="D135" i="4"/>
  <c r="D143" i="4"/>
  <c r="D151" i="4"/>
  <c r="D159" i="4"/>
  <c r="D167" i="4"/>
  <c r="D175" i="4"/>
  <c r="D183" i="4"/>
  <c r="D191" i="4"/>
  <c r="D199" i="4"/>
  <c r="D207" i="4"/>
  <c r="D215" i="4"/>
  <c r="D223" i="4"/>
  <c r="D231" i="4"/>
  <c r="D33" i="4"/>
  <c r="D145" i="4"/>
  <c r="D225" i="4"/>
  <c r="D34" i="4"/>
  <c r="D106" i="4"/>
  <c r="D170" i="4"/>
  <c r="D234" i="4"/>
  <c r="D8" i="4"/>
  <c r="D16" i="4"/>
  <c r="D24" i="4"/>
  <c r="D32" i="4"/>
  <c r="D40" i="4"/>
  <c r="D48" i="4"/>
  <c r="D56" i="4"/>
  <c r="D64" i="4"/>
  <c r="D72" i="4"/>
  <c r="D80" i="4"/>
  <c r="D88" i="4"/>
  <c r="D96" i="4"/>
  <c r="D104" i="4"/>
  <c r="D112" i="4"/>
  <c r="D120" i="4"/>
  <c r="D128" i="4"/>
  <c r="D136" i="4"/>
  <c r="D144" i="4"/>
  <c r="D152" i="4"/>
  <c r="D160" i="4"/>
  <c r="D168" i="4"/>
  <c r="D176" i="4"/>
  <c r="D184" i="4"/>
  <c r="D192" i="4"/>
  <c r="D200" i="4"/>
  <c r="D208" i="4"/>
  <c r="D216" i="4"/>
  <c r="D224" i="4"/>
  <c r="D232" i="4"/>
  <c r="D9" i="4"/>
  <c r="D49" i="4"/>
  <c r="D57" i="4"/>
  <c r="D73" i="4"/>
  <c r="D81" i="4"/>
  <c r="D113" i="4"/>
  <c r="D161" i="4"/>
  <c r="D193" i="4"/>
  <c r="D2" i="4"/>
  <c r="A1" i="4"/>
  <c r="C2" i="4" a="1"/>
  <c r="I2" i="2" l="1" a="1"/>
  <c r="I2" i="2" s="1"/>
  <c r="C2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94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  <bk>
      <extLst>
        <ext uri="{3e2802c4-a4d2-4d8b-9148-e3be6c30e623}">
          <xlrd:rvb i="274"/>
        </ext>
      </extLst>
    </bk>
    <bk>
      <extLst>
        <ext uri="{3e2802c4-a4d2-4d8b-9148-e3be6c30e623}">
          <xlrd:rvb i="275"/>
        </ext>
      </extLst>
    </bk>
    <bk>
      <extLst>
        <ext uri="{3e2802c4-a4d2-4d8b-9148-e3be6c30e623}">
          <xlrd:rvb i="276"/>
        </ext>
      </extLst>
    </bk>
    <bk>
      <extLst>
        <ext uri="{3e2802c4-a4d2-4d8b-9148-e3be6c30e623}">
          <xlrd:rvb i="277"/>
        </ext>
      </extLst>
    </bk>
    <bk>
      <extLst>
        <ext uri="{3e2802c4-a4d2-4d8b-9148-e3be6c30e623}">
          <xlrd:rvb i="278"/>
        </ext>
      </extLst>
    </bk>
    <bk>
      <extLst>
        <ext uri="{3e2802c4-a4d2-4d8b-9148-e3be6c30e623}">
          <xlrd:rvb i="279"/>
        </ext>
      </extLst>
    </bk>
    <bk>
      <extLst>
        <ext uri="{3e2802c4-a4d2-4d8b-9148-e3be6c30e623}">
          <xlrd:rvb i="280"/>
        </ext>
      </extLst>
    </bk>
    <bk>
      <extLst>
        <ext uri="{3e2802c4-a4d2-4d8b-9148-e3be6c30e623}">
          <xlrd:rvb i="281"/>
        </ext>
      </extLst>
    </bk>
    <bk>
      <extLst>
        <ext uri="{3e2802c4-a4d2-4d8b-9148-e3be6c30e623}">
          <xlrd:rvb i="282"/>
        </ext>
      </extLst>
    </bk>
    <bk>
      <extLst>
        <ext uri="{3e2802c4-a4d2-4d8b-9148-e3be6c30e623}">
          <xlrd:rvb i="283"/>
        </ext>
      </extLst>
    </bk>
    <bk>
      <extLst>
        <ext uri="{3e2802c4-a4d2-4d8b-9148-e3be6c30e623}">
          <xlrd:rvb i="284"/>
        </ext>
      </extLst>
    </bk>
    <bk>
      <extLst>
        <ext uri="{3e2802c4-a4d2-4d8b-9148-e3be6c30e623}">
          <xlrd:rvb i="285"/>
        </ext>
      </extLst>
    </bk>
    <bk>
      <extLst>
        <ext uri="{3e2802c4-a4d2-4d8b-9148-e3be6c30e623}">
          <xlrd:rvb i="286"/>
        </ext>
      </extLst>
    </bk>
    <bk>
      <extLst>
        <ext uri="{3e2802c4-a4d2-4d8b-9148-e3be6c30e623}">
          <xlrd:rvb i="287"/>
        </ext>
      </extLst>
    </bk>
    <bk>
      <extLst>
        <ext uri="{3e2802c4-a4d2-4d8b-9148-e3be6c30e623}">
          <xlrd:rvb i="288"/>
        </ext>
      </extLst>
    </bk>
    <bk>
      <extLst>
        <ext uri="{3e2802c4-a4d2-4d8b-9148-e3be6c30e623}">
          <xlrd:rvb i="289"/>
        </ext>
      </extLst>
    </bk>
    <bk>
      <extLst>
        <ext uri="{3e2802c4-a4d2-4d8b-9148-e3be6c30e623}">
          <xlrd:rvb i="290"/>
        </ext>
      </extLst>
    </bk>
    <bk>
      <extLst>
        <ext uri="{3e2802c4-a4d2-4d8b-9148-e3be6c30e623}">
          <xlrd:rvb i="291"/>
        </ext>
      </extLst>
    </bk>
    <bk>
      <extLst>
        <ext uri="{3e2802c4-a4d2-4d8b-9148-e3be6c30e623}">
          <xlrd:rvb i="292"/>
        </ext>
      </extLst>
    </bk>
    <bk>
      <extLst>
        <ext uri="{3e2802c4-a4d2-4d8b-9148-e3be6c30e623}">
          <xlrd:rvb i="293"/>
        </ext>
      </extLst>
    </bk>
    <bk>
      <extLst>
        <ext uri="{3e2802c4-a4d2-4d8b-9148-e3be6c30e623}">
          <xlrd:rvb i="294"/>
        </ext>
      </extLst>
    </bk>
    <bk>
      <extLst>
        <ext uri="{3e2802c4-a4d2-4d8b-9148-e3be6c30e623}">
          <xlrd:rvb i="295"/>
        </ext>
      </extLst>
    </bk>
    <bk>
      <extLst>
        <ext uri="{3e2802c4-a4d2-4d8b-9148-e3be6c30e623}">
          <xlrd:rvb i="296"/>
        </ext>
      </extLst>
    </bk>
    <bk>
      <extLst>
        <ext uri="{3e2802c4-a4d2-4d8b-9148-e3be6c30e623}">
          <xlrd:rvb i="297"/>
        </ext>
      </extLst>
    </bk>
    <bk>
      <extLst>
        <ext uri="{3e2802c4-a4d2-4d8b-9148-e3be6c30e623}">
          <xlrd:rvb i="298"/>
        </ext>
      </extLst>
    </bk>
    <bk>
      <extLst>
        <ext uri="{3e2802c4-a4d2-4d8b-9148-e3be6c30e623}">
          <xlrd:rvb i="299"/>
        </ext>
      </extLst>
    </bk>
    <bk>
      <extLst>
        <ext uri="{3e2802c4-a4d2-4d8b-9148-e3be6c30e623}">
          <xlrd:rvb i="300"/>
        </ext>
      </extLst>
    </bk>
    <bk>
      <extLst>
        <ext uri="{3e2802c4-a4d2-4d8b-9148-e3be6c30e623}">
          <xlrd:rvb i="301"/>
        </ext>
      </extLst>
    </bk>
    <bk>
      <extLst>
        <ext uri="{3e2802c4-a4d2-4d8b-9148-e3be6c30e623}">
          <xlrd:rvb i="302"/>
        </ext>
      </extLst>
    </bk>
    <bk>
      <extLst>
        <ext uri="{3e2802c4-a4d2-4d8b-9148-e3be6c30e623}">
          <xlrd:rvb i="303"/>
        </ext>
      </extLst>
    </bk>
    <bk>
      <extLst>
        <ext uri="{3e2802c4-a4d2-4d8b-9148-e3be6c30e623}">
          <xlrd:rvb i="304"/>
        </ext>
      </extLst>
    </bk>
    <bk>
      <extLst>
        <ext uri="{3e2802c4-a4d2-4d8b-9148-e3be6c30e623}">
          <xlrd:rvb i="305"/>
        </ext>
      </extLst>
    </bk>
    <bk>
      <extLst>
        <ext uri="{3e2802c4-a4d2-4d8b-9148-e3be6c30e623}">
          <xlrd:rvb i="306"/>
        </ext>
      </extLst>
    </bk>
    <bk>
      <extLst>
        <ext uri="{3e2802c4-a4d2-4d8b-9148-e3be6c30e623}">
          <xlrd:rvb i="307"/>
        </ext>
      </extLst>
    </bk>
    <bk>
      <extLst>
        <ext uri="{3e2802c4-a4d2-4d8b-9148-e3be6c30e623}">
          <xlrd:rvb i="308"/>
        </ext>
      </extLst>
    </bk>
    <bk>
      <extLst>
        <ext uri="{3e2802c4-a4d2-4d8b-9148-e3be6c30e623}">
          <xlrd:rvb i="309"/>
        </ext>
      </extLst>
    </bk>
    <bk>
      <extLst>
        <ext uri="{3e2802c4-a4d2-4d8b-9148-e3be6c30e623}">
          <xlrd:rvb i="310"/>
        </ext>
      </extLst>
    </bk>
    <bk>
      <extLst>
        <ext uri="{3e2802c4-a4d2-4d8b-9148-e3be6c30e623}">
          <xlrd:rvb i="311"/>
        </ext>
      </extLst>
    </bk>
    <bk>
      <extLst>
        <ext uri="{3e2802c4-a4d2-4d8b-9148-e3be6c30e623}">
          <xlrd:rvb i="312"/>
        </ext>
      </extLst>
    </bk>
    <bk>
      <extLst>
        <ext uri="{3e2802c4-a4d2-4d8b-9148-e3be6c30e623}">
          <xlrd:rvb i="313"/>
        </ext>
      </extLst>
    </bk>
    <bk>
      <extLst>
        <ext uri="{3e2802c4-a4d2-4d8b-9148-e3be6c30e623}">
          <xlrd:rvb i="314"/>
        </ext>
      </extLst>
    </bk>
    <bk>
      <extLst>
        <ext uri="{3e2802c4-a4d2-4d8b-9148-e3be6c30e623}">
          <xlrd:rvb i="315"/>
        </ext>
      </extLst>
    </bk>
    <bk>
      <extLst>
        <ext uri="{3e2802c4-a4d2-4d8b-9148-e3be6c30e623}">
          <xlrd:rvb i="316"/>
        </ext>
      </extLst>
    </bk>
    <bk>
      <extLst>
        <ext uri="{3e2802c4-a4d2-4d8b-9148-e3be6c30e623}">
          <xlrd:rvb i="317"/>
        </ext>
      </extLst>
    </bk>
    <bk>
      <extLst>
        <ext uri="{3e2802c4-a4d2-4d8b-9148-e3be6c30e623}">
          <xlrd:rvb i="318"/>
        </ext>
      </extLst>
    </bk>
    <bk>
      <extLst>
        <ext uri="{3e2802c4-a4d2-4d8b-9148-e3be6c30e623}">
          <xlrd:rvb i="319"/>
        </ext>
      </extLst>
    </bk>
    <bk>
      <extLst>
        <ext uri="{3e2802c4-a4d2-4d8b-9148-e3be6c30e623}">
          <xlrd:rvb i="320"/>
        </ext>
      </extLst>
    </bk>
    <bk>
      <extLst>
        <ext uri="{3e2802c4-a4d2-4d8b-9148-e3be6c30e623}">
          <xlrd:rvb i="321"/>
        </ext>
      </extLst>
    </bk>
    <bk>
      <extLst>
        <ext uri="{3e2802c4-a4d2-4d8b-9148-e3be6c30e623}">
          <xlrd:rvb i="322"/>
        </ext>
      </extLst>
    </bk>
    <bk>
      <extLst>
        <ext uri="{3e2802c4-a4d2-4d8b-9148-e3be6c30e623}">
          <xlrd:rvb i="323"/>
        </ext>
      </extLst>
    </bk>
    <bk>
      <extLst>
        <ext uri="{3e2802c4-a4d2-4d8b-9148-e3be6c30e623}">
          <xlrd:rvb i="324"/>
        </ext>
      </extLst>
    </bk>
    <bk>
      <extLst>
        <ext uri="{3e2802c4-a4d2-4d8b-9148-e3be6c30e623}">
          <xlrd:rvb i="325"/>
        </ext>
      </extLst>
    </bk>
    <bk>
      <extLst>
        <ext uri="{3e2802c4-a4d2-4d8b-9148-e3be6c30e623}">
          <xlrd:rvb i="326"/>
        </ext>
      </extLst>
    </bk>
    <bk>
      <extLst>
        <ext uri="{3e2802c4-a4d2-4d8b-9148-e3be6c30e623}">
          <xlrd:rvb i="327"/>
        </ext>
      </extLst>
    </bk>
    <bk>
      <extLst>
        <ext uri="{3e2802c4-a4d2-4d8b-9148-e3be6c30e623}">
          <xlrd:rvb i="328"/>
        </ext>
      </extLst>
    </bk>
    <bk>
      <extLst>
        <ext uri="{3e2802c4-a4d2-4d8b-9148-e3be6c30e623}">
          <xlrd:rvb i="329"/>
        </ext>
      </extLst>
    </bk>
    <bk>
      <extLst>
        <ext uri="{3e2802c4-a4d2-4d8b-9148-e3be6c30e623}">
          <xlrd:rvb i="330"/>
        </ext>
      </extLst>
    </bk>
    <bk>
      <extLst>
        <ext uri="{3e2802c4-a4d2-4d8b-9148-e3be6c30e623}">
          <xlrd:rvb i="331"/>
        </ext>
      </extLst>
    </bk>
    <bk>
      <extLst>
        <ext uri="{3e2802c4-a4d2-4d8b-9148-e3be6c30e623}">
          <xlrd:rvb i="332"/>
        </ext>
      </extLst>
    </bk>
    <bk>
      <extLst>
        <ext uri="{3e2802c4-a4d2-4d8b-9148-e3be6c30e623}">
          <xlrd:rvb i="333"/>
        </ext>
      </extLst>
    </bk>
    <bk>
      <extLst>
        <ext uri="{3e2802c4-a4d2-4d8b-9148-e3be6c30e623}">
          <xlrd:rvb i="334"/>
        </ext>
      </extLst>
    </bk>
    <bk>
      <extLst>
        <ext uri="{3e2802c4-a4d2-4d8b-9148-e3be6c30e623}">
          <xlrd:rvb i="335"/>
        </ext>
      </extLst>
    </bk>
    <bk>
      <extLst>
        <ext uri="{3e2802c4-a4d2-4d8b-9148-e3be6c30e623}">
          <xlrd:rvb i="336"/>
        </ext>
      </extLst>
    </bk>
    <bk>
      <extLst>
        <ext uri="{3e2802c4-a4d2-4d8b-9148-e3be6c30e623}">
          <xlrd:rvb i="337"/>
        </ext>
      </extLst>
    </bk>
    <bk>
      <extLst>
        <ext uri="{3e2802c4-a4d2-4d8b-9148-e3be6c30e623}">
          <xlrd:rvb i="338"/>
        </ext>
      </extLst>
    </bk>
    <bk>
      <extLst>
        <ext uri="{3e2802c4-a4d2-4d8b-9148-e3be6c30e623}">
          <xlrd:rvb i="339"/>
        </ext>
      </extLst>
    </bk>
    <bk>
      <extLst>
        <ext uri="{3e2802c4-a4d2-4d8b-9148-e3be6c30e623}">
          <xlrd:rvb i="340"/>
        </ext>
      </extLst>
    </bk>
    <bk>
      <extLst>
        <ext uri="{3e2802c4-a4d2-4d8b-9148-e3be6c30e623}">
          <xlrd:rvb i="341"/>
        </ext>
      </extLst>
    </bk>
    <bk>
      <extLst>
        <ext uri="{3e2802c4-a4d2-4d8b-9148-e3be6c30e623}">
          <xlrd:rvb i="342"/>
        </ext>
      </extLst>
    </bk>
    <bk>
      <extLst>
        <ext uri="{3e2802c4-a4d2-4d8b-9148-e3be6c30e623}">
          <xlrd:rvb i="343"/>
        </ext>
      </extLst>
    </bk>
    <bk>
      <extLst>
        <ext uri="{3e2802c4-a4d2-4d8b-9148-e3be6c30e623}">
          <xlrd:rvb i="344"/>
        </ext>
      </extLst>
    </bk>
    <bk>
      <extLst>
        <ext uri="{3e2802c4-a4d2-4d8b-9148-e3be6c30e623}">
          <xlrd:rvb i="345"/>
        </ext>
      </extLst>
    </bk>
    <bk>
      <extLst>
        <ext uri="{3e2802c4-a4d2-4d8b-9148-e3be6c30e623}">
          <xlrd:rvb i="346"/>
        </ext>
      </extLst>
    </bk>
    <bk>
      <extLst>
        <ext uri="{3e2802c4-a4d2-4d8b-9148-e3be6c30e623}">
          <xlrd:rvb i="347"/>
        </ext>
      </extLst>
    </bk>
    <bk>
      <extLst>
        <ext uri="{3e2802c4-a4d2-4d8b-9148-e3be6c30e623}">
          <xlrd:rvb i="348"/>
        </ext>
      </extLst>
    </bk>
    <bk>
      <extLst>
        <ext uri="{3e2802c4-a4d2-4d8b-9148-e3be6c30e623}">
          <xlrd:rvb i="349"/>
        </ext>
      </extLst>
    </bk>
    <bk>
      <extLst>
        <ext uri="{3e2802c4-a4d2-4d8b-9148-e3be6c30e623}">
          <xlrd:rvb i="350"/>
        </ext>
      </extLst>
    </bk>
    <bk>
      <extLst>
        <ext uri="{3e2802c4-a4d2-4d8b-9148-e3be6c30e623}">
          <xlrd:rvb i="351"/>
        </ext>
      </extLst>
    </bk>
    <bk>
      <extLst>
        <ext uri="{3e2802c4-a4d2-4d8b-9148-e3be6c30e623}">
          <xlrd:rvb i="352"/>
        </ext>
      </extLst>
    </bk>
    <bk>
      <extLst>
        <ext uri="{3e2802c4-a4d2-4d8b-9148-e3be6c30e623}">
          <xlrd:rvb i="353"/>
        </ext>
      </extLst>
    </bk>
    <bk>
      <extLst>
        <ext uri="{3e2802c4-a4d2-4d8b-9148-e3be6c30e623}">
          <xlrd:rvb i="354"/>
        </ext>
      </extLst>
    </bk>
    <bk>
      <extLst>
        <ext uri="{3e2802c4-a4d2-4d8b-9148-e3be6c30e623}">
          <xlrd:rvb i="355"/>
        </ext>
      </extLst>
    </bk>
    <bk>
      <extLst>
        <ext uri="{3e2802c4-a4d2-4d8b-9148-e3be6c30e623}">
          <xlrd:rvb i="356"/>
        </ext>
      </extLst>
    </bk>
    <bk>
      <extLst>
        <ext uri="{3e2802c4-a4d2-4d8b-9148-e3be6c30e623}">
          <xlrd:rvb i="357"/>
        </ext>
      </extLst>
    </bk>
    <bk>
      <extLst>
        <ext uri="{3e2802c4-a4d2-4d8b-9148-e3be6c30e623}">
          <xlrd:rvb i="358"/>
        </ext>
      </extLst>
    </bk>
    <bk>
      <extLst>
        <ext uri="{3e2802c4-a4d2-4d8b-9148-e3be6c30e623}">
          <xlrd:rvb i="359"/>
        </ext>
      </extLst>
    </bk>
    <bk>
      <extLst>
        <ext uri="{3e2802c4-a4d2-4d8b-9148-e3be6c30e623}">
          <xlrd:rvb i="360"/>
        </ext>
      </extLst>
    </bk>
    <bk>
      <extLst>
        <ext uri="{3e2802c4-a4d2-4d8b-9148-e3be6c30e623}">
          <xlrd:rvb i="361"/>
        </ext>
      </extLst>
    </bk>
    <bk>
      <extLst>
        <ext uri="{3e2802c4-a4d2-4d8b-9148-e3be6c30e623}">
          <xlrd:rvb i="362"/>
        </ext>
      </extLst>
    </bk>
    <bk>
      <extLst>
        <ext uri="{3e2802c4-a4d2-4d8b-9148-e3be6c30e623}">
          <xlrd:rvb i="363"/>
        </ext>
      </extLst>
    </bk>
    <bk>
      <extLst>
        <ext uri="{3e2802c4-a4d2-4d8b-9148-e3be6c30e623}">
          <xlrd:rvb i="364"/>
        </ext>
      </extLst>
    </bk>
    <bk>
      <extLst>
        <ext uri="{3e2802c4-a4d2-4d8b-9148-e3be6c30e623}">
          <xlrd:rvb i="365"/>
        </ext>
      </extLst>
    </bk>
    <bk>
      <extLst>
        <ext uri="{3e2802c4-a4d2-4d8b-9148-e3be6c30e623}">
          <xlrd:rvb i="366"/>
        </ext>
      </extLst>
    </bk>
    <bk>
      <extLst>
        <ext uri="{3e2802c4-a4d2-4d8b-9148-e3be6c30e623}">
          <xlrd:rvb i="367"/>
        </ext>
      </extLst>
    </bk>
    <bk>
      <extLst>
        <ext uri="{3e2802c4-a4d2-4d8b-9148-e3be6c30e623}">
          <xlrd:rvb i="368"/>
        </ext>
      </extLst>
    </bk>
    <bk>
      <extLst>
        <ext uri="{3e2802c4-a4d2-4d8b-9148-e3be6c30e623}">
          <xlrd:rvb i="369"/>
        </ext>
      </extLst>
    </bk>
    <bk>
      <extLst>
        <ext uri="{3e2802c4-a4d2-4d8b-9148-e3be6c30e623}">
          <xlrd:rvb i="370"/>
        </ext>
      </extLst>
    </bk>
    <bk>
      <extLst>
        <ext uri="{3e2802c4-a4d2-4d8b-9148-e3be6c30e623}">
          <xlrd:rvb i="371"/>
        </ext>
      </extLst>
    </bk>
    <bk>
      <extLst>
        <ext uri="{3e2802c4-a4d2-4d8b-9148-e3be6c30e623}">
          <xlrd:rvb i="372"/>
        </ext>
      </extLst>
    </bk>
    <bk>
      <extLst>
        <ext uri="{3e2802c4-a4d2-4d8b-9148-e3be6c30e623}">
          <xlrd:rvb i="373"/>
        </ext>
      </extLst>
    </bk>
    <bk>
      <extLst>
        <ext uri="{3e2802c4-a4d2-4d8b-9148-e3be6c30e623}">
          <xlrd:rvb i="374"/>
        </ext>
      </extLst>
    </bk>
    <bk>
      <extLst>
        <ext uri="{3e2802c4-a4d2-4d8b-9148-e3be6c30e623}">
          <xlrd:rvb i="375"/>
        </ext>
      </extLst>
    </bk>
    <bk>
      <extLst>
        <ext uri="{3e2802c4-a4d2-4d8b-9148-e3be6c30e623}">
          <xlrd:rvb i="376"/>
        </ext>
      </extLst>
    </bk>
    <bk>
      <extLst>
        <ext uri="{3e2802c4-a4d2-4d8b-9148-e3be6c30e623}">
          <xlrd:rvb i="377"/>
        </ext>
      </extLst>
    </bk>
    <bk>
      <extLst>
        <ext uri="{3e2802c4-a4d2-4d8b-9148-e3be6c30e623}">
          <xlrd:rvb i="378"/>
        </ext>
      </extLst>
    </bk>
    <bk>
      <extLst>
        <ext uri="{3e2802c4-a4d2-4d8b-9148-e3be6c30e623}">
          <xlrd:rvb i="379"/>
        </ext>
      </extLst>
    </bk>
    <bk>
      <extLst>
        <ext uri="{3e2802c4-a4d2-4d8b-9148-e3be6c30e623}">
          <xlrd:rvb i="380"/>
        </ext>
      </extLst>
    </bk>
    <bk>
      <extLst>
        <ext uri="{3e2802c4-a4d2-4d8b-9148-e3be6c30e623}">
          <xlrd:rvb i="381"/>
        </ext>
      </extLst>
    </bk>
    <bk>
      <extLst>
        <ext uri="{3e2802c4-a4d2-4d8b-9148-e3be6c30e623}">
          <xlrd:rvb i="382"/>
        </ext>
      </extLst>
    </bk>
    <bk>
      <extLst>
        <ext uri="{3e2802c4-a4d2-4d8b-9148-e3be6c30e623}">
          <xlrd:rvb i="383"/>
        </ext>
      </extLst>
    </bk>
    <bk>
      <extLst>
        <ext uri="{3e2802c4-a4d2-4d8b-9148-e3be6c30e623}">
          <xlrd:rvb i="384"/>
        </ext>
      </extLst>
    </bk>
    <bk>
      <extLst>
        <ext uri="{3e2802c4-a4d2-4d8b-9148-e3be6c30e623}">
          <xlrd:rvb i="385"/>
        </ext>
      </extLst>
    </bk>
    <bk>
      <extLst>
        <ext uri="{3e2802c4-a4d2-4d8b-9148-e3be6c30e623}">
          <xlrd:rvb i="386"/>
        </ext>
      </extLst>
    </bk>
    <bk>
      <extLst>
        <ext uri="{3e2802c4-a4d2-4d8b-9148-e3be6c30e623}">
          <xlrd:rvb i="387"/>
        </ext>
      </extLst>
    </bk>
    <bk>
      <extLst>
        <ext uri="{3e2802c4-a4d2-4d8b-9148-e3be6c30e623}">
          <xlrd:rvb i="388"/>
        </ext>
      </extLst>
    </bk>
    <bk>
      <extLst>
        <ext uri="{3e2802c4-a4d2-4d8b-9148-e3be6c30e623}">
          <xlrd:rvb i="389"/>
        </ext>
      </extLst>
    </bk>
    <bk>
      <extLst>
        <ext uri="{3e2802c4-a4d2-4d8b-9148-e3be6c30e623}">
          <xlrd:rvb i="390"/>
        </ext>
      </extLst>
    </bk>
    <bk>
      <extLst>
        <ext uri="{3e2802c4-a4d2-4d8b-9148-e3be6c30e623}">
          <xlrd:rvb i="391"/>
        </ext>
      </extLst>
    </bk>
    <bk>
      <extLst>
        <ext uri="{3e2802c4-a4d2-4d8b-9148-e3be6c30e623}">
          <xlrd:rvb i="392"/>
        </ext>
      </extLst>
    </bk>
    <bk>
      <extLst>
        <ext uri="{3e2802c4-a4d2-4d8b-9148-e3be6c30e623}">
          <xlrd:rvb i="393"/>
        </ext>
      </extLst>
    </bk>
    <bk>
      <extLst>
        <ext uri="{3e2802c4-a4d2-4d8b-9148-e3be6c30e623}">
          <xlrd:rvb i="394"/>
        </ext>
      </extLst>
    </bk>
    <bk>
      <extLst>
        <ext uri="{3e2802c4-a4d2-4d8b-9148-e3be6c30e623}">
          <xlrd:rvb i="395"/>
        </ext>
      </extLst>
    </bk>
    <bk>
      <extLst>
        <ext uri="{3e2802c4-a4d2-4d8b-9148-e3be6c30e623}">
          <xlrd:rvb i="396"/>
        </ext>
      </extLst>
    </bk>
    <bk>
      <extLst>
        <ext uri="{3e2802c4-a4d2-4d8b-9148-e3be6c30e623}">
          <xlrd:rvb i="397"/>
        </ext>
      </extLst>
    </bk>
    <bk>
      <extLst>
        <ext uri="{3e2802c4-a4d2-4d8b-9148-e3be6c30e623}">
          <xlrd:rvb i="398"/>
        </ext>
      </extLst>
    </bk>
    <bk>
      <extLst>
        <ext uri="{3e2802c4-a4d2-4d8b-9148-e3be6c30e623}">
          <xlrd:rvb i="399"/>
        </ext>
      </extLst>
    </bk>
    <bk>
      <extLst>
        <ext uri="{3e2802c4-a4d2-4d8b-9148-e3be6c30e623}">
          <xlrd:rvb i="400"/>
        </ext>
      </extLst>
    </bk>
    <bk>
      <extLst>
        <ext uri="{3e2802c4-a4d2-4d8b-9148-e3be6c30e623}">
          <xlrd:rvb i="401"/>
        </ext>
      </extLst>
    </bk>
    <bk>
      <extLst>
        <ext uri="{3e2802c4-a4d2-4d8b-9148-e3be6c30e623}">
          <xlrd:rvb i="402"/>
        </ext>
      </extLst>
    </bk>
    <bk>
      <extLst>
        <ext uri="{3e2802c4-a4d2-4d8b-9148-e3be6c30e623}">
          <xlrd:rvb i="403"/>
        </ext>
      </extLst>
    </bk>
    <bk>
      <extLst>
        <ext uri="{3e2802c4-a4d2-4d8b-9148-e3be6c30e623}">
          <xlrd:rvb i="404"/>
        </ext>
      </extLst>
    </bk>
    <bk>
      <extLst>
        <ext uri="{3e2802c4-a4d2-4d8b-9148-e3be6c30e623}">
          <xlrd:rvb i="405"/>
        </ext>
      </extLst>
    </bk>
    <bk>
      <extLst>
        <ext uri="{3e2802c4-a4d2-4d8b-9148-e3be6c30e623}">
          <xlrd:rvb i="406"/>
        </ext>
      </extLst>
    </bk>
    <bk>
      <extLst>
        <ext uri="{3e2802c4-a4d2-4d8b-9148-e3be6c30e623}">
          <xlrd:rvb i="407"/>
        </ext>
      </extLst>
    </bk>
    <bk>
      <extLst>
        <ext uri="{3e2802c4-a4d2-4d8b-9148-e3be6c30e623}">
          <xlrd:rvb i="408"/>
        </ext>
      </extLst>
    </bk>
    <bk>
      <extLst>
        <ext uri="{3e2802c4-a4d2-4d8b-9148-e3be6c30e623}">
          <xlrd:rvb i="409"/>
        </ext>
      </extLst>
    </bk>
    <bk>
      <extLst>
        <ext uri="{3e2802c4-a4d2-4d8b-9148-e3be6c30e623}">
          <xlrd:rvb i="410"/>
        </ext>
      </extLst>
    </bk>
    <bk>
      <extLst>
        <ext uri="{3e2802c4-a4d2-4d8b-9148-e3be6c30e623}">
          <xlrd:rvb i="411"/>
        </ext>
      </extLst>
    </bk>
    <bk>
      <extLst>
        <ext uri="{3e2802c4-a4d2-4d8b-9148-e3be6c30e623}">
          <xlrd:rvb i="412"/>
        </ext>
      </extLst>
    </bk>
    <bk>
      <extLst>
        <ext uri="{3e2802c4-a4d2-4d8b-9148-e3be6c30e623}">
          <xlrd:rvb i="413"/>
        </ext>
      </extLst>
    </bk>
    <bk>
      <extLst>
        <ext uri="{3e2802c4-a4d2-4d8b-9148-e3be6c30e623}">
          <xlrd:rvb i="414"/>
        </ext>
      </extLst>
    </bk>
    <bk>
      <extLst>
        <ext uri="{3e2802c4-a4d2-4d8b-9148-e3be6c30e623}">
          <xlrd:rvb i="415"/>
        </ext>
      </extLst>
    </bk>
    <bk>
      <extLst>
        <ext uri="{3e2802c4-a4d2-4d8b-9148-e3be6c30e623}">
          <xlrd:rvb i="416"/>
        </ext>
      </extLst>
    </bk>
    <bk>
      <extLst>
        <ext uri="{3e2802c4-a4d2-4d8b-9148-e3be6c30e623}">
          <xlrd:rvb i="417"/>
        </ext>
      </extLst>
    </bk>
    <bk>
      <extLst>
        <ext uri="{3e2802c4-a4d2-4d8b-9148-e3be6c30e623}">
          <xlrd:rvb i="418"/>
        </ext>
      </extLst>
    </bk>
    <bk>
      <extLst>
        <ext uri="{3e2802c4-a4d2-4d8b-9148-e3be6c30e623}">
          <xlrd:rvb i="419"/>
        </ext>
      </extLst>
    </bk>
    <bk>
      <extLst>
        <ext uri="{3e2802c4-a4d2-4d8b-9148-e3be6c30e623}">
          <xlrd:rvb i="420"/>
        </ext>
      </extLst>
    </bk>
    <bk>
      <extLst>
        <ext uri="{3e2802c4-a4d2-4d8b-9148-e3be6c30e623}">
          <xlrd:rvb i="421"/>
        </ext>
      </extLst>
    </bk>
    <bk>
      <extLst>
        <ext uri="{3e2802c4-a4d2-4d8b-9148-e3be6c30e623}">
          <xlrd:rvb i="422"/>
        </ext>
      </extLst>
    </bk>
    <bk>
      <extLst>
        <ext uri="{3e2802c4-a4d2-4d8b-9148-e3be6c30e623}">
          <xlrd:rvb i="423"/>
        </ext>
      </extLst>
    </bk>
    <bk>
      <extLst>
        <ext uri="{3e2802c4-a4d2-4d8b-9148-e3be6c30e623}">
          <xlrd:rvb i="424"/>
        </ext>
      </extLst>
    </bk>
    <bk>
      <extLst>
        <ext uri="{3e2802c4-a4d2-4d8b-9148-e3be6c30e623}">
          <xlrd:rvb i="425"/>
        </ext>
      </extLst>
    </bk>
    <bk>
      <extLst>
        <ext uri="{3e2802c4-a4d2-4d8b-9148-e3be6c30e623}">
          <xlrd:rvb i="426"/>
        </ext>
      </extLst>
    </bk>
    <bk>
      <extLst>
        <ext uri="{3e2802c4-a4d2-4d8b-9148-e3be6c30e623}">
          <xlrd:rvb i="427"/>
        </ext>
      </extLst>
    </bk>
    <bk>
      <extLst>
        <ext uri="{3e2802c4-a4d2-4d8b-9148-e3be6c30e623}">
          <xlrd:rvb i="428"/>
        </ext>
      </extLst>
    </bk>
    <bk>
      <extLst>
        <ext uri="{3e2802c4-a4d2-4d8b-9148-e3be6c30e623}">
          <xlrd:rvb i="429"/>
        </ext>
      </extLst>
    </bk>
    <bk>
      <extLst>
        <ext uri="{3e2802c4-a4d2-4d8b-9148-e3be6c30e623}">
          <xlrd:rvb i="430"/>
        </ext>
      </extLst>
    </bk>
    <bk>
      <extLst>
        <ext uri="{3e2802c4-a4d2-4d8b-9148-e3be6c30e623}">
          <xlrd:rvb i="431"/>
        </ext>
      </extLst>
    </bk>
    <bk>
      <extLst>
        <ext uri="{3e2802c4-a4d2-4d8b-9148-e3be6c30e623}">
          <xlrd:rvb i="432"/>
        </ext>
      </extLst>
    </bk>
    <bk>
      <extLst>
        <ext uri="{3e2802c4-a4d2-4d8b-9148-e3be6c30e623}">
          <xlrd:rvb i="433"/>
        </ext>
      </extLst>
    </bk>
    <bk>
      <extLst>
        <ext uri="{3e2802c4-a4d2-4d8b-9148-e3be6c30e623}">
          <xlrd:rvb i="434"/>
        </ext>
      </extLst>
    </bk>
    <bk>
      <extLst>
        <ext uri="{3e2802c4-a4d2-4d8b-9148-e3be6c30e623}">
          <xlrd:rvb i="435"/>
        </ext>
      </extLst>
    </bk>
    <bk>
      <extLst>
        <ext uri="{3e2802c4-a4d2-4d8b-9148-e3be6c30e623}">
          <xlrd:rvb i="436"/>
        </ext>
      </extLst>
    </bk>
    <bk>
      <extLst>
        <ext uri="{3e2802c4-a4d2-4d8b-9148-e3be6c30e623}">
          <xlrd:rvb i="437"/>
        </ext>
      </extLst>
    </bk>
    <bk>
      <extLst>
        <ext uri="{3e2802c4-a4d2-4d8b-9148-e3be6c30e623}">
          <xlrd:rvb i="438"/>
        </ext>
      </extLst>
    </bk>
    <bk>
      <extLst>
        <ext uri="{3e2802c4-a4d2-4d8b-9148-e3be6c30e623}">
          <xlrd:rvb i="439"/>
        </ext>
      </extLst>
    </bk>
    <bk>
      <extLst>
        <ext uri="{3e2802c4-a4d2-4d8b-9148-e3be6c30e623}">
          <xlrd:rvb i="440"/>
        </ext>
      </extLst>
    </bk>
    <bk>
      <extLst>
        <ext uri="{3e2802c4-a4d2-4d8b-9148-e3be6c30e623}">
          <xlrd:rvb i="441"/>
        </ext>
      </extLst>
    </bk>
    <bk>
      <extLst>
        <ext uri="{3e2802c4-a4d2-4d8b-9148-e3be6c30e623}">
          <xlrd:rvb i="442"/>
        </ext>
      </extLst>
    </bk>
    <bk>
      <extLst>
        <ext uri="{3e2802c4-a4d2-4d8b-9148-e3be6c30e623}">
          <xlrd:rvb i="443"/>
        </ext>
      </extLst>
    </bk>
    <bk>
      <extLst>
        <ext uri="{3e2802c4-a4d2-4d8b-9148-e3be6c30e623}">
          <xlrd:rvb i="444"/>
        </ext>
      </extLst>
    </bk>
    <bk>
      <extLst>
        <ext uri="{3e2802c4-a4d2-4d8b-9148-e3be6c30e623}">
          <xlrd:rvb i="445"/>
        </ext>
      </extLst>
    </bk>
    <bk>
      <extLst>
        <ext uri="{3e2802c4-a4d2-4d8b-9148-e3be6c30e623}">
          <xlrd:rvb i="446"/>
        </ext>
      </extLst>
    </bk>
    <bk>
      <extLst>
        <ext uri="{3e2802c4-a4d2-4d8b-9148-e3be6c30e623}">
          <xlrd:rvb i="447"/>
        </ext>
      </extLst>
    </bk>
    <bk>
      <extLst>
        <ext uri="{3e2802c4-a4d2-4d8b-9148-e3be6c30e623}">
          <xlrd:rvb i="448"/>
        </ext>
      </extLst>
    </bk>
    <bk>
      <extLst>
        <ext uri="{3e2802c4-a4d2-4d8b-9148-e3be6c30e623}">
          <xlrd:rvb i="449"/>
        </ext>
      </extLst>
    </bk>
    <bk>
      <extLst>
        <ext uri="{3e2802c4-a4d2-4d8b-9148-e3be6c30e623}">
          <xlrd:rvb i="450"/>
        </ext>
      </extLst>
    </bk>
    <bk>
      <extLst>
        <ext uri="{3e2802c4-a4d2-4d8b-9148-e3be6c30e623}">
          <xlrd:rvb i="451"/>
        </ext>
      </extLst>
    </bk>
    <bk>
      <extLst>
        <ext uri="{3e2802c4-a4d2-4d8b-9148-e3be6c30e623}">
          <xlrd:rvb i="452"/>
        </ext>
      </extLst>
    </bk>
    <bk>
      <extLst>
        <ext uri="{3e2802c4-a4d2-4d8b-9148-e3be6c30e623}">
          <xlrd:rvb i="453"/>
        </ext>
      </extLst>
    </bk>
    <bk>
      <extLst>
        <ext uri="{3e2802c4-a4d2-4d8b-9148-e3be6c30e623}">
          <xlrd:rvb i="454"/>
        </ext>
      </extLst>
    </bk>
    <bk>
      <extLst>
        <ext uri="{3e2802c4-a4d2-4d8b-9148-e3be6c30e623}">
          <xlrd:rvb i="455"/>
        </ext>
      </extLst>
    </bk>
    <bk>
      <extLst>
        <ext uri="{3e2802c4-a4d2-4d8b-9148-e3be6c30e623}">
          <xlrd:rvb i="456"/>
        </ext>
      </extLst>
    </bk>
    <bk>
      <extLst>
        <ext uri="{3e2802c4-a4d2-4d8b-9148-e3be6c30e623}">
          <xlrd:rvb i="457"/>
        </ext>
      </extLst>
    </bk>
    <bk>
      <extLst>
        <ext uri="{3e2802c4-a4d2-4d8b-9148-e3be6c30e623}">
          <xlrd:rvb i="458"/>
        </ext>
      </extLst>
    </bk>
    <bk>
      <extLst>
        <ext uri="{3e2802c4-a4d2-4d8b-9148-e3be6c30e623}">
          <xlrd:rvb i="459"/>
        </ext>
      </extLst>
    </bk>
    <bk>
      <extLst>
        <ext uri="{3e2802c4-a4d2-4d8b-9148-e3be6c30e623}">
          <xlrd:rvb i="460"/>
        </ext>
      </extLst>
    </bk>
    <bk>
      <extLst>
        <ext uri="{3e2802c4-a4d2-4d8b-9148-e3be6c30e623}">
          <xlrd:rvb i="461"/>
        </ext>
      </extLst>
    </bk>
    <bk>
      <extLst>
        <ext uri="{3e2802c4-a4d2-4d8b-9148-e3be6c30e623}">
          <xlrd:rvb i="462"/>
        </ext>
      </extLst>
    </bk>
    <bk>
      <extLst>
        <ext uri="{3e2802c4-a4d2-4d8b-9148-e3be6c30e623}">
          <xlrd:rvb i="463"/>
        </ext>
      </extLst>
    </bk>
    <bk>
      <extLst>
        <ext uri="{3e2802c4-a4d2-4d8b-9148-e3be6c30e623}">
          <xlrd:rvb i="464"/>
        </ext>
      </extLst>
    </bk>
    <bk>
      <extLst>
        <ext uri="{3e2802c4-a4d2-4d8b-9148-e3be6c30e623}">
          <xlrd:rvb i="465"/>
        </ext>
      </extLst>
    </bk>
    <bk>
      <extLst>
        <ext uri="{3e2802c4-a4d2-4d8b-9148-e3be6c30e623}">
          <xlrd:rvb i="466"/>
        </ext>
      </extLst>
    </bk>
    <bk>
      <extLst>
        <ext uri="{3e2802c4-a4d2-4d8b-9148-e3be6c30e623}">
          <xlrd:rvb i="467"/>
        </ext>
      </extLst>
    </bk>
    <bk>
      <extLst>
        <ext uri="{3e2802c4-a4d2-4d8b-9148-e3be6c30e623}">
          <xlrd:rvb i="468"/>
        </ext>
      </extLst>
    </bk>
    <bk>
      <extLst>
        <ext uri="{3e2802c4-a4d2-4d8b-9148-e3be6c30e623}">
          <xlrd:rvb i="469"/>
        </ext>
      </extLst>
    </bk>
    <bk>
      <extLst>
        <ext uri="{3e2802c4-a4d2-4d8b-9148-e3be6c30e623}">
          <xlrd:rvb i="470"/>
        </ext>
      </extLst>
    </bk>
    <bk>
      <extLst>
        <ext uri="{3e2802c4-a4d2-4d8b-9148-e3be6c30e623}">
          <xlrd:rvb i="471"/>
        </ext>
      </extLst>
    </bk>
    <bk>
      <extLst>
        <ext uri="{3e2802c4-a4d2-4d8b-9148-e3be6c30e623}">
          <xlrd:rvb i="472"/>
        </ext>
      </extLst>
    </bk>
    <bk>
      <extLst>
        <ext uri="{3e2802c4-a4d2-4d8b-9148-e3be6c30e623}">
          <xlrd:rvb i="473"/>
        </ext>
      </extLst>
    </bk>
    <bk>
      <extLst>
        <ext uri="{3e2802c4-a4d2-4d8b-9148-e3be6c30e623}">
          <xlrd:rvb i="474"/>
        </ext>
      </extLst>
    </bk>
    <bk>
      <extLst>
        <ext uri="{3e2802c4-a4d2-4d8b-9148-e3be6c30e623}">
          <xlrd:rvb i="475"/>
        </ext>
      </extLst>
    </bk>
    <bk>
      <extLst>
        <ext uri="{3e2802c4-a4d2-4d8b-9148-e3be6c30e623}">
          <xlrd:rvb i="476"/>
        </ext>
      </extLst>
    </bk>
    <bk>
      <extLst>
        <ext uri="{3e2802c4-a4d2-4d8b-9148-e3be6c30e623}">
          <xlrd:rvb i="477"/>
        </ext>
      </extLst>
    </bk>
    <bk>
      <extLst>
        <ext uri="{3e2802c4-a4d2-4d8b-9148-e3be6c30e623}">
          <xlrd:rvb i="478"/>
        </ext>
      </extLst>
    </bk>
    <bk>
      <extLst>
        <ext uri="{3e2802c4-a4d2-4d8b-9148-e3be6c30e623}">
          <xlrd:rvb i="479"/>
        </ext>
      </extLst>
    </bk>
    <bk>
      <extLst>
        <ext uri="{3e2802c4-a4d2-4d8b-9148-e3be6c30e623}">
          <xlrd:rvb i="480"/>
        </ext>
      </extLst>
    </bk>
    <bk>
      <extLst>
        <ext uri="{3e2802c4-a4d2-4d8b-9148-e3be6c30e623}">
          <xlrd:rvb i="481"/>
        </ext>
      </extLst>
    </bk>
    <bk>
      <extLst>
        <ext uri="{3e2802c4-a4d2-4d8b-9148-e3be6c30e623}">
          <xlrd:rvb i="482"/>
        </ext>
      </extLst>
    </bk>
    <bk>
      <extLst>
        <ext uri="{3e2802c4-a4d2-4d8b-9148-e3be6c30e623}">
          <xlrd:rvb i="483"/>
        </ext>
      </extLst>
    </bk>
    <bk>
      <extLst>
        <ext uri="{3e2802c4-a4d2-4d8b-9148-e3be6c30e623}">
          <xlrd:rvb i="484"/>
        </ext>
      </extLst>
    </bk>
    <bk>
      <extLst>
        <ext uri="{3e2802c4-a4d2-4d8b-9148-e3be6c30e623}">
          <xlrd:rvb i="485"/>
        </ext>
      </extLst>
    </bk>
    <bk>
      <extLst>
        <ext uri="{3e2802c4-a4d2-4d8b-9148-e3be6c30e623}">
          <xlrd:rvb i="486"/>
        </ext>
      </extLst>
    </bk>
    <bk>
      <extLst>
        <ext uri="{3e2802c4-a4d2-4d8b-9148-e3be6c30e623}">
          <xlrd:rvb i="487"/>
        </ext>
      </extLst>
    </bk>
    <bk>
      <extLst>
        <ext uri="{3e2802c4-a4d2-4d8b-9148-e3be6c30e623}">
          <xlrd:rvb i="488"/>
        </ext>
      </extLst>
    </bk>
    <bk>
      <extLst>
        <ext uri="{3e2802c4-a4d2-4d8b-9148-e3be6c30e623}">
          <xlrd:rvb i="489"/>
        </ext>
      </extLst>
    </bk>
    <bk>
      <extLst>
        <ext uri="{3e2802c4-a4d2-4d8b-9148-e3be6c30e623}">
          <xlrd:rvb i="490"/>
        </ext>
      </extLst>
    </bk>
    <bk>
      <extLst>
        <ext uri="{3e2802c4-a4d2-4d8b-9148-e3be6c30e623}">
          <xlrd:rvb i="491"/>
        </ext>
      </extLst>
    </bk>
    <bk>
      <extLst>
        <ext uri="{3e2802c4-a4d2-4d8b-9148-e3be6c30e623}">
          <xlrd:rvb i="492"/>
        </ext>
      </extLst>
    </bk>
    <bk>
      <extLst>
        <ext uri="{3e2802c4-a4d2-4d8b-9148-e3be6c30e623}">
          <xlrd:rvb i="493"/>
        </ext>
      </extLst>
    </bk>
    <bk>
      <extLst>
        <ext uri="{3e2802c4-a4d2-4d8b-9148-e3be6c30e623}">
          <xlrd:rvb i="494"/>
        </ext>
      </extLst>
    </bk>
    <bk>
      <extLst>
        <ext uri="{3e2802c4-a4d2-4d8b-9148-e3be6c30e623}">
          <xlrd:rvb i="495"/>
        </ext>
      </extLst>
    </bk>
    <bk>
      <extLst>
        <ext uri="{3e2802c4-a4d2-4d8b-9148-e3be6c30e623}">
          <xlrd:rvb i="496"/>
        </ext>
      </extLst>
    </bk>
    <bk>
      <extLst>
        <ext uri="{3e2802c4-a4d2-4d8b-9148-e3be6c30e623}">
          <xlrd:rvb i="497"/>
        </ext>
      </extLst>
    </bk>
    <bk>
      <extLst>
        <ext uri="{3e2802c4-a4d2-4d8b-9148-e3be6c30e623}">
          <xlrd:rvb i="498"/>
        </ext>
      </extLst>
    </bk>
    <bk>
      <extLst>
        <ext uri="{3e2802c4-a4d2-4d8b-9148-e3be6c30e623}">
          <xlrd:rvb i="499"/>
        </ext>
      </extLst>
    </bk>
    <bk>
      <extLst>
        <ext uri="{3e2802c4-a4d2-4d8b-9148-e3be6c30e623}">
          <xlrd:rvb i="500"/>
        </ext>
      </extLst>
    </bk>
    <bk>
      <extLst>
        <ext uri="{3e2802c4-a4d2-4d8b-9148-e3be6c30e623}">
          <xlrd:rvb i="501"/>
        </ext>
      </extLst>
    </bk>
    <bk>
      <extLst>
        <ext uri="{3e2802c4-a4d2-4d8b-9148-e3be6c30e623}">
          <xlrd:rvb i="502"/>
        </ext>
      </extLst>
    </bk>
    <bk>
      <extLst>
        <ext uri="{3e2802c4-a4d2-4d8b-9148-e3be6c30e623}">
          <xlrd:rvb i="503"/>
        </ext>
      </extLst>
    </bk>
    <bk>
      <extLst>
        <ext uri="{3e2802c4-a4d2-4d8b-9148-e3be6c30e623}">
          <xlrd:rvb i="504"/>
        </ext>
      </extLst>
    </bk>
    <bk>
      <extLst>
        <ext uri="{3e2802c4-a4d2-4d8b-9148-e3be6c30e623}">
          <xlrd:rvb i="505"/>
        </ext>
      </extLst>
    </bk>
    <bk>
      <extLst>
        <ext uri="{3e2802c4-a4d2-4d8b-9148-e3be6c30e623}">
          <xlrd:rvb i="506"/>
        </ext>
      </extLst>
    </bk>
    <bk>
      <extLst>
        <ext uri="{3e2802c4-a4d2-4d8b-9148-e3be6c30e623}">
          <xlrd:rvb i="507"/>
        </ext>
      </extLst>
    </bk>
    <bk>
      <extLst>
        <ext uri="{3e2802c4-a4d2-4d8b-9148-e3be6c30e623}">
          <xlrd:rvb i="508"/>
        </ext>
      </extLst>
    </bk>
    <bk>
      <extLst>
        <ext uri="{3e2802c4-a4d2-4d8b-9148-e3be6c30e623}">
          <xlrd:rvb i="509"/>
        </ext>
      </extLst>
    </bk>
    <bk>
      <extLst>
        <ext uri="{3e2802c4-a4d2-4d8b-9148-e3be6c30e623}">
          <xlrd:rvb i="510"/>
        </ext>
      </extLst>
    </bk>
    <bk>
      <extLst>
        <ext uri="{3e2802c4-a4d2-4d8b-9148-e3be6c30e623}">
          <xlrd:rvb i="511"/>
        </ext>
      </extLst>
    </bk>
    <bk>
      <extLst>
        <ext uri="{3e2802c4-a4d2-4d8b-9148-e3be6c30e623}">
          <xlrd:rvb i="512"/>
        </ext>
      </extLst>
    </bk>
    <bk>
      <extLst>
        <ext uri="{3e2802c4-a4d2-4d8b-9148-e3be6c30e623}">
          <xlrd:rvb i="513"/>
        </ext>
      </extLst>
    </bk>
    <bk>
      <extLst>
        <ext uri="{3e2802c4-a4d2-4d8b-9148-e3be6c30e623}">
          <xlrd:rvb i="514"/>
        </ext>
      </extLst>
    </bk>
    <bk>
      <extLst>
        <ext uri="{3e2802c4-a4d2-4d8b-9148-e3be6c30e623}">
          <xlrd:rvb i="515"/>
        </ext>
      </extLst>
    </bk>
    <bk>
      <extLst>
        <ext uri="{3e2802c4-a4d2-4d8b-9148-e3be6c30e623}">
          <xlrd:rvb i="516"/>
        </ext>
      </extLst>
    </bk>
    <bk>
      <extLst>
        <ext uri="{3e2802c4-a4d2-4d8b-9148-e3be6c30e623}">
          <xlrd:rvb i="517"/>
        </ext>
      </extLst>
    </bk>
    <bk>
      <extLst>
        <ext uri="{3e2802c4-a4d2-4d8b-9148-e3be6c30e623}">
          <xlrd:rvb i="518"/>
        </ext>
      </extLst>
    </bk>
    <bk>
      <extLst>
        <ext uri="{3e2802c4-a4d2-4d8b-9148-e3be6c30e623}">
          <xlrd:rvb i="519"/>
        </ext>
      </extLst>
    </bk>
    <bk>
      <extLst>
        <ext uri="{3e2802c4-a4d2-4d8b-9148-e3be6c30e623}">
          <xlrd:rvb i="520"/>
        </ext>
      </extLst>
    </bk>
    <bk>
      <extLst>
        <ext uri="{3e2802c4-a4d2-4d8b-9148-e3be6c30e623}">
          <xlrd:rvb i="521"/>
        </ext>
      </extLst>
    </bk>
    <bk>
      <extLst>
        <ext uri="{3e2802c4-a4d2-4d8b-9148-e3be6c30e623}">
          <xlrd:rvb i="522"/>
        </ext>
      </extLst>
    </bk>
    <bk>
      <extLst>
        <ext uri="{3e2802c4-a4d2-4d8b-9148-e3be6c30e623}">
          <xlrd:rvb i="523"/>
        </ext>
      </extLst>
    </bk>
    <bk>
      <extLst>
        <ext uri="{3e2802c4-a4d2-4d8b-9148-e3be6c30e623}">
          <xlrd:rvb i="524"/>
        </ext>
      </extLst>
    </bk>
    <bk>
      <extLst>
        <ext uri="{3e2802c4-a4d2-4d8b-9148-e3be6c30e623}">
          <xlrd:rvb i="525"/>
        </ext>
      </extLst>
    </bk>
    <bk>
      <extLst>
        <ext uri="{3e2802c4-a4d2-4d8b-9148-e3be6c30e623}">
          <xlrd:rvb i="526"/>
        </ext>
      </extLst>
    </bk>
    <bk>
      <extLst>
        <ext uri="{3e2802c4-a4d2-4d8b-9148-e3be6c30e623}">
          <xlrd:rvb i="527"/>
        </ext>
      </extLst>
    </bk>
    <bk>
      <extLst>
        <ext uri="{3e2802c4-a4d2-4d8b-9148-e3be6c30e623}">
          <xlrd:rvb i="528"/>
        </ext>
      </extLst>
    </bk>
    <bk>
      <extLst>
        <ext uri="{3e2802c4-a4d2-4d8b-9148-e3be6c30e623}">
          <xlrd:rvb i="529"/>
        </ext>
      </extLst>
    </bk>
    <bk>
      <extLst>
        <ext uri="{3e2802c4-a4d2-4d8b-9148-e3be6c30e623}">
          <xlrd:rvb i="530"/>
        </ext>
      </extLst>
    </bk>
    <bk>
      <extLst>
        <ext uri="{3e2802c4-a4d2-4d8b-9148-e3be6c30e623}">
          <xlrd:rvb i="531"/>
        </ext>
      </extLst>
    </bk>
    <bk>
      <extLst>
        <ext uri="{3e2802c4-a4d2-4d8b-9148-e3be6c30e623}">
          <xlrd:rvb i="532"/>
        </ext>
      </extLst>
    </bk>
    <bk>
      <extLst>
        <ext uri="{3e2802c4-a4d2-4d8b-9148-e3be6c30e623}">
          <xlrd:rvb i="533"/>
        </ext>
      </extLst>
    </bk>
    <bk>
      <extLst>
        <ext uri="{3e2802c4-a4d2-4d8b-9148-e3be6c30e623}">
          <xlrd:rvb i="534"/>
        </ext>
      </extLst>
    </bk>
    <bk>
      <extLst>
        <ext uri="{3e2802c4-a4d2-4d8b-9148-e3be6c30e623}">
          <xlrd:rvb i="535"/>
        </ext>
      </extLst>
    </bk>
    <bk>
      <extLst>
        <ext uri="{3e2802c4-a4d2-4d8b-9148-e3be6c30e623}">
          <xlrd:rvb i="536"/>
        </ext>
      </extLst>
    </bk>
    <bk>
      <extLst>
        <ext uri="{3e2802c4-a4d2-4d8b-9148-e3be6c30e623}">
          <xlrd:rvb i="537"/>
        </ext>
      </extLst>
    </bk>
    <bk>
      <extLst>
        <ext uri="{3e2802c4-a4d2-4d8b-9148-e3be6c30e623}">
          <xlrd:rvb i="538"/>
        </ext>
      </extLst>
    </bk>
    <bk>
      <extLst>
        <ext uri="{3e2802c4-a4d2-4d8b-9148-e3be6c30e623}">
          <xlrd:rvb i="539"/>
        </ext>
      </extLst>
    </bk>
    <bk>
      <extLst>
        <ext uri="{3e2802c4-a4d2-4d8b-9148-e3be6c30e623}">
          <xlrd:rvb i="540"/>
        </ext>
      </extLst>
    </bk>
    <bk>
      <extLst>
        <ext uri="{3e2802c4-a4d2-4d8b-9148-e3be6c30e623}">
          <xlrd:rvb i="541"/>
        </ext>
      </extLst>
    </bk>
    <bk>
      <extLst>
        <ext uri="{3e2802c4-a4d2-4d8b-9148-e3be6c30e623}">
          <xlrd:rvb i="542"/>
        </ext>
      </extLst>
    </bk>
    <bk>
      <extLst>
        <ext uri="{3e2802c4-a4d2-4d8b-9148-e3be6c30e623}">
          <xlrd:rvb i="543"/>
        </ext>
      </extLst>
    </bk>
    <bk>
      <extLst>
        <ext uri="{3e2802c4-a4d2-4d8b-9148-e3be6c30e623}">
          <xlrd:rvb i="544"/>
        </ext>
      </extLst>
    </bk>
    <bk>
      <extLst>
        <ext uri="{3e2802c4-a4d2-4d8b-9148-e3be6c30e623}">
          <xlrd:rvb i="545"/>
        </ext>
      </extLst>
    </bk>
    <bk>
      <extLst>
        <ext uri="{3e2802c4-a4d2-4d8b-9148-e3be6c30e623}">
          <xlrd:rvb i="546"/>
        </ext>
      </extLst>
    </bk>
    <bk>
      <extLst>
        <ext uri="{3e2802c4-a4d2-4d8b-9148-e3be6c30e623}">
          <xlrd:rvb i="547"/>
        </ext>
      </extLst>
    </bk>
    <bk>
      <extLst>
        <ext uri="{3e2802c4-a4d2-4d8b-9148-e3be6c30e623}">
          <xlrd:rvb i="548"/>
        </ext>
      </extLst>
    </bk>
    <bk>
      <extLst>
        <ext uri="{3e2802c4-a4d2-4d8b-9148-e3be6c30e623}">
          <xlrd:rvb i="549"/>
        </ext>
      </extLst>
    </bk>
    <bk>
      <extLst>
        <ext uri="{3e2802c4-a4d2-4d8b-9148-e3be6c30e623}">
          <xlrd:rvb i="550"/>
        </ext>
      </extLst>
    </bk>
    <bk>
      <extLst>
        <ext uri="{3e2802c4-a4d2-4d8b-9148-e3be6c30e623}">
          <xlrd:rvb i="551"/>
        </ext>
      </extLst>
    </bk>
    <bk>
      <extLst>
        <ext uri="{3e2802c4-a4d2-4d8b-9148-e3be6c30e623}">
          <xlrd:rvb i="552"/>
        </ext>
      </extLst>
    </bk>
    <bk>
      <extLst>
        <ext uri="{3e2802c4-a4d2-4d8b-9148-e3be6c30e623}">
          <xlrd:rvb i="553"/>
        </ext>
      </extLst>
    </bk>
    <bk>
      <extLst>
        <ext uri="{3e2802c4-a4d2-4d8b-9148-e3be6c30e623}">
          <xlrd:rvb i="554"/>
        </ext>
      </extLst>
    </bk>
    <bk>
      <extLst>
        <ext uri="{3e2802c4-a4d2-4d8b-9148-e3be6c30e623}">
          <xlrd:rvb i="555"/>
        </ext>
      </extLst>
    </bk>
    <bk>
      <extLst>
        <ext uri="{3e2802c4-a4d2-4d8b-9148-e3be6c30e623}">
          <xlrd:rvb i="556"/>
        </ext>
      </extLst>
    </bk>
    <bk>
      <extLst>
        <ext uri="{3e2802c4-a4d2-4d8b-9148-e3be6c30e623}">
          <xlrd:rvb i="557"/>
        </ext>
      </extLst>
    </bk>
    <bk>
      <extLst>
        <ext uri="{3e2802c4-a4d2-4d8b-9148-e3be6c30e623}">
          <xlrd:rvb i="558"/>
        </ext>
      </extLst>
    </bk>
    <bk>
      <extLst>
        <ext uri="{3e2802c4-a4d2-4d8b-9148-e3be6c30e623}">
          <xlrd:rvb i="559"/>
        </ext>
      </extLst>
    </bk>
    <bk>
      <extLst>
        <ext uri="{3e2802c4-a4d2-4d8b-9148-e3be6c30e623}">
          <xlrd:rvb i="560"/>
        </ext>
      </extLst>
    </bk>
    <bk>
      <extLst>
        <ext uri="{3e2802c4-a4d2-4d8b-9148-e3be6c30e623}">
          <xlrd:rvb i="561"/>
        </ext>
      </extLst>
    </bk>
    <bk>
      <extLst>
        <ext uri="{3e2802c4-a4d2-4d8b-9148-e3be6c30e623}">
          <xlrd:rvb i="562"/>
        </ext>
      </extLst>
    </bk>
    <bk>
      <extLst>
        <ext uri="{3e2802c4-a4d2-4d8b-9148-e3be6c30e623}">
          <xlrd:rvb i="563"/>
        </ext>
      </extLst>
    </bk>
    <bk>
      <extLst>
        <ext uri="{3e2802c4-a4d2-4d8b-9148-e3be6c30e623}">
          <xlrd:rvb i="564"/>
        </ext>
      </extLst>
    </bk>
    <bk>
      <extLst>
        <ext uri="{3e2802c4-a4d2-4d8b-9148-e3be6c30e623}">
          <xlrd:rvb i="565"/>
        </ext>
      </extLst>
    </bk>
    <bk>
      <extLst>
        <ext uri="{3e2802c4-a4d2-4d8b-9148-e3be6c30e623}">
          <xlrd:rvb i="566"/>
        </ext>
      </extLst>
    </bk>
    <bk>
      <extLst>
        <ext uri="{3e2802c4-a4d2-4d8b-9148-e3be6c30e623}">
          <xlrd:rvb i="567"/>
        </ext>
      </extLst>
    </bk>
    <bk>
      <extLst>
        <ext uri="{3e2802c4-a4d2-4d8b-9148-e3be6c30e623}">
          <xlrd:rvb i="568"/>
        </ext>
      </extLst>
    </bk>
    <bk>
      <extLst>
        <ext uri="{3e2802c4-a4d2-4d8b-9148-e3be6c30e623}">
          <xlrd:rvb i="569"/>
        </ext>
      </extLst>
    </bk>
    <bk>
      <extLst>
        <ext uri="{3e2802c4-a4d2-4d8b-9148-e3be6c30e623}">
          <xlrd:rvb i="570"/>
        </ext>
      </extLst>
    </bk>
    <bk>
      <extLst>
        <ext uri="{3e2802c4-a4d2-4d8b-9148-e3be6c30e623}">
          <xlrd:rvb i="571"/>
        </ext>
      </extLst>
    </bk>
    <bk>
      <extLst>
        <ext uri="{3e2802c4-a4d2-4d8b-9148-e3be6c30e623}">
          <xlrd:rvb i="572"/>
        </ext>
      </extLst>
    </bk>
    <bk>
      <extLst>
        <ext uri="{3e2802c4-a4d2-4d8b-9148-e3be6c30e623}">
          <xlrd:rvb i="573"/>
        </ext>
      </extLst>
    </bk>
    <bk>
      <extLst>
        <ext uri="{3e2802c4-a4d2-4d8b-9148-e3be6c30e623}">
          <xlrd:rvb i="574"/>
        </ext>
      </extLst>
    </bk>
    <bk>
      <extLst>
        <ext uri="{3e2802c4-a4d2-4d8b-9148-e3be6c30e623}">
          <xlrd:rvb i="575"/>
        </ext>
      </extLst>
    </bk>
    <bk>
      <extLst>
        <ext uri="{3e2802c4-a4d2-4d8b-9148-e3be6c30e623}">
          <xlrd:rvb i="576"/>
        </ext>
      </extLst>
    </bk>
    <bk>
      <extLst>
        <ext uri="{3e2802c4-a4d2-4d8b-9148-e3be6c30e623}">
          <xlrd:rvb i="577"/>
        </ext>
      </extLst>
    </bk>
    <bk>
      <extLst>
        <ext uri="{3e2802c4-a4d2-4d8b-9148-e3be6c30e623}">
          <xlrd:rvb i="578"/>
        </ext>
      </extLst>
    </bk>
    <bk>
      <extLst>
        <ext uri="{3e2802c4-a4d2-4d8b-9148-e3be6c30e623}">
          <xlrd:rvb i="579"/>
        </ext>
      </extLst>
    </bk>
    <bk>
      <extLst>
        <ext uri="{3e2802c4-a4d2-4d8b-9148-e3be6c30e623}">
          <xlrd:rvb i="580"/>
        </ext>
      </extLst>
    </bk>
    <bk>
      <extLst>
        <ext uri="{3e2802c4-a4d2-4d8b-9148-e3be6c30e623}">
          <xlrd:rvb i="581"/>
        </ext>
      </extLst>
    </bk>
    <bk>
      <extLst>
        <ext uri="{3e2802c4-a4d2-4d8b-9148-e3be6c30e623}">
          <xlrd:rvb i="582"/>
        </ext>
      </extLst>
    </bk>
    <bk>
      <extLst>
        <ext uri="{3e2802c4-a4d2-4d8b-9148-e3be6c30e623}">
          <xlrd:rvb i="583"/>
        </ext>
      </extLst>
    </bk>
    <bk>
      <extLst>
        <ext uri="{3e2802c4-a4d2-4d8b-9148-e3be6c30e623}">
          <xlrd:rvb i="584"/>
        </ext>
      </extLst>
    </bk>
    <bk>
      <extLst>
        <ext uri="{3e2802c4-a4d2-4d8b-9148-e3be6c30e623}">
          <xlrd:rvb i="585"/>
        </ext>
      </extLst>
    </bk>
    <bk>
      <extLst>
        <ext uri="{3e2802c4-a4d2-4d8b-9148-e3be6c30e623}">
          <xlrd:rvb i="586"/>
        </ext>
      </extLst>
    </bk>
    <bk>
      <extLst>
        <ext uri="{3e2802c4-a4d2-4d8b-9148-e3be6c30e623}">
          <xlrd:rvb i="587"/>
        </ext>
      </extLst>
    </bk>
    <bk>
      <extLst>
        <ext uri="{3e2802c4-a4d2-4d8b-9148-e3be6c30e623}">
          <xlrd:rvb i="588"/>
        </ext>
      </extLst>
    </bk>
    <bk>
      <extLst>
        <ext uri="{3e2802c4-a4d2-4d8b-9148-e3be6c30e623}">
          <xlrd:rvb i="589"/>
        </ext>
      </extLst>
    </bk>
    <bk>
      <extLst>
        <ext uri="{3e2802c4-a4d2-4d8b-9148-e3be6c30e623}">
          <xlrd:rvb i="590"/>
        </ext>
      </extLst>
    </bk>
    <bk>
      <extLst>
        <ext uri="{3e2802c4-a4d2-4d8b-9148-e3be6c30e623}">
          <xlrd:rvb i="591"/>
        </ext>
      </extLst>
    </bk>
    <bk>
      <extLst>
        <ext uri="{3e2802c4-a4d2-4d8b-9148-e3be6c30e623}">
          <xlrd:rvb i="592"/>
        </ext>
      </extLst>
    </bk>
    <bk>
      <extLst>
        <ext uri="{3e2802c4-a4d2-4d8b-9148-e3be6c30e623}">
          <xlrd:rvb i="593"/>
        </ext>
      </extLst>
    </bk>
    <bk>
      <extLst>
        <ext uri="{3e2802c4-a4d2-4d8b-9148-e3be6c30e623}">
          <xlrd:rvb i="594"/>
        </ext>
      </extLst>
    </bk>
    <bk>
      <extLst>
        <ext uri="{3e2802c4-a4d2-4d8b-9148-e3be6c30e623}">
          <xlrd:rvb i="595"/>
        </ext>
      </extLst>
    </bk>
    <bk>
      <extLst>
        <ext uri="{3e2802c4-a4d2-4d8b-9148-e3be6c30e623}">
          <xlrd:rvb i="596"/>
        </ext>
      </extLst>
    </bk>
    <bk>
      <extLst>
        <ext uri="{3e2802c4-a4d2-4d8b-9148-e3be6c30e623}">
          <xlrd:rvb i="597"/>
        </ext>
      </extLst>
    </bk>
    <bk>
      <extLst>
        <ext uri="{3e2802c4-a4d2-4d8b-9148-e3be6c30e623}">
          <xlrd:rvb i="598"/>
        </ext>
      </extLst>
    </bk>
    <bk>
      <extLst>
        <ext uri="{3e2802c4-a4d2-4d8b-9148-e3be6c30e623}">
          <xlrd:rvb i="599"/>
        </ext>
      </extLst>
    </bk>
    <bk>
      <extLst>
        <ext uri="{3e2802c4-a4d2-4d8b-9148-e3be6c30e623}">
          <xlrd:rvb i="600"/>
        </ext>
      </extLst>
    </bk>
    <bk>
      <extLst>
        <ext uri="{3e2802c4-a4d2-4d8b-9148-e3be6c30e623}">
          <xlrd:rvb i="601"/>
        </ext>
      </extLst>
    </bk>
    <bk>
      <extLst>
        <ext uri="{3e2802c4-a4d2-4d8b-9148-e3be6c30e623}">
          <xlrd:rvb i="602"/>
        </ext>
      </extLst>
    </bk>
    <bk>
      <extLst>
        <ext uri="{3e2802c4-a4d2-4d8b-9148-e3be6c30e623}">
          <xlrd:rvb i="603"/>
        </ext>
      </extLst>
    </bk>
    <bk>
      <extLst>
        <ext uri="{3e2802c4-a4d2-4d8b-9148-e3be6c30e623}">
          <xlrd:rvb i="604"/>
        </ext>
      </extLst>
    </bk>
    <bk>
      <extLst>
        <ext uri="{3e2802c4-a4d2-4d8b-9148-e3be6c30e623}">
          <xlrd:rvb i="605"/>
        </ext>
      </extLst>
    </bk>
    <bk>
      <extLst>
        <ext uri="{3e2802c4-a4d2-4d8b-9148-e3be6c30e623}">
          <xlrd:rvb i="606"/>
        </ext>
      </extLst>
    </bk>
    <bk>
      <extLst>
        <ext uri="{3e2802c4-a4d2-4d8b-9148-e3be6c30e623}">
          <xlrd:rvb i="607"/>
        </ext>
      </extLst>
    </bk>
    <bk>
      <extLst>
        <ext uri="{3e2802c4-a4d2-4d8b-9148-e3be6c30e623}">
          <xlrd:rvb i="608"/>
        </ext>
      </extLst>
    </bk>
    <bk>
      <extLst>
        <ext uri="{3e2802c4-a4d2-4d8b-9148-e3be6c30e623}">
          <xlrd:rvb i="609"/>
        </ext>
      </extLst>
    </bk>
    <bk>
      <extLst>
        <ext uri="{3e2802c4-a4d2-4d8b-9148-e3be6c30e623}">
          <xlrd:rvb i="610"/>
        </ext>
      </extLst>
    </bk>
    <bk>
      <extLst>
        <ext uri="{3e2802c4-a4d2-4d8b-9148-e3be6c30e623}">
          <xlrd:rvb i="611"/>
        </ext>
      </extLst>
    </bk>
    <bk>
      <extLst>
        <ext uri="{3e2802c4-a4d2-4d8b-9148-e3be6c30e623}">
          <xlrd:rvb i="612"/>
        </ext>
      </extLst>
    </bk>
    <bk>
      <extLst>
        <ext uri="{3e2802c4-a4d2-4d8b-9148-e3be6c30e623}">
          <xlrd:rvb i="613"/>
        </ext>
      </extLst>
    </bk>
    <bk>
      <extLst>
        <ext uri="{3e2802c4-a4d2-4d8b-9148-e3be6c30e623}">
          <xlrd:rvb i="614"/>
        </ext>
      </extLst>
    </bk>
    <bk>
      <extLst>
        <ext uri="{3e2802c4-a4d2-4d8b-9148-e3be6c30e623}">
          <xlrd:rvb i="615"/>
        </ext>
      </extLst>
    </bk>
    <bk>
      <extLst>
        <ext uri="{3e2802c4-a4d2-4d8b-9148-e3be6c30e623}">
          <xlrd:rvb i="616"/>
        </ext>
      </extLst>
    </bk>
    <bk>
      <extLst>
        <ext uri="{3e2802c4-a4d2-4d8b-9148-e3be6c30e623}">
          <xlrd:rvb i="617"/>
        </ext>
      </extLst>
    </bk>
    <bk>
      <extLst>
        <ext uri="{3e2802c4-a4d2-4d8b-9148-e3be6c30e623}">
          <xlrd:rvb i="618"/>
        </ext>
      </extLst>
    </bk>
    <bk>
      <extLst>
        <ext uri="{3e2802c4-a4d2-4d8b-9148-e3be6c30e623}">
          <xlrd:rvb i="619"/>
        </ext>
      </extLst>
    </bk>
    <bk>
      <extLst>
        <ext uri="{3e2802c4-a4d2-4d8b-9148-e3be6c30e623}">
          <xlrd:rvb i="620"/>
        </ext>
      </extLst>
    </bk>
    <bk>
      <extLst>
        <ext uri="{3e2802c4-a4d2-4d8b-9148-e3be6c30e623}">
          <xlrd:rvb i="621"/>
        </ext>
      </extLst>
    </bk>
    <bk>
      <extLst>
        <ext uri="{3e2802c4-a4d2-4d8b-9148-e3be6c30e623}">
          <xlrd:rvb i="622"/>
        </ext>
      </extLst>
    </bk>
    <bk>
      <extLst>
        <ext uri="{3e2802c4-a4d2-4d8b-9148-e3be6c30e623}">
          <xlrd:rvb i="623"/>
        </ext>
      </extLst>
    </bk>
    <bk>
      <extLst>
        <ext uri="{3e2802c4-a4d2-4d8b-9148-e3be6c30e623}">
          <xlrd:rvb i="624"/>
        </ext>
      </extLst>
    </bk>
    <bk>
      <extLst>
        <ext uri="{3e2802c4-a4d2-4d8b-9148-e3be6c30e623}">
          <xlrd:rvb i="625"/>
        </ext>
      </extLst>
    </bk>
    <bk>
      <extLst>
        <ext uri="{3e2802c4-a4d2-4d8b-9148-e3be6c30e623}">
          <xlrd:rvb i="626"/>
        </ext>
      </extLst>
    </bk>
    <bk>
      <extLst>
        <ext uri="{3e2802c4-a4d2-4d8b-9148-e3be6c30e623}">
          <xlrd:rvb i="627"/>
        </ext>
      </extLst>
    </bk>
    <bk>
      <extLst>
        <ext uri="{3e2802c4-a4d2-4d8b-9148-e3be6c30e623}">
          <xlrd:rvb i="628"/>
        </ext>
      </extLst>
    </bk>
    <bk>
      <extLst>
        <ext uri="{3e2802c4-a4d2-4d8b-9148-e3be6c30e623}">
          <xlrd:rvb i="629"/>
        </ext>
      </extLst>
    </bk>
    <bk>
      <extLst>
        <ext uri="{3e2802c4-a4d2-4d8b-9148-e3be6c30e623}">
          <xlrd:rvb i="630"/>
        </ext>
      </extLst>
    </bk>
    <bk>
      <extLst>
        <ext uri="{3e2802c4-a4d2-4d8b-9148-e3be6c30e623}">
          <xlrd:rvb i="631"/>
        </ext>
      </extLst>
    </bk>
    <bk>
      <extLst>
        <ext uri="{3e2802c4-a4d2-4d8b-9148-e3be6c30e623}">
          <xlrd:rvb i="632"/>
        </ext>
      </extLst>
    </bk>
    <bk>
      <extLst>
        <ext uri="{3e2802c4-a4d2-4d8b-9148-e3be6c30e623}">
          <xlrd:rvb i="633"/>
        </ext>
      </extLst>
    </bk>
    <bk>
      <extLst>
        <ext uri="{3e2802c4-a4d2-4d8b-9148-e3be6c30e623}">
          <xlrd:rvb i="634"/>
        </ext>
      </extLst>
    </bk>
    <bk>
      <extLst>
        <ext uri="{3e2802c4-a4d2-4d8b-9148-e3be6c30e623}">
          <xlrd:rvb i="635"/>
        </ext>
      </extLst>
    </bk>
    <bk>
      <extLst>
        <ext uri="{3e2802c4-a4d2-4d8b-9148-e3be6c30e623}">
          <xlrd:rvb i="636"/>
        </ext>
      </extLst>
    </bk>
    <bk>
      <extLst>
        <ext uri="{3e2802c4-a4d2-4d8b-9148-e3be6c30e623}">
          <xlrd:rvb i="637"/>
        </ext>
      </extLst>
    </bk>
    <bk>
      <extLst>
        <ext uri="{3e2802c4-a4d2-4d8b-9148-e3be6c30e623}">
          <xlrd:rvb i="638"/>
        </ext>
      </extLst>
    </bk>
    <bk>
      <extLst>
        <ext uri="{3e2802c4-a4d2-4d8b-9148-e3be6c30e623}">
          <xlrd:rvb i="639"/>
        </ext>
      </extLst>
    </bk>
    <bk>
      <extLst>
        <ext uri="{3e2802c4-a4d2-4d8b-9148-e3be6c30e623}">
          <xlrd:rvb i="640"/>
        </ext>
      </extLst>
    </bk>
    <bk>
      <extLst>
        <ext uri="{3e2802c4-a4d2-4d8b-9148-e3be6c30e623}">
          <xlrd:rvb i="641"/>
        </ext>
      </extLst>
    </bk>
    <bk>
      <extLst>
        <ext uri="{3e2802c4-a4d2-4d8b-9148-e3be6c30e623}">
          <xlrd:rvb i="642"/>
        </ext>
      </extLst>
    </bk>
    <bk>
      <extLst>
        <ext uri="{3e2802c4-a4d2-4d8b-9148-e3be6c30e623}">
          <xlrd:rvb i="643"/>
        </ext>
      </extLst>
    </bk>
    <bk>
      <extLst>
        <ext uri="{3e2802c4-a4d2-4d8b-9148-e3be6c30e623}">
          <xlrd:rvb i="644"/>
        </ext>
      </extLst>
    </bk>
    <bk>
      <extLst>
        <ext uri="{3e2802c4-a4d2-4d8b-9148-e3be6c30e623}">
          <xlrd:rvb i="645"/>
        </ext>
      </extLst>
    </bk>
    <bk>
      <extLst>
        <ext uri="{3e2802c4-a4d2-4d8b-9148-e3be6c30e623}">
          <xlrd:rvb i="646"/>
        </ext>
      </extLst>
    </bk>
    <bk>
      <extLst>
        <ext uri="{3e2802c4-a4d2-4d8b-9148-e3be6c30e623}">
          <xlrd:rvb i="647"/>
        </ext>
      </extLst>
    </bk>
    <bk>
      <extLst>
        <ext uri="{3e2802c4-a4d2-4d8b-9148-e3be6c30e623}">
          <xlrd:rvb i="648"/>
        </ext>
      </extLst>
    </bk>
    <bk>
      <extLst>
        <ext uri="{3e2802c4-a4d2-4d8b-9148-e3be6c30e623}">
          <xlrd:rvb i="649"/>
        </ext>
      </extLst>
    </bk>
    <bk>
      <extLst>
        <ext uri="{3e2802c4-a4d2-4d8b-9148-e3be6c30e623}">
          <xlrd:rvb i="650"/>
        </ext>
      </extLst>
    </bk>
    <bk>
      <extLst>
        <ext uri="{3e2802c4-a4d2-4d8b-9148-e3be6c30e623}">
          <xlrd:rvb i="651"/>
        </ext>
      </extLst>
    </bk>
    <bk>
      <extLst>
        <ext uri="{3e2802c4-a4d2-4d8b-9148-e3be6c30e623}">
          <xlrd:rvb i="652"/>
        </ext>
      </extLst>
    </bk>
    <bk>
      <extLst>
        <ext uri="{3e2802c4-a4d2-4d8b-9148-e3be6c30e623}">
          <xlrd:rvb i="653"/>
        </ext>
      </extLst>
    </bk>
    <bk>
      <extLst>
        <ext uri="{3e2802c4-a4d2-4d8b-9148-e3be6c30e623}">
          <xlrd:rvb i="654"/>
        </ext>
      </extLst>
    </bk>
    <bk>
      <extLst>
        <ext uri="{3e2802c4-a4d2-4d8b-9148-e3be6c30e623}">
          <xlrd:rvb i="655"/>
        </ext>
      </extLst>
    </bk>
    <bk>
      <extLst>
        <ext uri="{3e2802c4-a4d2-4d8b-9148-e3be6c30e623}">
          <xlrd:rvb i="656"/>
        </ext>
      </extLst>
    </bk>
    <bk>
      <extLst>
        <ext uri="{3e2802c4-a4d2-4d8b-9148-e3be6c30e623}">
          <xlrd:rvb i="657"/>
        </ext>
      </extLst>
    </bk>
    <bk>
      <extLst>
        <ext uri="{3e2802c4-a4d2-4d8b-9148-e3be6c30e623}">
          <xlrd:rvb i="658"/>
        </ext>
      </extLst>
    </bk>
    <bk>
      <extLst>
        <ext uri="{3e2802c4-a4d2-4d8b-9148-e3be6c30e623}">
          <xlrd:rvb i="659"/>
        </ext>
      </extLst>
    </bk>
    <bk>
      <extLst>
        <ext uri="{3e2802c4-a4d2-4d8b-9148-e3be6c30e623}">
          <xlrd:rvb i="660"/>
        </ext>
      </extLst>
    </bk>
    <bk>
      <extLst>
        <ext uri="{3e2802c4-a4d2-4d8b-9148-e3be6c30e623}">
          <xlrd:rvb i="661"/>
        </ext>
      </extLst>
    </bk>
    <bk>
      <extLst>
        <ext uri="{3e2802c4-a4d2-4d8b-9148-e3be6c30e623}">
          <xlrd:rvb i="662"/>
        </ext>
      </extLst>
    </bk>
    <bk>
      <extLst>
        <ext uri="{3e2802c4-a4d2-4d8b-9148-e3be6c30e623}">
          <xlrd:rvb i="663"/>
        </ext>
      </extLst>
    </bk>
    <bk>
      <extLst>
        <ext uri="{3e2802c4-a4d2-4d8b-9148-e3be6c30e623}">
          <xlrd:rvb i="664"/>
        </ext>
      </extLst>
    </bk>
    <bk>
      <extLst>
        <ext uri="{3e2802c4-a4d2-4d8b-9148-e3be6c30e623}">
          <xlrd:rvb i="665"/>
        </ext>
      </extLst>
    </bk>
    <bk>
      <extLst>
        <ext uri="{3e2802c4-a4d2-4d8b-9148-e3be6c30e623}">
          <xlrd:rvb i="666"/>
        </ext>
      </extLst>
    </bk>
    <bk>
      <extLst>
        <ext uri="{3e2802c4-a4d2-4d8b-9148-e3be6c30e623}">
          <xlrd:rvb i="667"/>
        </ext>
      </extLst>
    </bk>
    <bk>
      <extLst>
        <ext uri="{3e2802c4-a4d2-4d8b-9148-e3be6c30e623}">
          <xlrd:rvb i="668"/>
        </ext>
      </extLst>
    </bk>
    <bk>
      <extLst>
        <ext uri="{3e2802c4-a4d2-4d8b-9148-e3be6c30e623}">
          <xlrd:rvb i="669"/>
        </ext>
      </extLst>
    </bk>
    <bk>
      <extLst>
        <ext uri="{3e2802c4-a4d2-4d8b-9148-e3be6c30e623}">
          <xlrd:rvb i="670"/>
        </ext>
      </extLst>
    </bk>
    <bk>
      <extLst>
        <ext uri="{3e2802c4-a4d2-4d8b-9148-e3be6c30e623}">
          <xlrd:rvb i="671"/>
        </ext>
      </extLst>
    </bk>
    <bk>
      <extLst>
        <ext uri="{3e2802c4-a4d2-4d8b-9148-e3be6c30e623}">
          <xlrd:rvb i="672"/>
        </ext>
      </extLst>
    </bk>
    <bk>
      <extLst>
        <ext uri="{3e2802c4-a4d2-4d8b-9148-e3be6c30e623}">
          <xlrd:rvb i="673"/>
        </ext>
      </extLst>
    </bk>
    <bk>
      <extLst>
        <ext uri="{3e2802c4-a4d2-4d8b-9148-e3be6c30e623}">
          <xlrd:rvb i="674"/>
        </ext>
      </extLst>
    </bk>
    <bk>
      <extLst>
        <ext uri="{3e2802c4-a4d2-4d8b-9148-e3be6c30e623}">
          <xlrd:rvb i="675"/>
        </ext>
      </extLst>
    </bk>
    <bk>
      <extLst>
        <ext uri="{3e2802c4-a4d2-4d8b-9148-e3be6c30e623}">
          <xlrd:rvb i="676"/>
        </ext>
      </extLst>
    </bk>
    <bk>
      <extLst>
        <ext uri="{3e2802c4-a4d2-4d8b-9148-e3be6c30e623}">
          <xlrd:rvb i="677"/>
        </ext>
      </extLst>
    </bk>
    <bk>
      <extLst>
        <ext uri="{3e2802c4-a4d2-4d8b-9148-e3be6c30e623}">
          <xlrd:rvb i="678"/>
        </ext>
      </extLst>
    </bk>
    <bk>
      <extLst>
        <ext uri="{3e2802c4-a4d2-4d8b-9148-e3be6c30e623}">
          <xlrd:rvb i="679"/>
        </ext>
      </extLst>
    </bk>
    <bk>
      <extLst>
        <ext uri="{3e2802c4-a4d2-4d8b-9148-e3be6c30e623}">
          <xlrd:rvb i="680"/>
        </ext>
      </extLst>
    </bk>
    <bk>
      <extLst>
        <ext uri="{3e2802c4-a4d2-4d8b-9148-e3be6c30e623}">
          <xlrd:rvb i="681"/>
        </ext>
      </extLst>
    </bk>
    <bk>
      <extLst>
        <ext uri="{3e2802c4-a4d2-4d8b-9148-e3be6c30e623}">
          <xlrd:rvb i="682"/>
        </ext>
      </extLst>
    </bk>
    <bk>
      <extLst>
        <ext uri="{3e2802c4-a4d2-4d8b-9148-e3be6c30e623}">
          <xlrd:rvb i="683"/>
        </ext>
      </extLst>
    </bk>
    <bk>
      <extLst>
        <ext uri="{3e2802c4-a4d2-4d8b-9148-e3be6c30e623}">
          <xlrd:rvb i="684"/>
        </ext>
      </extLst>
    </bk>
    <bk>
      <extLst>
        <ext uri="{3e2802c4-a4d2-4d8b-9148-e3be6c30e623}">
          <xlrd:rvb i="685"/>
        </ext>
      </extLst>
    </bk>
    <bk>
      <extLst>
        <ext uri="{3e2802c4-a4d2-4d8b-9148-e3be6c30e623}">
          <xlrd:rvb i="686"/>
        </ext>
      </extLst>
    </bk>
    <bk>
      <extLst>
        <ext uri="{3e2802c4-a4d2-4d8b-9148-e3be6c30e623}">
          <xlrd:rvb i="687"/>
        </ext>
      </extLst>
    </bk>
    <bk>
      <extLst>
        <ext uri="{3e2802c4-a4d2-4d8b-9148-e3be6c30e623}">
          <xlrd:rvb i="688"/>
        </ext>
      </extLst>
    </bk>
    <bk>
      <extLst>
        <ext uri="{3e2802c4-a4d2-4d8b-9148-e3be6c30e623}">
          <xlrd:rvb i="689"/>
        </ext>
      </extLst>
    </bk>
    <bk>
      <extLst>
        <ext uri="{3e2802c4-a4d2-4d8b-9148-e3be6c30e623}">
          <xlrd:rvb i="690"/>
        </ext>
      </extLst>
    </bk>
    <bk>
      <extLst>
        <ext uri="{3e2802c4-a4d2-4d8b-9148-e3be6c30e623}">
          <xlrd:rvb i="691"/>
        </ext>
      </extLst>
    </bk>
    <bk>
      <extLst>
        <ext uri="{3e2802c4-a4d2-4d8b-9148-e3be6c30e623}">
          <xlrd:rvb i="692"/>
        </ext>
      </extLst>
    </bk>
    <bk>
      <extLst>
        <ext uri="{3e2802c4-a4d2-4d8b-9148-e3be6c30e623}">
          <xlrd:rvb i="693"/>
        </ext>
      </extLst>
    </bk>
    <bk>
      <extLst>
        <ext uri="{3e2802c4-a4d2-4d8b-9148-e3be6c30e623}">
          <xlrd:rvb i="694"/>
        </ext>
      </extLst>
    </bk>
    <bk>
      <extLst>
        <ext uri="{3e2802c4-a4d2-4d8b-9148-e3be6c30e623}">
          <xlrd:rvb i="695"/>
        </ext>
      </extLst>
    </bk>
    <bk>
      <extLst>
        <ext uri="{3e2802c4-a4d2-4d8b-9148-e3be6c30e623}">
          <xlrd:rvb i="696"/>
        </ext>
      </extLst>
    </bk>
    <bk>
      <extLst>
        <ext uri="{3e2802c4-a4d2-4d8b-9148-e3be6c30e623}">
          <xlrd:rvb i="697"/>
        </ext>
      </extLst>
    </bk>
    <bk>
      <extLst>
        <ext uri="{3e2802c4-a4d2-4d8b-9148-e3be6c30e623}">
          <xlrd:rvb i="698"/>
        </ext>
      </extLst>
    </bk>
    <bk>
      <extLst>
        <ext uri="{3e2802c4-a4d2-4d8b-9148-e3be6c30e623}">
          <xlrd:rvb i="699"/>
        </ext>
      </extLst>
    </bk>
    <bk>
      <extLst>
        <ext uri="{3e2802c4-a4d2-4d8b-9148-e3be6c30e623}">
          <xlrd:rvb i="700"/>
        </ext>
      </extLst>
    </bk>
    <bk>
      <extLst>
        <ext uri="{3e2802c4-a4d2-4d8b-9148-e3be6c30e623}">
          <xlrd:rvb i="701"/>
        </ext>
      </extLst>
    </bk>
    <bk>
      <extLst>
        <ext uri="{3e2802c4-a4d2-4d8b-9148-e3be6c30e623}">
          <xlrd:rvb i="702"/>
        </ext>
      </extLst>
    </bk>
    <bk>
      <extLst>
        <ext uri="{3e2802c4-a4d2-4d8b-9148-e3be6c30e623}">
          <xlrd:rvb i="703"/>
        </ext>
      </extLst>
    </bk>
    <bk>
      <extLst>
        <ext uri="{3e2802c4-a4d2-4d8b-9148-e3be6c30e623}">
          <xlrd:rvb i="704"/>
        </ext>
      </extLst>
    </bk>
    <bk>
      <extLst>
        <ext uri="{3e2802c4-a4d2-4d8b-9148-e3be6c30e623}">
          <xlrd:rvb i="705"/>
        </ext>
      </extLst>
    </bk>
    <bk>
      <extLst>
        <ext uri="{3e2802c4-a4d2-4d8b-9148-e3be6c30e623}">
          <xlrd:rvb i="706"/>
        </ext>
      </extLst>
    </bk>
    <bk>
      <extLst>
        <ext uri="{3e2802c4-a4d2-4d8b-9148-e3be6c30e623}">
          <xlrd:rvb i="707"/>
        </ext>
      </extLst>
    </bk>
    <bk>
      <extLst>
        <ext uri="{3e2802c4-a4d2-4d8b-9148-e3be6c30e623}">
          <xlrd:rvb i="708"/>
        </ext>
      </extLst>
    </bk>
    <bk>
      <extLst>
        <ext uri="{3e2802c4-a4d2-4d8b-9148-e3be6c30e623}">
          <xlrd:rvb i="709"/>
        </ext>
      </extLst>
    </bk>
    <bk>
      <extLst>
        <ext uri="{3e2802c4-a4d2-4d8b-9148-e3be6c30e623}">
          <xlrd:rvb i="710"/>
        </ext>
      </extLst>
    </bk>
    <bk>
      <extLst>
        <ext uri="{3e2802c4-a4d2-4d8b-9148-e3be6c30e623}">
          <xlrd:rvb i="711"/>
        </ext>
      </extLst>
    </bk>
    <bk>
      <extLst>
        <ext uri="{3e2802c4-a4d2-4d8b-9148-e3be6c30e623}">
          <xlrd:rvb i="712"/>
        </ext>
      </extLst>
    </bk>
    <bk>
      <extLst>
        <ext uri="{3e2802c4-a4d2-4d8b-9148-e3be6c30e623}">
          <xlrd:rvb i="713"/>
        </ext>
      </extLst>
    </bk>
    <bk>
      <extLst>
        <ext uri="{3e2802c4-a4d2-4d8b-9148-e3be6c30e623}">
          <xlrd:rvb i="714"/>
        </ext>
      </extLst>
    </bk>
    <bk>
      <extLst>
        <ext uri="{3e2802c4-a4d2-4d8b-9148-e3be6c30e623}">
          <xlrd:rvb i="715"/>
        </ext>
      </extLst>
    </bk>
    <bk>
      <extLst>
        <ext uri="{3e2802c4-a4d2-4d8b-9148-e3be6c30e623}">
          <xlrd:rvb i="716"/>
        </ext>
      </extLst>
    </bk>
    <bk>
      <extLst>
        <ext uri="{3e2802c4-a4d2-4d8b-9148-e3be6c30e623}">
          <xlrd:rvb i="717"/>
        </ext>
      </extLst>
    </bk>
    <bk>
      <extLst>
        <ext uri="{3e2802c4-a4d2-4d8b-9148-e3be6c30e623}">
          <xlrd:rvb i="718"/>
        </ext>
      </extLst>
    </bk>
    <bk>
      <extLst>
        <ext uri="{3e2802c4-a4d2-4d8b-9148-e3be6c30e623}">
          <xlrd:rvb i="719"/>
        </ext>
      </extLst>
    </bk>
    <bk>
      <extLst>
        <ext uri="{3e2802c4-a4d2-4d8b-9148-e3be6c30e623}">
          <xlrd:rvb i="720"/>
        </ext>
      </extLst>
    </bk>
    <bk>
      <extLst>
        <ext uri="{3e2802c4-a4d2-4d8b-9148-e3be6c30e623}">
          <xlrd:rvb i="721"/>
        </ext>
      </extLst>
    </bk>
    <bk>
      <extLst>
        <ext uri="{3e2802c4-a4d2-4d8b-9148-e3be6c30e623}">
          <xlrd:rvb i="722"/>
        </ext>
      </extLst>
    </bk>
    <bk>
      <extLst>
        <ext uri="{3e2802c4-a4d2-4d8b-9148-e3be6c30e623}">
          <xlrd:rvb i="723"/>
        </ext>
      </extLst>
    </bk>
    <bk>
      <extLst>
        <ext uri="{3e2802c4-a4d2-4d8b-9148-e3be6c30e623}">
          <xlrd:rvb i="724"/>
        </ext>
      </extLst>
    </bk>
    <bk>
      <extLst>
        <ext uri="{3e2802c4-a4d2-4d8b-9148-e3be6c30e623}">
          <xlrd:rvb i="725"/>
        </ext>
      </extLst>
    </bk>
    <bk>
      <extLst>
        <ext uri="{3e2802c4-a4d2-4d8b-9148-e3be6c30e623}">
          <xlrd:rvb i="726"/>
        </ext>
      </extLst>
    </bk>
    <bk>
      <extLst>
        <ext uri="{3e2802c4-a4d2-4d8b-9148-e3be6c30e623}">
          <xlrd:rvb i="727"/>
        </ext>
      </extLst>
    </bk>
    <bk>
      <extLst>
        <ext uri="{3e2802c4-a4d2-4d8b-9148-e3be6c30e623}">
          <xlrd:rvb i="728"/>
        </ext>
      </extLst>
    </bk>
    <bk>
      <extLst>
        <ext uri="{3e2802c4-a4d2-4d8b-9148-e3be6c30e623}">
          <xlrd:rvb i="729"/>
        </ext>
      </extLst>
    </bk>
    <bk>
      <extLst>
        <ext uri="{3e2802c4-a4d2-4d8b-9148-e3be6c30e623}">
          <xlrd:rvb i="730"/>
        </ext>
      </extLst>
    </bk>
    <bk>
      <extLst>
        <ext uri="{3e2802c4-a4d2-4d8b-9148-e3be6c30e623}">
          <xlrd:rvb i="731"/>
        </ext>
      </extLst>
    </bk>
    <bk>
      <extLst>
        <ext uri="{3e2802c4-a4d2-4d8b-9148-e3be6c30e623}">
          <xlrd:rvb i="732"/>
        </ext>
      </extLst>
    </bk>
    <bk>
      <extLst>
        <ext uri="{3e2802c4-a4d2-4d8b-9148-e3be6c30e623}">
          <xlrd:rvb i="733"/>
        </ext>
      </extLst>
    </bk>
    <bk>
      <extLst>
        <ext uri="{3e2802c4-a4d2-4d8b-9148-e3be6c30e623}">
          <xlrd:rvb i="734"/>
        </ext>
      </extLst>
    </bk>
    <bk>
      <extLst>
        <ext uri="{3e2802c4-a4d2-4d8b-9148-e3be6c30e623}">
          <xlrd:rvb i="735"/>
        </ext>
      </extLst>
    </bk>
    <bk>
      <extLst>
        <ext uri="{3e2802c4-a4d2-4d8b-9148-e3be6c30e623}">
          <xlrd:rvb i="736"/>
        </ext>
      </extLst>
    </bk>
    <bk>
      <extLst>
        <ext uri="{3e2802c4-a4d2-4d8b-9148-e3be6c30e623}">
          <xlrd:rvb i="737"/>
        </ext>
      </extLst>
    </bk>
    <bk>
      <extLst>
        <ext uri="{3e2802c4-a4d2-4d8b-9148-e3be6c30e623}">
          <xlrd:rvb i="738"/>
        </ext>
      </extLst>
    </bk>
    <bk>
      <extLst>
        <ext uri="{3e2802c4-a4d2-4d8b-9148-e3be6c30e623}">
          <xlrd:rvb i="739"/>
        </ext>
      </extLst>
    </bk>
    <bk>
      <extLst>
        <ext uri="{3e2802c4-a4d2-4d8b-9148-e3be6c30e623}">
          <xlrd:rvb i="740"/>
        </ext>
      </extLst>
    </bk>
    <bk>
      <extLst>
        <ext uri="{3e2802c4-a4d2-4d8b-9148-e3be6c30e623}">
          <xlrd:rvb i="741"/>
        </ext>
      </extLst>
    </bk>
    <bk>
      <extLst>
        <ext uri="{3e2802c4-a4d2-4d8b-9148-e3be6c30e623}">
          <xlrd:rvb i="742"/>
        </ext>
      </extLst>
    </bk>
    <bk>
      <extLst>
        <ext uri="{3e2802c4-a4d2-4d8b-9148-e3be6c30e623}">
          <xlrd:rvb i="743"/>
        </ext>
      </extLst>
    </bk>
    <bk>
      <extLst>
        <ext uri="{3e2802c4-a4d2-4d8b-9148-e3be6c30e623}">
          <xlrd:rvb i="744"/>
        </ext>
      </extLst>
    </bk>
    <bk>
      <extLst>
        <ext uri="{3e2802c4-a4d2-4d8b-9148-e3be6c30e623}">
          <xlrd:rvb i="745"/>
        </ext>
      </extLst>
    </bk>
    <bk>
      <extLst>
        <ext uri="{3e2802c4-a4d2-4d8b-9148-e3be6c30e623}">
          <xlrd:rvb i="746"/>
        </ext>
      </extLst>
    </bk>
    <bk>
      <extLst>
        <ext uri="{3e2802c4-a4d2-4d8b-9148-e3be6c30e623}">
          <xlrd:rvb i="747"/>
        </ext>
      </extLst>
    </bk>
    <bk>
      <extLst>
        <ext uri="{3e2802c4-a4d2-4d8b-9148-e3be6c30e623}">
          <xlrd:rvb i="748"/>
        </ext>
      </extLst>
    </bk>
    <bk>
      <extLst>
        <ext uri="{3e2802c4-a4d2-4d8b-9148-e3be6c30e623}">
          <xlrd:rvb i="749"/>
        </ext>
      </extLst>
    </bk>
    <bk>
      <extLst>
        <ext uri="{3e2802c4-a4d2-4d8b-9148-e3be6c30e623}">
          <xlrd:rvb i="750"/>
        </ext>
      </extLst>
    </bk>
    <bk>
      <extLst>
        <ext uri="{3e2802c4-a4d2-4d8b-9148-e3be6c30e623}">
          <xlrd:rvb i="751"/>
        </ext>
      </extLst>
    </bk>
    <bk>
      <extLst>
        <ext uri="{3e2802c4-a4d2-4d8b-9148-e3be6c30e623}">
          <xlrd:rvb i="752"/>
        </ext>
      </extLst>
    </bk>
    <bk>
      <extLst>
        <ext uri="{3e2802c4-a4d2-4d8b-9148-e3be6c30e623}">
          <xlrd:rvb i="753"/>
        </ext>
      </extLst>
    </bk>
    <bk>
      <extLst>
        <ext uri="{3e2802c4-a4d2-4d8b-9148-e3be6c30e623}">
          <xlrd:rvb i="754"/>
        </ext>
      </extLst>
    </bk>
    <bk>
      <extLst>
        <ext uri="{3e2802c4-a4d2-4d8b-9148-e3be6c30e623}">
          <xlrd:rvb i="755"/>
        </ext>
      </extLst>
    </bk>
    <bk>
      <extLst>
        <ext uri="{3e2802c4-a4d2-4d8b-9148-e3be6c30e623}">
          <xlrd:rvb i="756"/>
        </ext>
      </extLst>
    </bk>
    <bk>
      <extLst>
        <ext uri="{3e2802c4-a4d2-4d8b-9148-e3be6c30e623}">
          <xlrd:rvb i="757"/>
        </ext>
      </extLst>
    </bk>
    <bk>
      <extLst>
        <ext uri="{3e2802c4-a4d2-4d8b-9148-e3be6c30e623}">
          <xlrd:rvb i="758"/>
        </ext>
      </extLst>
    </bk>
    <bk>
      <extLst>
        <ext uri="{3e2802c4-a4d2-4d8b-9148-e3be6c30e623}">
          <xlrd:rvb i="759"/>
        </ext>
      </extLst>
    </bk>
    <bk>
      <extLst>
        <ext uri="{3e2802c4-a4d2-4d8b-9148-e3be6c30e623}">
          <xlrd:rvb i="760"/>
        </ext>
      </extLst>
    </bk>
    <bk>
      <extLst>
        <ext uri="{3e2802c4-a4d2-4d8b-9148-e3be6c30e623}">
          <xlrd:rvb i="761"/>
        </ext>
      </extLst>
    </bk>
    <bk>
      <extLst>
        <ext uri="{3e2802c4-a4d2-4d8b-9148-e3be6c30e623}">
          <xlrd:rvb i="762"/>
        </ext>
      </extLst>
    </bk>
    <bk>
      <extLst>
        <ext uri="{3e2802c4-a4d2-4d8b-9148-e3be6c30e623}">
          <xlrd:rvb i="763"/>
        </ext>
      </extLst>
    </bk>
    <bk>
      <extLst>
        <ext uri="{3e2802c4-a4d2-4d8b-9148-e3be6c30e623}">
          <xlrd:rvb i="764"/>
        </ext>
      </extLst>
    </bk>
    <bk>
      <extLst>
        <ext uri="{3e2802c4-a4d2-4d8b-9148-e3be6c30e623}">
          <xlrd:rvb i="765"/>
        </ext>
      </extLst>
    </bk>
    <bk>
      <extLst>
        <ext uri="{3e2802c4-a4d2-4d8b-9148-e3be6c30e623}">
          <xlrd:rvb i="766"/>
        </ext>
      </extLst>
    </bk>
    <bk>
      <extLst>
        <ext uri="{3e2802c4-a4d2-4d8b-9148-e3be6c30e623}">
          <xlrd:rvb i="767"/>
        </ext>
      </extLst>
    </bk>
    <bk>
      <extLst>
        <ext uri="{3e2802c4-a4d2-4d8b-9148-e3be6c30e623}">
          <xlrd:rvb i="768"/>
        </ext>
      </extLst>
    </bk>
    <bk>
      <extLst>
        <ext uri="{3e2802c4-a4d2-4d8b-9148-e3be6c30e623}">
          <xlrd:rvb i="769"/>
        </ext>
      </extLst>
    </bk>
    <bk>
      <extLst>
        <ext uri="{3e2802c4-a4d2-4d8b-9148-e3be6c30e623}">
          <xlrd:rvb i="770"/>
        </ext>
      </extLst>
    </bk>
    <bk>
      <extLst>
        <ext uri="{3e2802c4-a4d2-4d8b-9148-e3be6c30e623}">
          <xlrd:rvb i="771"/>
        </ext>
      </extLst>
    </bk>
    <bk>
      <extLst>
        <ext uri="{3e2802c4-a4d2-4d8b-9148-e3be6c30e623}">
          <xlrd:rvb i="772"/>
        </ext>
      </extLst>
    </bk>
    <bk>
      <extLst>
        <ext uri="{3e2802c4-a4d2-4d8b-9148-e3be6c30e623}">
          <xlrd:rvb i="773"/>
        </ext>
      </extLst>
    </bk>
    <bk>
      <extLst>
        <ext uri="{3e2802c4-a4d2-4d8b-9148-e3be6c30e623}">
          <xlrd:rvb i="774"/>
        </ext>
      </extLst>
    </bk>
    <bk>
      <extLst>
        <ext uri="{3e2802c4-a4d2-4d8b-9148-e3be6c30e623}">
          <xlrd:rvb i="775"/>
        </ext>
      </extLst>
    </bk>
    <bk>
      <extLst>
        <ext uri="{3e2802c4-a4d2-4d8b-9148-e3be6c30e623}">
          <xlrd:rvb i="776"/>
        </ext>
      </extLst>
    </bk>
    <bk>
      <extLst>
        <ext uri="{3e2802c4-a4d2-4d8b-9148-e3be6c30e623}">
          <xlrd:rvb i="777"/>
        </ext>
      </extLst>
    </bk>
    <bk>
      <extLst>
        <ext uri="{3e2802c4-a4d2-4d8b-9148-e3be6c30e623}">
          <xlrd:rvb i="778"/>
        </ext>
      </extLst>
    </bk>
    <bk>
      <extLst>
        <ext uri="{3e2802c4-a4d2-4d8b-9148-e3be6c30e623}">
          <xlrd:rvb i="779"/>
        </ext>
      </extLst>
    </bk>
    <bk>
      <extLst>
        <ext uri="{3e2802c4-a4d2-4d8b-9148-e3be6c30e623}">
          <xlrd:rvb i="780"/>
        </ext>
      </extLst>
    </bk>
    <bk>
      <extLst>
        <ext uri="{3e2802c4-a4d2-4d8b-9148-e3be6c30e623}">
          <xlrd:rvb i="781"/>
        </ext>
      </extLst>
    </bk>
    <bk>
      <extLst>
        <ext uri="{3e2802c4-a4d2-4d8b-9148-e3be6c30e623}">
          <xlrd:rvb i="782"/>
        </ext>
      </extLst>
    </bk>
    <bk>
      <extLst>
        <ext uri="{3e2802c4-a4d2-4d8b-9148-e3be6c30e623}">
          <xlrd:rvb i="783"/>
        </ext>
      </extLst>
    </bk>
    <bk>
      <extLst>
        <ext uri="{3e2802c4-a4d2-4d8b-9148-e3be6c30e623}">
          <xlrd:rvb i="784"/>
        </ext>
      </extLst>
    </bk>
    <bk>
      <extLst>
        <ext uri="{3e2802c4-a4d2-4d8b-9148-e3be6c30e623}">
          <xlrd:rvb i="785"/>
        </ext>
      </extLst>
    </bk>
    <bk>
      <extLst>
        <ext uri="{3e2802c4-a4d2-4d8b-9148-e3be6c30e623}">
          <xlrd:rvb i="786"/>
        </ext>
      </extLst>
    </bk>
    <bk>
      <extLst>
        <ext uri="{3e2802c4-a4d2-4d8b-9148-e3be6c30e623}">
          <xlrd:rvb i="787"/>
        </ext>
      </extLst>
    </bk>
    <bk>
      <extLst>
        <ext uri="{3e2802c4-a4d2-4d8b-9148-e3be6c30e623}">
          <xlrd:rvb i="788"/>
        </ext>
      </extLst>
    </bk>
    <bk>
      <extLst>
        <ext uri="{3e2802c4-a4d2-4d8b-9148-e3be6c30e623}">
          <xlrd:rvb i="789"/>
        </ext>
      </extLst>
    </bk>
    <bk>
      <extLst>
        <ext uri="{3e2802c4-a4d2-4d8b-9148-e3be6c30e623}">
          <xlrd:rvb i="790"/>
        </ext>
      </extLst>
    </bk>
    <bk>
      <extLst>
        <ext uri="{3e2802c4-a4d2-4d8b-9148-e3be6c30e623}">
          <xlrd:rvb i="791"/>
        </ext>
      </extLst>
    </bk>
    <bk>
      <extLst>
        <ext uri="{3e2802c4-a4d2-4d8b-9148-e3be6c30e623}">
          <xlrd:rvb i="792"/>
        </ext>
      </extLst>
    </bk>
    <bk>
      <extLst>
        <ext uri="{3e2802c4-a4d2-4d8b-9148-e3be6c30e623}">
          <xlrd:rvb i="793"/>
        </ext>
      </extLst>
    </bk>
    <bk>
      <extLst>
        <ext uri="{3e2802c4-a4d2-4d8b-9148-e3be6c30e623}">
          <xlrd:rvb i="794"/>
        </ext>
      </extLst>
    </bk>
    <bk>
      <extLst>
        <ext uri="{3e2802c4-a4d2-4d8b-9148-e3be6c30e623}">
          <xlrd:rvb i="795"/>
        </ext>
      </extLst>
    </bk>
    <bk>
      <extLst>
        <ext uri="{3e2802c4-a4d2-4d8b-9148-e3be6c30e623}">
          <xlrd:rvb i="796"/>
        </ext>
      </extLst>
    </bk>
    <bk>
      <extLst>
        <ext uri="{3e2802c4-a4d2-4d8b-9148-e3be6c30e623}">
          <xlrd:rvb i="797"/>
        </ext>
      </extLst>
    </bk>
    <bk>
      <extLst>
        <ext uri="{3e2802c4-a4d2-4d8b-9148-e3be6c30e623}">
          <xlrd:rvb i="798"/>
        </ext>
      </extLst>
    </bk>
    <bk>
      <extLst>
        <ext uri="{3e2802c4-a4d2-4d8b-9148-e3be6c30e623}">
          <xlrd:rvb i="799"/>
        </ext>
      </extLst>
    </bk>
    <bk>
      <extLst>
        <ext uri="{3e2802c4-a4d2-4d8b-9148-e3be6c30e623}">
          <xlrd:rvb i="800"/>
        </ext>
      </extLst>
    </bk>
    <bk>
      <extLst>
        <ext uri="{3e2802c4-a4d2-4d8b-9148-e3be6c30e623}">
          <xlrd:rvb i="801"/>
        </ext>
      </extLst>
    </bk>
    <bk>
      <extLst>
        <ext uri="{3e2802c4-a4d2-4d8b-9148-e3be6c30e623}">
          <xlrd:rvb i="802"/>
        </ext>
      </extLst>
    </bk>
    <bk>
      <extLst>
        <ext uri="{3e2802c4-a4d2-4d8b-9148-e3be6c30e623}">
          <xlrd:rvb i="803"/>
        </ext>
      </extLst>
    </bk>
    <bk>
      <extLst>
        <ext uri="{3e2802c4-a4d2-4d8b-9148-e3be6c30e623}">
          <xlrd:rvb i="804"/>
        </ext>
      </extLst>
    </bk>
    <bk>
      <extLst>
        <ext uri="{3e2802c4-a4d2-4d8b-9148-e3be6c30e623}">
          <xlrd:rvb i="805"/>
        </ext>
      </extLst>
    </bk>
    <bk>
      <extLst>
        <ext uri="{3e2802c4-a4d2-4d8b-9148-e3be6c30e623}">
          <xlrd:rvb i="806"/>
        </ext>
      </extLst>
    </bk>
    <bk>
      <extLst>
        <ext uri="{3e2802c4-a4d2-4d8b-9148-e3be6c30e623}">
          <xlrd:rvb i="807"/>
        </ext>
      </extLst>
    </bk>
    <bk>
      <extLst>
        <ext uri="{3e2802c4-a4d2-4d8b-9148-e3be6c30e623}">
          <xlrd:rvb i="808"/>
        </ext>
      </extLst>
    </bk>
    <bk>
      <extLst>
        <ext uri="{3e2802c4-a4d2-4d8b-9148-e3be6c30e623}">
          <xlrd:rvb i="809"/>
        </ext>
      </extLst>
    </bk>
    <bk>
      <extLst>
        <ext uri="{3e2802c4-a4d2-4d8b-9148-e3be6c30e623}">
          <xlrd:rvb i="810"/>
        </ext>
      </extLst>
    </bk>
    <bk>
      <extLst>
        <ext uri="{3e2802c4-a4d2-4d8b-9148-e3be6c30e623}">
          <xlrd:rvb i="811"/>
        </ext>
      </extLst>
    </bk>
    <bk>
      <extLst>
        <ext uri="{3e2802c4-a4d2-4d8b-9148-e3be6c30e623}">
          <xlrd:rvb i="812"/>
        </ext>
      </extLst>
    </bk>
    <bk>
      <extLst>
        <ext uri="{3e2802c4-a4d2-4d8b-9148-e3be6c30e623}">
          <xlrd:rvb i="813"/>
        </ext>
      </extLst>
    </bk>
    <bk>
      <extLst>
        <ext uri="{3e2802c4-a4d2-4d8b-9148-e3be6c30e623}">
          <xlrd:rvb i="814"/>
        </ext>
      </extLst>
    </bk>
    <bk>
      <extLst>
        <ext uri="{3e2802c4-a4d2-4d8b-9148-e3be6c30e623}">
          <xlrd:rvb i="815"/>
        </ext>
      </extLst>
    </bk>
    <bk>
      <extLst>
        <ext uri="{3e2802c4-a4d2-4d8b-9148-e3be6c30e623}">
          <xlrd:rvb i="816"/>
        </ext>
      </extLst>
    </bk>
    <bk>
      <extLst>
        <ext uri="{3e2802c4-a4d2-4d8b-9148-e3be6c30e623}">
          <xlrd:rvb i="817"/>
        </ext>
      </extLst>
    </bk>
    <bk>
      <extLst>
        <ext uri="{3e2802c4-a4d2-4d8b-9148-e3be6c30e623}">
          <xlrd:rvb i="818"/>
        </ext>
      </extLst>
    </bk>
    <bk>
      <extLst>
        <ext uri="{3e2802c4-a4d2-4d8b-9148-e3be6c30e623}">
          <xlrd:rvb i="819"/>
        </ext>
      </extLst>
    </bk>
    <bk>
      <extLst>
        <ext uri="{3e2802c4-a4d2-4d8b-9148-e3be6c30e623}">
          <xlrd:rvb i="820"/>
        </ext>
      </extLst>
    </bk>
    <bk>
      <extLst>
        <ext uri="{3e2802c4-a4d2-4d8b-9148-e3be6c30e623}">
          <xlrd:rvb i="821"/>
        </ext>
      </extLst>
    </bk>
    <bk>
      <extLst>
        <ext uri="{3e2802c4-a4d2-4d8b-9148-e3be6c30e623}">
          <xlrd:rvb i="822"/>
        </ext>
      </extLst>
    </bk>
    <bk>
      <extLst>
        <ext uri="{3e2802c4-a4d2-4d8b-9148-e3be6c30e623}">
          <xlrd:rvb i="823"/>
        </ext>
      </extLst>
    </bk>
    <bk>
      <extLst>
        <ext uri="{3e2802c4-a4d2-4d8b-9148-e3be6c30e623}">
          <xlrd:rvb i="824"/>
        </ext>
      </extLst>
    </bk>
    <bk>
      <extLst>
        <ext uri="{3e2802c4-a4d2-4d8b-9148-e3be6c30e623}">
          <xlrd:rvb i="825"/>
        </ext>
      </extLst>
    </bk>
    <bk>
      <extLst>
        <ext uri="{3e2802c4-a4d2-4d8b-9148-e3be6c30e623}">
          <xlrd:rvb i="826"/>
        </ext>
      </extLst>
    </bk>
    <bk>
      <extLst>
        <ext uri="{3e2802c4-a4d2-4d8b-9148-e3be6c30e623}">
          <xlrd:rvb i="827"/>
        </ext>
      </extLst>
    </bk>
    <bk>
      <extLst>
        <ext uri="{3e2802c4-a4d2-4d8b-9148-e3be6c30e623}">
          <xlrd:rvb i="828"/>
        </ext>
      </extLst>
    </bk>
    <bk>
      <extLst>
        <ext uri="{3e2802c4-a4d2-4d8b-9148-e3be6c30e623}">
          <xlrd:rvb i="829"/>
        </ext>
      </extLst>
    </bk>
    <bk>
      <extLst>
        <ext uri="{3e2802c4-a4d2-4d8b-9148-e3be6c30e623}">
          <xlrd:rvb i="830"/>
        </ext>
      </extLst>
    </bk>
    <bk>
      <extLst>
        <ext uri="{3e2802c4-a4d2-4d8b-9148-e3be6c30e623}">
          <xlrd:rvb i="831"/>
        </ext>
      </extLst>
    </bk>
    <bk>
      <extLst>
        <ext uri="{3e2802c4-a4d2-4d8b-9148-e3be6c30e623}">
          <xlrd:rvb i="832"/>
        </ext>
      </extLst>
    </bk>
    <bk>
      <extLst>
        <ext uri="{3e2802c4-a4d2-4d8b-9148-e3be6c30e623}">
          <xlrd:rvb i="833"/>
        </ext>
      </extLst>
    </bk>
    <bk>
      <extLst>
        <ext uri="{3e2802c4-a4d2-4d8b-9148-e3be6c30e623}">
          <xlrd:rvb i="834"/>
        </ext>
      </extLst>
    </bk>
    <bk>
      <extLst>
        <ext uri="{3e2802c4-a4d2-4d8b-9148-e3be6c30e623}">
          <xlrd:rvb i="835"/>
        </ext>
      </extLst>
    </bk>
    <bk>
      <extLst>
        <ext uri="{3e2802c4-a4d2-4d8b-9148-e3be6c30e623}">
          <xlrd:rvb i="836"/>
        </ext>
      </extLst>
    </bk>
    <bk>
      <extLst>
        <ext uri="{3e2802c4-a4d2-4d8b-9148-e3be6c30e623}">
          <xlrd:rvb i="837"/>
        </ext>
      </extLst>
    </bk>
    <bk>
      <extLst>
        <ext uri="{3e2802c4-a4d2-4d8b-9148-e3be6c30e623}">
          <xlrd:rvb i="838"/>
        </ext>
      </extLst>
    </bk>
    <bk>
      <extLst>
        <ext uri="{3e2802c4-a4d2-4d8b-9148-e3be6c30e623}">
          <xlrd:rvb i="839"/>
        </ext>
      </extLst>
    </bk>
    <bk>
      <extLst>
        <ext uri="{3e2802c4-a4d2-4d8b-9148-e3be6c30e623}">
          <xlrd:rvb i="840"/>
        </ext>
      </extLst>
    </bk>
    <bk>
      <extLst>
        <ext uri="{3e2802c4-a4d2-4d8b-9148-e3be6c30e623}">
          <xlrd:rvb i="841"/>
        </ext>
      </extLst>
    </bk>
    <bk>
      <extLst>
        <ext uri="{3e2802c4-a4d2-4d8b-9148-e3be6c30e623}">
          <xlrd:rvb i="842"/>
        </ext>
      </extLst>
    </bk>
    <bk>
      <extLst>
        <ext uri="{3e2802c4-a4d2-4d8b-9148-e3be6c30e623}">
          <xlrd:rvb i="843"/>
        </ext>
      </extLst>
    </bk>
    <bk>
      <extLst>
        <ext uri="{3e2802c4-a4d2-4d8b-9148-e3be6c30e623}">
          <xlrd:rvb i="844"/>
        </ext>
      </extLst>
    </bk>
    <bk>
      <extLst>
        <ext uri="{3e2802c4-a4d2-4d8b-9148-e3be6c30e623}">
          <xlrd:rvb i="845"/>
        </ext>
      </extLst>
    </bk>
    <bk>
      <extLst>
        <ext uri="{3e2802c4-a4d2-4d8b-9148-e3be6c30e623}">
          <xlrd:rvb i="846"/>
        </ext>
      </extLst>
    </bk>
    <bk>
      <extLst>
        <ext uri="{3e2802c4-a4d2-4d8b-9148-e3be6c30e623}">
          <xlrd:rvb i="847"/>
        </ext>
      </extLst>
    </bk>
    <bk>
      <extLst>
        <ext uri="{3e2802c4-a4d2-4d8b-9148-e3be6c30e623}">
          <xlrd:rvb i="848"/>
        </ext>
      </extLst>
    </bk>
    <bk>
      <extLst>
        <ext uri="{3e2802c4-a4d2-4d8b-9148-e3be6c30e623}">
          <xlrd:rvb i="849"/>
        </ext>
      </extLst>
    </bk>
    <bk>
      <extLst>
        <ext uri="{3e2802c4-a4d2-4d8b-9148-e3be6c30e623}">
          <xlrd:rvb i="850"/>
        </ext>
      </extLst>
    </bk>
    <bk>
      <extLst>
        <ext uri="{3e2802c4-a4d2-4d8b-9148-e3be6c30e623}">
          <xlrd:rvb i="851"/>
        </ext>
      </extLst>
    </bk>
    <bk>
      <extLst>
        <ext uri="{3e2802c4-a4d2-4d8b-9148-e3be6c30e623}">
          <xlrd:rvb i="852"/>
        </ext>
      </extLst>
    </bk>
    <bk>
      <extLst>
        <ext uri="{3e2802c4-a4d2-4d8b-9148-e3be6c30e623}">
          <xlrd:rvb i="853"/>
        </ext>
      </extLst>
    </bk>
    <bk>
      <extLst>
        <ext uri="{3e2802c4-a4d2-4d8b-9148-e3be6c30e623}">
          <xlrd:rvb i="854"/>
        </ext>
      </extLst>
    </bk>
    <bk>
      <extLst>
        <ext uri="{3e2802c4-a4d2-4d8b-9148-e3be6c30e623}">
          <xlrd:rvb i="855"/>
        </ext>
      </extLst>
    </bk>
    <bk>
      <extLst>
        <ext uri="{3e2802c4-a4d2-4d8b-9148-e3be6c30e623}">
          <xlrd:rvb i="856"/>
        </ext>
      </extLst>
    </bk>
    <bk>
      <extLst>
        <ext uri="{3e2802c4-a4d2-4d8b-9148-e3be6c30e623}">
          <xlrd:rvb i="857"/>
        </ext>
      </extLst>
    </bk>
    <bk>
      <extLst>
        <ext uri="{3e2802c4-a4d2-4d8b-9148-e3be6c30e623}">
          <xlrd:rvb i="858"/>
        </ext>
      </extLst>
    </bk>
    <bk>
      <extLst>
        <ext uri="{3e2802c4-a4d2-4d8b-9148-e3be6c30e623}">
          <xlrd:rvb i="859"/>
        </ext>
      </extLst>
    </bk>
    <bk>
      <extLst>
        <ext uri="{3e2802c4-a4d2-4d8b-9148-e3be6c30e623}">
          <xlrd:rvb i="860"/>
        </ext>
      </extLst>
    </bk>
    <bk>
      <extLst>
        <ext uri="{3e2802c4-a4d2-4d8b-9148-e3be6c30e623}">
          <xlrd:rvb i="861"/>
        </ext>
      </extLst>
    </bk>
    <bk>
      <extLst>
        <ext uri="{3e2802c4-a4d2-4d8b-9148-e3be6c30e623}">
          <xlrd:rvb i="862"/>
        </ext>
      </extLst>
    </bk>
    <bk>
      <extLst>
        <ext uri="{3e2802c4-a4d2-4d8b-9148-e3be6c30e623}">
          <xlrd:rvb i="863"/>
        </ext>
      </extLst>
    </bk>
    <bk>
      <extLst>
        <ext uri="{3e2802c4-a4d2-4d8b-9148-e3be6c30e623}">
          <xlrd:rvb i="864"/>
        </ext>
      </extLst>
    </bk>
    <bk>
      <extLst>
        <ext uri="{3e2802c4-a4d2-4d8b-9148-e3be6c30e623}">
          <xlrd:rvb i="865"/>
        </ext>
      </extLst>
    </bk>
    <bk>
      <extLst>
        <ext uri="{3e2802c4-a4d2-4d8b-9148-e3be6c30e623}">
          <xlrd:rvb i="866"/>
        </ext>
      </extLst>
    </bk>
    <bk>
      <extLst>
        <ext uri="{3e2802c4-a4d2-4d8b-9148-e3be6c30e623}">
          <xlrd:rvb i="867"/>
        </ext>
      </extLst>
    </bk>
    <bk>
      <extLst>
        <ext uri="{3e2802c4-a4d2-4d8b-9148-e3be6c30e623}">
          <xlrd:rvb i="868"/>
        </ext>
      </extLst>
    </bk>
    <bk>
      <extLst>
        <ext uri="{3e2802c4-a4d2-4d8b-9148-e3be6c30e623}">
          <xlrd:rvb i="869"/>
        </ext>
      </extLst>
    </bk>
    <bk>
      <extLst>
        <ext uri="{3e2802c4-a4d2-4d8b-9148-e3be6c30e623}">
          <xlrd:rvb i="870"/>
        </ext>
      </extLst>
    </bk>
    <bk>
      <extLst>
        <ext uri="{3e2802c4-a4d2-4d8b-9148-e3be6c30e623}">
          <xlrd:rvb i="871"/>
        </ext>
      </extLst>
    </bk>
    <bk>
      <extLst>
        <ext uri="{3e2802c4-a4d2-4d8b-9148-e3be6c30e623}">
          <xlrd:rvb i="872"/>
        </ext>
      </extLst>
    </bk>
    <bk>
      <extLst>
        <ext uri="{3e2802c4-a4d2-4d8b-9148-e3be6c30e623}">
          <xlrd:rvb i="873"/>
        </ext>
      </extLst>
    </bk>
    <bk>
      <extLst>
        <ext uri="{3e2802c4-a4d2-4d8b-9148-e3be6c30e623}">
          <xlrd:rvb i="874"/>
        </ext>
      </extLst>
    </bk>
    <bk>
      <extLst>
        <ext uri="{3e2802c4-a4d2-4d8b-9148-e3be6c30e623}">
          <xlrd:rvb i="875"/>
        </ext>
      </extLst>
    </bk>
    <bk>
      <extLst>
        <ext uri="{3e2802c4-a4d2-4d8b-9148-e3be6c30e623}">
          <xlrd:rvb i="876"/>
        </ext>
      </extLst>
    </bk>
    <bk>
      <extLst>
        <ext uri="{3e2802c4-a4d2-4d8b-9148-e3be6c30e623}">
          <xlrd:rvb i="877"/>
        </ext>
      </extLst>
    </bk>
    <bk>
      <extLst>
        <ext uri="{3e2802c4-a4d2-4d8b-9148-e3be6c30e623}">
          <xlrd:rvb i="878"/>
        </ext>
      </extLst>
    </bk>
    <bk>
      <extLst>
        <ext uri="{3e2802c4-a4d2-4d8b-9148-e3be6c30e623}">
          <xlrd:rvb i="879"/>
        </ext>
      </extLst>
    </bk>
    <bk>
      <extLst>
        <ext uri="{3e2802c4-a4d2-4d8b-9148-e3be6c30e623}">
          <xlrd:rvb i="880"/>
        </ext>
      </extLst>
    </bk>
    <bk>
      <extLst>
        <ext uri="{3e2802c4-a4d2-4d8b-9148-e3be6c30e623}">
          <xlrd:rvb i="881"/>
        </ext>
      </extLst>
    </bk>
    <bk>
      <extLst>
        <ext uri="{3e2802c4-a4d2-4d8b-9148-e3be6c30e623}">
          <xlrd:rvb i="882"/>
        </ext>
      </extLst>
    </bk>
    <bk>
      <extLst>
        <ext uri="{3e2802c4-a4d2-4d8b-9148-e3be6c30e623}">
          <xlrd:rvb i="883"/>
        </ext>
      </extLst>
    </bk>
    <bk>
      <extLst>
        <ext uri="{3e2802c4-a4d2-4d8b-9148-e3be6c30e623}">
          <xlrd:rvb i="884"/>
        </ext>
      </extLst>
    </bk>
    <bk>
      <extLst>
        <ext uri="{3e2802c4-a4d2-4d8b-9148-e3be6c30e623}">
          <xlrd:rvb i="885"/>
        </ext>
      </extLst>
    </bk>
    <bk>
      <extLst>
        <ext uri="{3e2802c4-a4d2-4d8b-9148-e3be6c30e623}">
          <xlrd:rvb i="886"/>
        </ext>
      </extLst>
    </bk>
    <bk>
      <extLst>
        <ext uri="{3e2802c4-a4d2-4d8b-9148-e3be6c30e623}">
          <xlrd:rvb i="887"/>
        </ext>
      </extLst>
    </bk>
    <bk>
      <extLst>
        <ext uri="{3e2802c4-a4d2-4d8b-9148-e3be6c30e623}">
          <xlrd:rvb i="888"/>
        </ext>
      </extLst>
    </bk>
    <bk>
      <extLst>
        <ext uri="{3e2802c4-a4d2-4d8b-9148-e3be6c30e623}">
          <xlrd:rvb i="889"/>
        </ext>
      </extLst>
    </bk>
    <bk>
      <extLst>
        <ext uri="{3e2802c4-a4d2-4d8b-9148-e3be6c30e623}">
          <xlrd:rvb i="890"/>
        </ext>
      </extLst>
    </bk>
    <bk>
      <extLst>
        <ext uri="{3e2802c4-a4d2-4d8b-9148-e3be6c30e623}">
          <xlrd:rvb i="891"/>
        </ext>
      </extLst>
    </bk>
    <bk>
      <extLst>
        <ext uri="{3e2802c4-a4d2-4d8b-9148-e3be6c30e623}">
          <xlrd:rvb i="892"/>
        </ext>
      </extLst>
    </bk>
    <bk>
      <extLst>
        <ext uri="{3e2802c4-a4d2-4d8b-9148-e3be6c30e623}">
          <xlrd:rvb i="893"/>
        </ext>
      </extLst>
    </bk>
    <bk>
      <extLst>
        <ext uri="{3e2802c4-a4d2-4d8b-9148-e3be6c30e623}">
          <xlrd:rvb i="894"/>
        </ext>
      </extLst>
    </bk>
    <bk>
      <extLst>
        <ext uri="{3e2802c4-a4d2-4d8b-9148-e3be6c30e623}">
          <xlrd:rvb i="895"/>
        </ext>
      </extLst>
    </bk>
    <bk>
      <extLst>
        <ext uri="{3e2802c4-a4d2-4d8b-9148-e3be6c30e623}">
          <xlrd:rvb i="896"/>
        </ext>
      </extLst>
    </bk>
    <bk>
      <extLst>
        <ext uri="{3e2802c4-a4d2-4d8b-9148-e3be6c30e623}">
          <xlrd:rvb i="897"/>
        </ext>
      </extLst>
    </bk>
    <bk>
      <extLst>
        <ext uri="{3e2802c4-a4d2-4d8b-9148-e3be6c30e623}">
          <xlrd:rvb i="898"/>
        </ext>
      </extLst>
    </bk>
    <bk>
      <extLst>
        <ext uri="{3e2802c4-a4d2-4d8b-9148-e3be6c30e623}">
          <xlrd:rvb i="899"/>
        </ext>
      </extLst>
    </bk>
    <bk>
      <extLst>
        <ext uri="{3e2802c4-a4d2-4d8b-9148-e3be6c30e623}">
          <xlrd:rvb i="900"/>
        </ext>
      </extLst>
    </bk>
    <bk>
      <extLst>
        <ext uri="{3e2802c4-a4d2-4d8b-9148-e3be6c30e623}">
          <xlrd:rvb i="901"/>
        </ext>
      </extLst>
    </bk>
    <bk>
      <extLst>
        <ext uri="{3e2802c4-a4d2-4d8b-9148-e3be6c30e623}">
          <xlrd:rvb i="902"/>
        </ext>
      </extLst>
    </bk>
    <bk>
      <extLst>
        <ext uri="{3e2802c4-a4d2-4d8b-9148-e3be6c30e623}">
          <xlrd:rvb i="903"/>
        </ext>
      </extLst>
    </bk>
    <bk>
      <extLst>
        <ext uri="{3e2802c4-a4d2-4d8b-9148-e3be6c30e623}">
          <xlrd:rvb i="904"/>
        </ext>
      </extLst>
    </bk>
    <bk>
      <extLst>
        <ext uri="{3e2802c4-a4d2-4d8b-9148-e3be6c30e623}">
          <xlrd:rvb i="905"/>
        </ext>
      </extLst>
    </bk>
    <bk>
      <extLst>
        <ext uri="{3e2802c4-a4d2-4d8b-9148-e3be6c30e623}">
          <xlrd:rvb i="906"/>
        </ext>
      </extLst>
    </bk>
    <bk>
      <extLst>
        <ext uri="{3e2802c4-a4d2-4d8b-9148-e3be6c30e623}">
          <xlrd:rvb i="907"/>
        </ext>
      </extLst>
    </bk>
    <bk>
      <extLst>
        <ext uri="{3e2802c4-a4d2-4d8b-9148-e3be6c30e623}">
          <xlrd:rvb i="908"/>
        </ext>
      </extLst>
    </bk>
    <bk>
      <extLst>
        <ext uri="{3e2802c4-a4d2-4d8b-9148-e3be6c30e623}">
          <xlrd:rvb i="909"/>
        </ext>
      </extLst>
    </bk>
    <bk>
      <extLst>
        <ext uri="{3e2802c4-a4d2-4d8b-9148-e3be6c30e623}">
          <xlrd:rvb i="910"/>
        </ext>
      </extLst>
    </bk>
    <bk>
      <extLst>
        <ext uri="{3e2802c4-a4d2-4d8b-9148-e3be6c30e623}">
          <xlrd:rvb i="911"/>
        </ext>
      </extLst>
    </bk>
    <bk>
      <extLst>
        <ext uri="{3e2802c4-a4d2-4d8b-9148-e3be6c30e623}">
          <xlrd:rvb i="912"/>
        </ext>
      </extLst>
    </bk>
    <bk>
      <extLst>
        <ext uri="{3e2802c4-a4d2-4d8b-9148-e3be6c30e623}">
          <xlrd:rvb i="913"/>
        </ext>
      </extLst>
    </bk>
    <bk>
      <extLst>
        <ext uri="{3e2802c4-a4d2-4d8b-9148-e3be6c30e623}">
          <xlrd:rvb i="914"/>
        </ext>
      </extLst>
    </bk>
    <bk>
      <extLst>
        <ext uri="{3e2802c4-a4d2-4d8b-9148-e3be6c30e623}">
          <xlrd:rvb i="915"/>
        </ext>
      </extLst>
    </bk>
    <bk>
      <extLst>
        <ext uri="{3e2802c4-a4d2-4d8b-9148-e3be6c30e623}">
          <xlrd:rvb i="916"/>
        </ext>
      </extLst>
    </bk>
    <bk>
      <extLst>
        <ext uri="{3e2802c4-a4d2-4d8b-9148-e3be6c30e623}">
          <xlrd:rvb i="917"/>
        </ext>
      </extLst>
    </bk>
    <bk>
      <extLst>
        <ext uri="{3e2802c4-a4d2-4d8b-9148-e3be6c30e623}">
          <xlrd:rvb i="918"/>
        </ext>
      </extLst>
    </bk>
    <bk>
      <extLst>
        <ext uri="{3e2802c4-a4d2-4d8b-9148-e3be6c30e623}">
          <xlrd:rvb i="919"/>
        </ext>
      </extLst>
    </bk>
    <bk>
      <extLst>
        <ext uri="{3e2802c4-a4d2-4d8b-9148-e3be6c30e623}">
          <xlrd:rvb i="920"/>
        </ext>
      </extLst>
    </bk>
    <bk>
      <extLst>
        <ext uri="{3e2802c4-a4d2-4d8b-9148-e3be6c30e623}">
          <xlrd:rvb i="921"/>
        </ext>
      </extLst>
    </bk>
    <bk>
      <extLst>
        <ext uri="{3e2802c4-a4d2-4d8b-9148-e3be6c30e623}">
          <xlrd:rvb i="922"/>
        </ext>
      </extLst>
    </bk>
    <bk>
      <extLst>
        <ext uri="{3e2802c4-a4d2-4d8b-9148-e3be6c30e623}">
          <xlrd:rvb i="923"/>
        </ext>
      </extLst>
    </bk>
    <bk>
      <extLst>
        <ext uri="{3e2802c4-a4d2-4d8b-9148-e3be6c30e623}">
          <xlrd:rvb i="924"/>
        </ext>
      </extLst>
    </bk>
    <bk>
      <extLst>
        <ext uri="{3e2802c4-a4d2-4d8b-9148-e3be6c30e623}">
          <xlrd:rvb i="925"/>
        </ext>
      </extLst>
    </bk>
    <bk>
      <extLst>
        <ext uri="{3e2802c4-a4d2-4d8b-9148-e3be6c30e623}">
          <xlrd:rvb i="926"/>
        </ext>
      </extLst>
    </bk>
    <bk>
      <extLst>
        <ext uri="{3e2802c4-a4d2-4d8b-9148-e3be6c30e623}">
          <xlrd:rvb i="927"/>
        </ext>
      </extLst>
    </bk>
    <bk>
      <extLst>
        <ext uri="{3e2802c4-a4d2-4d8b-9148-e3be6c30e623}">
          <xlrd:rvb i="928"/>
        </ext>
      </extLst>
    </bk>
    <bk>
      <extLst>
        <ext uri="{3e2802c4-a4d2-4d8b-9148-e3be6c30e623}">
          <xlrd:rvb i="929"/>
        </ext>
      </extLst>
    </bk>
    <bk>
      <extLst>
        <ext uri="{3e2802c4-a4d2-4d8b-9148-e3be6c30e623}">
          <xlrd:rvb i="930"/>
        </ext>
      </extLst>
    </bk>
    <bk>
      <extLst>
        <ext uri="{3e2802c4-a4d2-4d8b-9148-e3be6c30e623}">
          <xlrd:rvb i="931"/>
        </ext>
      </extLst>
    </bk>
    <bk>
      <extLst>
        <ext uri="{3e2802c4-a4d2-4d8b-9148-e3be6c30e623}">
          <xlrd:rvb i="932"/>
        </ext>
      </extLst>
    </bk>
    <bk>
      <extLst>
        <ext uri="{3e2802c4-a4d2-4d8b-9148-e3be6c30e623}">
          <xlrd:rvb i="933"/>
        </ext>
      </extLst>
    </bk>
    <bk>
      <extLst>
        <ext uri="{3e2802c4-a4d2-4d8b-9148-e3be6c30e623}">
          <xlrd:rvb i="934"/>
        </ext>
      </extLst>
    </bk>
    <bk>
      <extLst>
        <ext uri="{3e2802c4-a4d2-4d8b-9148-e3be6c30e623}">
          <xlrd:rvb i="935"/>
        </ext>
      </extLst>
    </bk>
    <bk>
      <extLst>
        <ext uri="{3e2802c4-a4d2-4d8b-9148-e3be6c30e623}">
          <xlrd:rvb i="936"/>
        </ext>
      </extLst>
    </bk>
    <bk>
      <extLst>
        <ext uri="{3e2802c4-a4d2-4d8b-9148-e3be6c30e623}">
          <xlrd:rvb i="937"/>
        </ext>
      </extLst>
    </bk>
    <bk>
      <extLst>
        <ext uri="{3e2802c4-a4d2-4d8b-9148-e3be6c30e623}">
          <xlrd:rvb i="938"/>
        </ext>
      </extLst>
    </bk>
    <bk>
      <extLst>
        <ext uri="{3e2802c4-a4d2-4d8b-9148-e3be6c30e623}">
          <xlrd:rvb i="939"/>
        </ext>
      </extLst>
    </bk>
    <bk>
      <extLst>
        <ext uri="{3e2802c4-a4d2-4d8b-9148-e3be6c30e623}">
          <xlrd:rvb i="940"/>
        </ext>
      </extLst>
    </bk>
    <bk>
      <extLst>
        <ext uri="{3e2802c4-a4d2-4d8b-9148-e3be6c30e623}">
          <xlrd:rvb i="941"/>
        </ext>
      </extLst>
    </bk>
    <bk>
      <extLst>
        <ext uri="{3e2802c4-a4d2-4d8b-9148-e3be6c30e623}">
          <xlrd:rvb i="942"/>
        </ext>
      </extLst>
    </bk>
    <bk>
      <extLst>
        <ext uri="{3e2802c4-a4d2-4d8b-9148-e3be6c30e623}">
          <xlrd:rvb i="943"/>
        </ext>
      </extLst>
    </bk>
    <bk>
      <extLst>
        <ext uri="{3e2802c4-a4d2-4d8b-9148-e3be6c30e623}">
          <xlrd:rvb i="944"/>
        </ext>
      </extLst>
    </bk>
    <bk>
      <extLst>
        <ext uri="{3e2802c4-a4d2-4d8b-9148-e3be6c30e623}">
          <xlrd:rvb i="945"/>
        </ext>
      </extLst>
    </bk>
    <bk>
      <extLst>
        <ext uri="{3e2802c4-a4d2-4d8b-9148-e3be6c30e623}">
          <xlrd:rvb i="946"/>
        </ext>
      </extLst>
    </bk>
    <bk>
      <extLst>
        <ext uri="{3e2802c4-a4d2-4d8b-9148-e3be6c30e623}">
          <xlrd:rvb i="947"/>
        </ext>
      </extLst>
    </bk>
    <bk>
      <extLst>
        <ext uri="{3e2802c4-a4d2-4d8b-9148-e3be6c30e623}">
          <xlrd:rvb i="948"/>
        </ext>
      </extLst>
    </bk>
    <bk>
      <extLst>
        <ext uri="{3e2802c4-a4d2-4d8b-9148-e3be6c30e623}">
          <xlrd:rvb i="949"/>
        </ext>
      </extLst>
    </bk>
    <bk>
      <extLst>
        <ext uri="{3e2802c4-a4d2-4d8b-9148-e3be6c30e623}">
          <xlrd:rvb i="950"/>
        </ext>
      </extLst>
    </bk>
    <bk>
      <extLst>
        <ext uri="{3e2802c4-a4d2-4d8b-9148-e3be6c30e623}">
          <xlrd:rvb i="951"/>
        </ext>
      </extLst>
    </bk>
    <bk>
      <extLst>
        <ext uri="{3e2802c4-a4d2-4d8b-9148-e3be6c30e623}">
          <xlrd:rvb i="952"/>
        </ext>
      </extLst>
    </bk>
    <bk>
      <extLst>
        <ext uri="{3e2802c4-a4d2-4d8b-9148-e3be6c30e623}">
          <xlrd:rvb i="953"/>
        </ext>
      </extLst>
    </bk>
    <bk>
      <extLst>
        <ext uri="{3e2802c4-a4d2-4d8b-9148-e3be6c30e623}">
          <xlrd:rvb i="954"/>
        </ext>
      </extLst>
    </bk>
    <bk>
      <extLst>
        <ext uri="{3e2802c4-a4d2-4d8b-9148-e3be6c30e623}">
          <xlrd:rvb i="955"/>
        </ext>
      </extLst>
    </bk>
    <bk>
      <extLst>
        <ext uri="{3e2802c4-a4d2-4d8b-9148-e3be6c30e623}">
          <xlrd:rvb i="956"/>
        </ext>
      </extLst>
    </bk>
    <bk>
      <extLst>
        <ext uri="{3e2802c4-a4d2-4d8b-9148-e3be6c30e623}">
          <xlrd:rvb i="957"/>
        </ext>
      </extLst>
    </bk>
    <bk>
      <extLst>
        <ext uri="{3e2802c4-a4d2-4d8b-9148-e3be6c30e623}">
          <xlrd:rvb i="958"/>
        </ext>
      </extLst>
    </bk>
    <bk>
      <extLst>
        <ext uri="{3e2802c4-a4d2-4d8b-9148-e3be6c30e623}">
          <xlrd:rvb i="959"/>
        </ext>
      </extLst>
    </bk>
    <bk>
      <extLst>
        <ext uri="{3e2802c4-a4d2-4d8b-9148-e3be6c30e623}">
          <xlrd:rvb i="960"/>
        </ext>
      </extLst>
    </bk>
    <bk>
      <extLst>
        <ext uri="{3e2802c4-a4d2-4d8b-9148-e3be6c30e623}">
          <xlrd:rvb i="961"/>
        </ext>
      </extLst>
    </bk>
    <bk>
      <extLst>
        <ext uri="{3e2802c4-a4d2-4d8b-9148-e3be6c30e623}">
          <xlrd:rvb i="962"/>
        </ext>
      </extLst>
    </bk>
    <bk>
      <extLst>
        <ext uri="{3e2802c4-a4d2-4d8b-9148-e3be6c30e623}">
          <xlrd:rvb i="963"/>
        </ext>
      </extLst>
    </bk>
    <bk>
      <extLst>
        <ext uri="{3e2802c4-a4d2-4d8b-9148-e3be6c30e623}">
          <xlrd:rvb i="964"/>
        </ext>
      </extLst>
    </bk>
    <bk>
      <extLst>
        <ext uri="{3e2802c4-a4d2-4d8b-9148-e3be6c30e623}">
          <xlrd:rvb i="965"/>
        </ext>
      </extLst>
    </bk>
    <bk>
      <extLst>
        <ext uri="{3e2802c4-a4d2-4d8b-9148-e3be6c30e623}">
          <xlrd:rvb i="966"/>
        </ext>
      </extLst>
    </bk>
    <bk>
      <extLst>
        <ext uri="{3e2802c4-a4d2-4d8b-9148-e3be6c30e623}">
          <xlrd:rvb i="967"/>
        </ext>
      </extLst>
    </bk>
    <bk>
      <extLst>
        <ext uri="{3e2802c4-a4d2-4d8b-9148-e3be6c30e623}">
          <xlrd:rvb i="968"/>
        </ext>
      </extLst>
    </bk>
    <bk>
      <extLst>
        <ext uri="{3e2802c4-a4d2-4d8b-9148-e3be6c30e623}">
          <xlrd:rvb i="969"/>
        </ext>
      </extLst>
    </bk>
    <bk>
      <extLst>
        <ext uri="{3e2802c4-a4d2-4d8b-9148-e3be6c30e623}">
          <xlrd:rvb i="970"/>
        </ext>
      </extLst>
    </bk>
    <bk>
      <extLst>
        <ext uri="{3e2802c4-a4d2-4d8b-9148-e3be6c30e623}">
          <xlrd:rvb i="971"/>
        </ext>
      </extLst>
    </bk>
    <bk>
      <extLst>
        <ext uri="{3e2802c4-a4d2-4d8b-9148-e3be6c30e623}">
          <xlrd:rvb i="972"/>
        </ext>
      </extLst>
    </bk>
    <bk>
      <extLst>
        <ext uri="{3e2802c4-a4d2-4d8b-9148-e3be6c30e623}">
          <xlrd:rvb i="973"/>
        </ext>
      </extLst>
    </bk>
    <bk>
      <extLst>
        <ext uri="{3e2802c4-a4d2-4d8b-9148-e3be6c30e623}">
          <xlrd:rvb i="974"/>
        </ext>
      </extLst>
    </bk>
    <bk>
      <extLst>
        <ext uri="{3e2802c4-a4d2-4d8b-9148-e3be6c30e623}">
          <xlrd:rvb i="975"/>
        </ext>
      </extLst>
    </bk>
    <bk>
      <extLst>
        <ext uri="{3e2802c4-a4d2-4d8b-9148-e3be6c30e623}">
          <xlrd:rvb i="976"/>
        </ext>
      </extLst>
    </bk>
    <bk>
      <extLst>
        <ext uri="{3e2802c4-a4d2-4d8b-9148-e3be6c30e623}">
          <xlrd:rvb i="977"/>
        </ext>
      </extLst>
    </bk>
    <bk>
      <extLst>
        <ext uri="{3e2802c4-a4d2-4d8b-9148-e3be6c30e623}">
          <xlrd:rvb i="978"/>
        </ext>
      </extLst>
    </bk>
    <bk>
      <extLst>
        <ext uri="{3e2802c4-a4d2-4d8b-9148-e3be6c30e623}">
          <xlrd:rvb i="979"/>
        </ext>
      </extLst>
    </bk>
    <bk>
      <extLst>
        <ext uri="{3e2802c4-a4d2-4d8b-9148-e3be6c30e623}">
          <xlrd:rvb i="980"/>
        </ext>
      </extLst>
    </bk>
    <bk>
      <extLst>
        <ext uri="{3e2802c4-a4d2-4d8b-9148-e3be6c30e623}">
          <xlrd:rvb i="981"/>
        </ext>
      </extLst>
    </bk>
    <bk>
      <extLst>
        <ext uri="{3e2802c4-a4d2-4d8b-9148-e3be6c30e623}">
          <xlrd:rvb i="982"/>
        </ext>
      </extLst>
    </bk>
    <bk>
      <extLst>
        <ext uri="{3e2802c4-a4d2-4d8b-9148-e3be6c30e623}">
          <xlrd:rvb i="983"/>
        </ext>
      </extLst>
    </bk>
    <bk>
      <extLst>
        <ext uri="{3e2802c4-a4d2-4d8b-9148-e3be6c30e623}">
          <xlrd:rvb i="984"/>
        </ext>
      </extLst>
    </bk>
    <bk>
      <extLst>
        <ext uri="{3e2802c4-a4d2-4d8b-9148-e3be6c30e623}">
          <xlrd:rvb i="985"/>
        </ext>
      </extLst>
    </bk>
    <bk>
      <extLst>
        <ext uri="{3e2802c4-a4d2-4d8b-9148-e3be6c30e623}">
          <xlrd:rvb i="986"/>
        </ext>
      </extLst>
    </bk>
    <bk>
      <extLst>
        <ext uri="{3e2802c4-a4d2-4d8b-9148-e3be6c30e623}">
          <xlrd:rvb i="987"/>
        </ext>
      </extLst>
    </bk>
    <bk>
      <extLst>
        <ext uri="{3e2802c4-a4d2-4d8b-9148-e3be6c30e623}">
          <xlrd:rvb i="988"/>
        </ext>
      </extLst>
    </bk>
    <bk>
      <extLst>
        <ext uri="{3e2802c4-a4d2-4d8b-9148-e3be6c30e623}">
          <xlrd:rvb i="989"/>
        </ext>
      </extLst>
    </bk>
    <bk>
      <extLst>
        <ext uri="{3e2802c4-a4d2-4d8b-9148-e3be6c30e623}">
          <xlrd:rvb i="990"/>
        </ext>
      </extLst>
    </bk>
    <bk>
      <extLst>
        <ext uri="{3e2802c4-a4d2-4d8b-9148-e3be6c30e623}">
          <xlrd:rvb i="991"/>
        </ext>
      </extLst>
    </bk>
    <bk>
      <extLst>
        <ext uri="{3e2802c4-a4d2-4d8b-9148-e3be6c30e623}">
          <xlrd:rvb i="992"/>
        </ext>
      </extLst>
    </bk>
    <bk>
      <extLst>
        <ext uri="{3e2802c4-a4d2-4d8b-9148-e3be6c30e623}">
          <xlrd:rvb i="993"/>
        </ext>
      </extLst>
    </bk>
    <bk>
      <extLst>
        <ext uri="{3e2802c4-a4d2-4d8b-9148-e3be6c30e623}">
          <xlrd:rvb i="994"/>
        </ext>
      </extLst>
    </bk>
    <bk>
      <extLst>
        <ext uri="{3e2802c4-a4d2-4d8b-9148-e3be6c30e623}">
          <xlrd:rvb i="995"/>
        </ext>
      </extLst>
    </bk>
    <bk>
      <extLst>
        <ext uri="{3e2802c4-a4d2-4d8b-9148-e3be6c30e623}">
          <xlrd:rvb i="996"/>
        </ext>
      </extLst>
    </bk>
    <bk>
      <extLst>
        <ext uri="{3e2802c4-a4d2-4d8b-9148-e3be6c30e623}">
          <xlrd:rvb i="997"/>
        </ext>
      </extLst>
    </bk>
    <bk>
      <extLst>
        <ext uri="{3e2802c4-a4d2-4d8b-9148-e3be6c30e623}">
          <xlrd:rvb i="998"/>
        </ext>
      </extLst>
    </bk>
    <bk>
      <extLst>
        <ext uri="{3e2802c4-a4d2-4d8b-9148-e3be6c30e623}">
          <xlrd:rvb i="999"/>
        </ext>
      </extLst>
    </bk>
    <bk>
      <extLst>
        <ext uri="{3e2802c4-a4d2-4d8b-9148-e3be6c30e623}">
          <xlrd:rvb i="1000"/>
        </ext>
      </extLst>
    </bk>
    <bk>
      <extLst>
        <ext uri="{3e2802c4-a4d2-4d8b-9148-e3be6c30e623}">
          <xlrd:rvb i="1001"/>
        </ext>
      </extLst>
    </bk>
    <bk>
      <extLst>
        <ext uri="{3e2802c4-a4d2-4d8b-9148-e3be6c30e623}">
          <xlrd:rvb i="1002"/>
        </ext>
      </extLst>
    </bk>
    <bk>
      <extLst>
        <ext uri="{3e2802c4-a4d2-4d8b-9148-e3be6c30e623}">
          <xlrd:rvb i="1003"/>
        </ext>
      </extLst>
    </bk>
    <bk>
      <extLst>
        <ext uri="{3e2802c4-a4d2-4d8b-9148-e3be6c30e623}">
          <xlrd:rvb i="1004"/>
        </ext>
      </extLst>
    </bk>
    <bk>
      <extLst>
        <ext uri="{3e2802c4-a4d2-4d8b-9148-e3be6c30e623}">
          <xlrd:rvb i="1005"/>
        </ext>
      </extLst>
    </bk>
    <bk>
      <extLst>
        <ext uri="{3e2802c4-a4d2-4d8b-9148-e3be6c30e623}">
          <xlrd:rvb i="1006"/>
        </ext>
      </extLst>
    </bk>
    <bk>
      <extLst>
        <ext uri="{3e2802c4-a4d2-4d8b-9148-e3be6c30e623}">
          <xlrd:rvb i="1007"/>
        </ext>
      </extLst>
    </bk>
    <bk>
      <extLst>
        <ext uri="{3e2802c4-a4d2-4d8b-9148-e3be6c30e623}">
          <xlrd:rvb i="1008"/>
        </ext>
      </extLst>
    </bk>
    <bk>
      <extLst>
        <ext uri="{3e2802c4-a4d2-4d8b-9148-e3be6c30e623}">
          <xlrd:rvb i="1009"/>
        </ext>
      </extLst>
    </bk>
    <bk>
      <extLst>
        <ext uri="{3e2802c4-a4d2-4d8b-9148-e3be6c30e623}">
          <xlrd:rvb i="1010"/>
        </ext>
      </extLst>
    </bk>
    <bk>
      <extLst>
        <ext uri="{3e2802c4-a4d2-4d8b-9148-e3be6c30e623}">
          <xlrd:rvb i="1011"/>
        </ext>
      </extLst>
    </bk>
    <bk>
      <extLst>
        <ext uri="{3e2802c4-a4d2-4d8b-9148-e3be6c30e623}">
          <xlrd:rvb i="1012"/>
        </ext>
      </extLst>
    </bk>
    <bk>
      <extLst>
        <ext uri="{3e2802c4-a4d2-4d8b-9148-e3be6c30e623}">
          <xlrd:rvb i="1013"/>
        </ext>
      </extLst>
    </bk>
    <bk>
      <extLst>
        <ext uri="{3e2802c4-a4d2-4d8b-9148-e3be6c30e623}">
          <xlrd:rvb i="1014"/>
        </ext>
      </extLst>
    </bk>
    <bk>
      <extLst>
        <ext uri="{3e2802c4-a4d2-4d8b-9148-e3be6c30e623}">
          <xlrd:rvb i="1015"/>
        </ext>
      </extLst>
    </bk>
    <bk>
      <extLst>
        <ext uri="{3e2802c4-a4d2-4d8b-9148-e3be6c30e623}">
          <xlrd:rvb i="1016"/>
        </ext>
      </extLst>
    </bk>
    <bk>
      <extLst>
        <ext uri="{3e2802c4-a4d2-4d8b-9148-e3be6c30e623}">
          <xlrd:rvb i="1017"/>
        </ext>
      </extLst>
    </bk>
    <bk>
      <extLst>
        <ext uri="{3e2802c4-a4d2-4d8b-9148-e3be6c30e623}">
          <xlrd:rvb i="1018"/>
        </ext>
      </extLst>
    </bk>
    <bk>
      <extLst>
        <ext uri="{3e2802c4-a4d2-4d8b-9148-e3be6c30e623}">
          <xlrd:rvb i="1019"/>
        </ext>
      </extLst>
    </bk>
    <bk>
      <extLst>
        <ext uri="{3e2802c4-a4d2-4d8b-9148-e3be6c30e623}">
          <xlrd:rvb i="1020"/>
        </ext>
      </extLst>
    </bk>
    <bk>
      <extLst>
        <ext uri="{3e2802c4-a4d2-4d8b-9148-e3be6c30e623}">
          <xlrd:rvb i="1021"/>
        </ext>
      </extLst>
    </bk>
    <bk>
      <extLst>
        <ext uri="{3e2802c4-a4d2-4d8b-9148-e3be6c30e623}">
          <xlrd:rvb i="1022"/>
        </ext>
      </extLst>
    </bk>
    <bk>
      <extLst>
        <ext uri="{3e2802c4-a4d2-4d8b-9148-e3be6c30e623}">
          <xlrd:rvb i="1023"/>
        </ext>
      </extLst>
    </bk>
    <bk>
      <extLst>
        <ext uri="{3e2802c4-a4d2-4d8b-9148-e3be6c30e623}">
          <xlrd:rvb i="1024"/>
        </ext>
      </extLst>
    </bk>
    <bk>
      <extLst>
        <ext uri="{3e2802c4-a4d2-4d8b-9148-e3be6c30e623}">
          <xlrd:rvb i="1025"/>
        </ext>
      </extLst>
    </bk>
    <bk>
      <extLst>
        <ext uri="{3e2802c4-a4d2-4d8b-9148-e3be6c30e623}">
          <xlrd:rvb i="1026"/>
        </ext>
      </extLst>
    </bk>
    <bk>
      <extLst>
        <ext uri="{3e2802c4-a4d2-4d8b-9148-e3be6c30e623}">
          <xlrd:rvb i="1027"/>
        </ext>
      </extLst>
    </bk>
    <bk>
      <extLst>
        <ext uri="{3e2802c4-a4d2-4d8b-9148-e3be6c30e623}">
          <xlrd:rvb i="1028"/>
        </ext>
      </extLst>
    </bk>
    <bk>
      <extLst>
        <ext uri="{3e2802c4-a4d2-4d8b-9148-e3be6c30e623}">
          <xlrd:rvb i="1029"/>
        </ext>
      </extLst>
    </bk>
    <bk>
      <extLst>
        <ext uri="{3e2802c4-a4d2-4d8b-9148-e3be6c30e623}">
          <xlrd:rvb i="1030"/>
        </ext>
      </extLst>
    </bk>
    <bk>
      <extLst>
        <ext uri="{3e2802c4-a4d2-4d8b-9148-e3be6c30e623}">
          <xlrd:rvb i="1031"/>
        </ext>
      </extLst>
    </bk>
    <bk>
      <extLst>
        <ext uri="{3e2802c4-a4d2-4d8b-9148-e3be6c30e623}">
          <xlrd:rvb i="1032"/>
        </ext>
      </extLst>
    </bk>
    <bk>
      <extLst>
        <ext uri="{3e2802c4-a4d2-4d8b-9148-e3be6c30e623}">
          <xlrd:rvb i="1033"/>
        </ext>
      </extLst>
    </bk>
    <bk>
      <extLst>
        <ext uri="{3e2802c4-a4d2-4d8b-9148-e3be6c30e623}">
          <xlrd:rvb i="1034"/>
        </ext>
      </extLst>
    </bk>
    <bk>
      <extLst>
        <ext uri="{3e2802c4-a4d2-4d8b-9148-e3be6c30e623}">
          <xlrd:rvb i="1035"/>
        </ext>
      </extLst>
    </bk>
    <bk>
      <extLst>
        <ext uri="{3e2802c4-a4d2-4d8b-9148-e3be6c30e623}">
          <xlrd:rvb i="1036"/>
        </ext>
      </extLst>
    </bk>
    <bk>
      <extLst>
        <ext uri="{3e2802c4-a4d2-4d8b-9148-e3be6c30e623}">
          <xlrd:rvb i="1037"/>
        </ext>
      </extLst>
    </bk>
    <bk>
      <extLst>
        <ext uri="{3e2802c4-a4d2-4d8b-9148-e3be6c30e623}">
          <xlrd:rvb i="1038"/>
        </ext>
      </extLst>
    </bk>
    <bk>
      <extLst>
        <ext uri="{3e2802c4-a4d2-4d8b-9148-e3be6c30e623}">
          <xlrd:rvb i="1039"/>
        </ext>
      </extLst>
    </bk>
    <bk>
      <extLst>
        <ext uri="{3e2802c4-a4d2-4d8b-9148-e3be6c30e623}">
          <xlrd:rvb i="1040"/>
        </ext>
      </extLst>
    </bk>
    <bk>
      <extLst>
        <ext uri="{3e2802c4-a4d2-4d8b-9148-e3be6c30e623}">
          <xlrd:rvb i="1041"/>
        </ext>
      </extLst>
    </bk>
    <bk>
      <extLst>
        <ext uri="{3e2802c4-a4d2-4d8b-9148-e3be6c30e623}">
          <xlrd:rvb i="1042"/>
        </ext>
      </extLst>
    </bk>
    <bk>
      <extLst>
        <ext uri="{3e2802c4-a4d2-4d8b-9148-e3be6c30e623}">
          <xlrd:rvb i="1043"/>
        </ext>
      </extLst>
    </bk>
    <bk>
      <extLst>
        <ext uri="{3e2802c4-a4d2-4d8b-9148-e3be6c30e623}">
          <xlrd:rvb i="1044"/>
        </ext>
      </extLst>
    </bk>
    <bk>
      <extLst>
        <ext uri="{3e2802c4-a4d2-4d8b-9148-e3be6c30e623}">
          <xlrd:rvb i="1045"/>
        </ext>
      </extLst>
    </bk>
    <bk>
      <extLst>
        <ext uri="{3e2802c4-a4d2-4d8b-9148-e3be6c30e623}">
          <xlrd:rvb i="1046"/>
        </ext>
      </extLst>
    </bk>
    <bk>
      <extLst>
        <ext uri="{3e2802c4-a4d2-4d8b-9148-e3be6c30e623}">
          <xlrd:rvb i="1047"/>
        </ext>
      </extLst>
    </bk>
    <bk>
      <extLst>
        <ext uri="{3e2802c4-a4d2-4d8b-9148-e3be6c30e623}">
          <xlrd:rvb i="1048"/>
        </ext>
      </extLst>
    </bk>
    <bk>
      <extLst>
        <ext uri="{3e2802c4-a4d2-4d8b-9148-e3be6c30e623}">
          <xlrd:rvb i="1049"/>
        </ext>
      </extLst>
    </bk>
    <bk>
      <extLst>
        <ext uri="{3e2802c4-a4d2-4d8b-9148-e3be6c30e623}">
          <xlrd:rvb i="1050"/>
        </ext>
      </extLst>
    </bk>
    <bk>
      <extLst>
        <ext uri="{3e2802c4-a4d2-4d8b-9148-e3be6c30e623}">
          <xlrd:rvb i="1051"/>
        </ext>
      </extLst>
    </bk>
    <bk>
      <extLst>
        <ext uri="{3e2802c4-a4d2-4d8b-9148-e3be6c30e623}">
          <xlrd:rvb i="1052"/>
        </ext>
      </extLst>
    </bk>
    <bk>
      <extLst>
        <ext uri="{3e2802c4-a4d2-4d8b-9148-e3be6c30e623}">
          <xlrd:rvb i="1053"/>
        </ext>
      </extLst>
    </bk>
    <bk>
      <extLst>
        <ext uri="{3e2802c4-a4d2-4d8b-9148-e3be6c30e623}">
          <xlrd:rvb i="1054"/>
        </ext>
      </extLst>
    </bk>
    <bk>
      <extLst>
        <ext uri="{3e2802c4-a4d2-4d8b-9148-e3be6c30e623}">
          <xlrd:rvb i="1055"/>
        </ext>
      </extLst>
    </bk>
    <bk>
      <extLst>
        <ext uri="{3e2802c4-a4d2-4d8b-9148-e3be6c30e623}">
          <xlrd:rvb i="1056"/>
        </ext>
      </extLst>
    </bk>
    <bk>
      <extLst>
        <ext uri="{3e2802c4-a4d2-4d8b-9148-e3be6c30e623}">
          <xlrd:rvb i="1057"/>
        </ext>
      </extLst>
    </bk>
    <bk>
      <extLst>
        <ext uri="{3e2802c4-a4d2-4d8b-9148-e3be6c30e623}">
          <xlrd:rvb i="1058"/>
        </ext>
      </extLst>
    </bk>
    <bk>
      <extLst>
        <ext uri="{3e2802c4-a4d2-4d8b-9148-e3be6c30e623}">
          <xlrd:rvb i="1059"/>
        </ext>
      </extLst>
    </bk>
    <bk>
      <extLst>
        <ext uri="{3e2802c4-a4d2-4d8b-9148-e3be6c30e623}">
          <xlrd:rvb i="1060"/>
        </ext>
      </extLst>
    </bk>
    <bk>
      <extLst>
        <ext uri="{3e2802c4-a4d2-4d8b-9148-e3be6c30e623}">
          <xlrd:rvb i="1061"/>
        </ext>
      </extLst>
    </bk>
    <bk>
      <extLst>
        <ext uri="{3e2802c4-a4d2-4d8b-9148-e3be6c30e623}">
          <xlrd:rvb i="1062"/>
        </ext>
      </extLst>
    </bk>
    <bk>
      <extLst>
        <ext uri="{3e2802c4-a4d2-4d8b-9148-e3be6c30e623}">
          <xlrd:rvb i="1063"/>
        </ext>
      </extLst>
    </bk>
    <bk>
      <extLst>
        <ext uri="{3e2802c4-a4d2-4d8b-9148-e3be6c30e623}">
          <xlrd:rvb i="1064"/>
        </ext>
      </extLst>
    </bk>
    <bk>
      <extLst>
        <ext uri="{3e2802c4-a4d2-4d8b-9148-e3be6c30e623}">
          <xlrd:rvb i="1065"/>
        </ext>
      </extLst>
    </bk>
    <bk>
      <extLst>
        <ext uri="{3e2802c4-a4d2-4d8b-9148-e3be6c30e623}">
          <xlrd:rvb i="1066"/>
        </ext>
      </extLst>
    </bk>
    <bk>
      <extLst>
        <ext uri="{3e2802c4-a4d2-4d8b-9148-e3be6c30e623}">
          <xlrd:rvb i="1067"/>
        </ext>
      </extLst>
    </bk>
    <bk>
      <extLst>
        <ext uri="{3e2802c4-a4d2-4d8b-9148-e3be6c30e623}">
          <xlrd:rvb i="1068"/>
        </ext>
      </extLst>
    </bk>
    <bk>
      <extLst>
        <ext uri="{3e2802c4-a4d2-4d8b-9148-e3be6c30e623}">
          <xlrd:rvb i="1069"/>
        </ext>
      </extLst>
    </bk>
    <bk>
      <extLst>
        <ext uri="{3e2802c4-a4d2-4d8b-9148-e3be6c30e623}">
          <xlrd:rvb i="1070"/>
        </ext>
      </extLst>
    </bk>
    <bk>
      <extLst>
        <ext uri="{3e2802c4-a4d2-4d8b-9148-e3be6c30e623}">
          <xlrd:rvb i="1071"/>
        </ext>
      </extLst>
    </bk>
    <bk>
      <extLst>
        <ext uri="{3e2802c4-a4d2-4d8b-9148-e3be6c30e623}">
          <xlrd:rvb i="1072"/>
        </ext>
      </extLst>
    </bk>
    <bk>
      <extLst>
        <ext uri="{3e2802c4-a4d2-4d8b-9148-e3be6c30e623}">
          <xlrd:rvb i="1073"/>
        </ext>
      </extLst>
    </bk>
    <bk>
      <extLst>
        <ext uri="{3e2802c4-a4d2-4d8b-9148-e3be6c30e623}">
          <xlrd:rvb i="1074"/>
        </ext>
      </extLst>
    </bk>
    <bk>
      <extLst>
        <ext uri="{3e2802c4-a4d2-4d8b-9148-e3be6c30e623}">
          <xlrd:rvb i="1075"/>
        </ext>
      </extLst>
    </bk>
    <bk>
      <extLst>
        <ext uri="{3e2802c4-a4d2-4d8b-9148-e3be6c30e623}">
          <xlrd:rvb i="1076"/>
        </ext>
      </extLst>
    </bk>
    <bk>
      <extLst>
        <ext uri="{3e2802c4-a4d2-4d8b-9148-e3be6c30e623}">
          <xlrd:rvb i="1077"/>
        </ext>
      </extLst>
    </bk>
    <bk>
      <extLst>
        <ext uri="{3e2802c4-a4d2-4d8b-9148-e3be6c30e623}">
          <xlrd:rvb i="1078"/>
        </ext>
      </extLst>
    </bk>
    <bk>
      <extLst>
        <ext uri="{3e2802c4-a4d2-4d8b-9148-e3be6c30e623}">
          <xlrd:rvb i="1079"/>
        </ext>
      </extLst>
    </bk>
    <bk>
      <extLst>
        <ext uri="{3e2802c4-a4d2-4d8b-9148-e3be6c30e623}">
          <xlrd:rvb i="1080"/>
        </ext>
      </extLst>
    </bk>
    <bk>
      <extLst>
        <ext uri="{3e2802c4-a4d2-4d8b-9148-e3be6c30e623}">
          <xlrd:rvb i="1081"/>
        </ext>
      </extLst>
    </bk>
    <bk>
      <extLst>
        <ext uri="{3e2802c4-a4d2-4d8b-9148-e3be6c30e623}">
          <xlrd:rvb i="1082"/>
        </ext>
      </extLst>
    </bk>
    <bk>
      <extLst>
        <ext uri="{3e2802c4-a4d2-4d8b-9148-e3be6c30e623}">
          <xlrd:rvb i="1083"/>
        </ext>
      </extLst>
    </bk>
    <bk>
      <extLst>
        <ext uri="{3e2802c4-a4d2-4d8b-9148-e3be6c30e623}">
          <xlrd:rvb i="1084"/>
        </ext>
      </extLst>
    </bk>
    <bk>
      <extLst>
        <ext uri="{3e2802c4-a4d2-4d8b-9148-e3be6c30e623}">
          <xlrd:rvb i="1085"/>
        </ext>
      </extLst>
    </bk>
    <bk>
      <extLst>
        <ext uri="{3e2802c4-a4d2-4d8b-9148-e3be6c30e623}">
          <xlrd:rvb i="1086"/>
        </ext>
      </extLst>
    </bk>
    <bk>
      <extLst>
        <ext uri="{3e2802c4-a4d2-4d8b-9148-e3be6c30e623}">
          <xlrd:rvb i="1087"/>
        </ext>
      </extLst>
    </bk>
    <bk>
      <extLst>
        <ext uri="{3e2802c4-a4d2-4d8b-9148-e3be6c30e623}">
          <xlrd:rvb i="1088"/>
        </ext>
      </extLst>
    </bk>
    <bk>
      <extLst>
        <ext uri="{3e2802c4-a4d2-4d8b-9148-e3be6c30e623}">
          <xlrd:rvb i="1089"/>
        </ext>
      </extLst>
    </bk>
    <bk>
      <extLst>
        <ext uri="{3e2802c4-a4d2-4d8b-9148-e3be6c30e623}">
          <xlrd:rvb i="1090"/>
        </ext>
      </extLst>
    </bk>
    <bk>
      <extLst>
        <ext uri="{3e2802c4-a4d2-4d8b-9148-e3be6c30e623}">
          <xlrd:rvb i="1091"/>
        </ext>
      </extLst>
    </bk>
    <bk>
      <extLst>
        <ext uri="{3e2802c4-a4d2-4d8b-9148-e3be6c30e623}">
          <xlrd:rvb i="1092"/>
        </ext>
      </extLst>
    </bk>
    <bk>
      <extLst>
        <ext uri="{3e2802c4-a4d2-4d8b-9148-e3be6c30e623}">
          <xlrd:rvb i="1093"/>
        </ext>
      </extLst>
    </bk>
    <bk>
      <extLst>
        <ext uri="{3e2802c4-a4d2-4d8b-9148-e3be6c30e623}">
          <xlrd:rvb i="1094"/>
        </ext>
      </extLst>
    </bk>
    <bk>
      <extLst>
        <ext uri="{3e2802c4-a4d2-4d8b-9148-e3be6c30e623}">
          <xlrd:rvb i="1095"/>
        </ext>
      </extLst>
    </bk>
    <bk>
      <extLst>
        <ext uri="{3e2802c4-a4d2-4d8b-9148-e3be6c30e623}">
          <xlrd:rvb i="1096"/>
        </ext>
      </extLst>
    </bk>
    <bk>
      <extLst>
        <ext uri="{3e2802c4-a4d2-4d8b-9148-e3be6c30e623}">
          <xlrd:rvb i="1097"/>
        </ext>
      </extLst>
    </bk>
    <bk>
      <extLst>
        <ext uri="{3e2802c4-a4d2-4d8b-9148-e3be6c30e623}">
          <xlrd:rvb i="1098"/>
        </ext>
      </extLst>
    </bk>
    <bk>
      <extLst>
        <ext uri="{3e2802c4-a4d2-4d8b-9148-e3be6c30e623}">
          <xlrd:rvb i="1099"/>
        </ext>
      </extLst>
    </bk>
    <bk>
      <extLst>
        <ext uri="{3e2802c4-a4d2-4d8b-9148-e3be6c30e623}">
          <xlrd:rvb i="1100"/>
        </ext>
      </extLst>
    </bk>
    <bk>
      <extLst>
        <ext uri="{3e2802c4-a4d2-4d8b-9148-e3be6c30e623}">
          <xlrd:rvb i="1101"/>
        </ext>
      </extLst>
    </bk>
    <bk>
      <extLst>
        <ext uri="{3e2802c4-a4d2-4d8b-9148-e3be6c30e623}">
          <xlrd:rvb i="1102"/>
        </ext>
      </extLst>
    </bk>
    <bk>
      <extLst>
        <ext uri="{3e2802c4-a4d2-4d8b-9148-e3be6c30e623}">
          <xlrd:rvb i="1103"/>
        </ext>
      </extLst>
    </bk>
    <bk>
      <extLst>
        <ext uri="{3e2802c4-a4d2-4d8b-9148-e3be6c30e623}">
          <xlrd:rvb i="1104"/>
        </ext>
      </extLst>
    </bk>
    <bk>
      <extLst>
        <ext uri="{3e2802c4-a4d2-4d8b-9148-e3be6c30e623}">
          <xlrd:rvb i="1105"/>
        </ext>
      </extLst>
    </bk>
    <bk>
      <extLst>
        <ext uri="{3e2802c4-a4d2-4d8b-9148-e3be6c30e623}">
          <xlrd:rvb i="1106"/>
        </ext>
      </extLst>
    </bk>
    <bk>
      <extLst>
        <ext uri="{3e2802c4-a4d2-4d8b-9148-e3be6c30e623}">
          <xlrd:rvb i="1107"/>
        </ext>
      </extLst>
    </bk>
    <bk>
      <extLst>
        <ext uri="{3e2802c4-a4d2-4d8b-9148-e3be6c30e623}">
          <xlrd:rvb i="1108"/>
        </ext>
      </extLst>
    </bk>
    <bk>
      <extLst>
        <ext uri="{3e2802c4-a4d2-4d8b-9148-e3be6c30e623}">
          <xlrd:rvb i="1109"/>
        </ext>
      </extLst>
    </bk>
    <bk>
      <extLst>
        <ext uri="{3e2802c4-a4d2-4d8b-9148-e3be6c30e623}">
          <xlrd:rvb i="1110"/>
        </ext>
      </extLst>
    </bk>
    <bk>
      <extLst>
        <ext uri="{3e2802c4-a4d2-4d8b-9148-e3be6c30e623}">
          <xlrd:rvb i="1111"/>
        </ext>
      </extLst>
    </bk>
    <bk>
      <extLst>
        <ext uri="{3e2802c4-a4d2-4d8b-9148-e3be6c30e623}">
          <xlrd:rvb i="1112"/>
        </ext>
      </extLst>
    </bk>
    <bk>
      <extLst>
        <ext uri="{3e2802c4-a4d2-4d8b-9148-e3be6c30e623}">
          <xlrd:rvb i="1113"/>
        </ext>
      </extLst>
    </bk>
    <bk>
      <extLst>
        <ext uri="{3e2802c4-a4d2-4d8b-9148-e3be6c30e623}">
          <xlrd:rvb i="1114"/>
        </ext>
      </extLst>
    </bk>
    <bk>
      <extLst>
        <ext uri="{3e2802c4-a4d2-4d8b-9148-e3be6c30e623}">
          <xlrd:rvb i="1115"/>
        </ext>
      </extLst>
    </bk>
    <bk>
      <extLst>
        <ext uri="{3e2802c4-a4d2-4d8b-9148-e3be6c30e623}">
          <xlrd:rvb i="1116"/>
        </ext>
      </extLst>
    </bk>
    <bk>
      <extLst>
        <ext uri="{3e2802c4-a4d2-4d8b-9148-e3be6c30e623}">
          <xlrd:rvb i="1117"/>
        </ext>
      </extLst>
    </bk>
    <bk>
      <extLst>
        <ext uri="{3e2802c4-a4d2-4d8b-9148-e3be6c30e623}">
          <xlrd:rvb i="1118"/>
        </ext>
      </extLst>
    </bk>
    <bk>
      <extLst>
        <ext uri="{3e2802c4-a4d2-4d8b-9148-e3be6c30e623}">
          <xlrd:rvb i="1119"/>
        </ext>
      </extLst>
    </bk>
    <bk>
      <extLst>
        <ext uri="{3e2802c4-a4d2-4d8b-9148-e3be6c30e623}">
          <xlrd:rvb i="1120"/>
        </ext>
      </extLst>
    </bk>
    <bk>
      <extLst>
        <ext uri="{3e2802c4-a4d2-4d8b-9148-e3be6c30e623}">
          <xlrd:rvb i="1121"/>
        </ext>
      </extLst>
    </bk>
    <bk>
      <extLst>
        <ext uri="{3e2802c4-a4d2-4d8b-9148-e3be6c30e623}">
          <xlrd:rvb i="1122"/>
        </ext>
      </extLst>
    </bk>
    <bk>
      <extLst>
        <ext uri="{3e2802c4-a4d2-4d8b-9148-e3be6c30e623}">
          <xlrd:rvb i="1123"/>
        </ext>
      </extLst>
    </bk>
    <bk>
      <extLst>
        <ext uri="{3e2802c4-a4d2-4d8b-9148-e3be6c30e623}">
          <xlrd:rvb i="1124"/>
        </ext>
      </extLst>
    </bk>
    <bk>
      <extLst>
        <ext uri="{3e2802c4-a4d2-4d8b-9148-e3be6c30e623}">
          <xlrd:rvb i="1125"/>
        </ext>
      </extLst>
    </bk>
    <bk>
      <extLst>
        <ext uri="{3e2802c4-a4d2-4d8b-9148-e3be6c30e623}">
          <xlrd:rvb i="1126"/>
        </ext>
      </extLst>
    </bk>
    <bk>
      <extLst>
        <ext uri="{3e2802c4-a4d2-4d8b-9148-e3be6c30e623}">
          <xlrd:rvb i="1127"/>
        </ext>
      </extLst>
    </bk>
    <bk>
      <extLst>
        <ext uri="{3e2802c4-a4d2-4d8b-9148-e3be6c30e623}">
          <xlrd:rvb i="1128"/>
        </ext>
      </extLst>
    </bk>
    <bk>
      <extLst>
        <ext uri="{3e2802c4-a4d2-4d8b-9148-e3be6c30e623}">
          <xlrd:rvb i="1129"/>
        </ext>
      </extLst>
    </bk>
    <bk>
      <extLst>
        <ext uri="{3e2802c4-a4d2-4d8b-9148-e3be6c30e623}">
          <xlrd:rvb i="1130"/>
        </ext>
      </extLst>
    </bk>
    <bk>
      <extLst>
        <ext uri="{3e2802c4-a4d2-4d8b-9148-e3be6c30e623}">
          <xlrd:rvb i="1131"/>
        </ext>
      </extLst>
    </bk>
    <bk>
      <extLst>
        <ext uri="{3e2802c4-a4d2-4d8b-9148-e3be6c30e623}">
          <xlrd:rvb i="1132"/>
        </ext>
      </extLst>
    </bk>
    <bk>
      <extLst>
        <ext uri="{3e2802c4-a4d2-4d8b-9148-e3be6c30e623}">
          <xlrd:rvb i="1133"/>
        </ext>
      </extLst>
    </bk>
    <bk>
      <extLst>
        <ext uri="{3e2802c4-a4d2-4d8b-9148-e3be6c30e623}">
          <xlrd:rvb i="1134"/>
        </ext>
      </extLst>
    </bk>
    <bk>
      <extLst>
        <ext uri="{3e2802c4-a4d2-4d8b-9148-e3be6c30e623}">
          <xlrd:rvb i="1135"/>
        </ext>
      </extLst>
    </bk>
    <bk>
      <extLst>
        <ext uri="{3e2802c4-a4d2-4d8b-9148-e3be6c30e623}">
          <xlrd:rvb i="1136"/>
        </ext>
      </extLst>
    </bk>
    <bk>
      <extLst>
        <ext uri="{3e2802c4-a4d2-4d8b-9148-e3be6c30e623}">
          <xlrd:rvb i="1137"/>
        </ext>
      </extLst>
    </bk>
    <bk>
      <extLst>
        <ext uri="{3e2802c4-a4d2-4d8b-9148-e3be6c30e623}">
          <xlrd:rvb i="1138"/>
        </ext>
      </extLst>
    </bk>
    <bk>
      <extLst>
        <ext uri="{3e2802c4-a4d2-4d8b-9148-e3be6c30e623}">
          <xlrd:rvb i="1139"/>
        </ext>
      </extLst>
    </bk>
    <bk>
      <extLst>
        <ext uri="{3e2802c4-a4d2-4d8b-9148-e3be6c30e623}">
          <xlrd:rvb i="1140"/>
        </ext>
      </extLst>
    </bk>
    <bk>
      <extLst>
        <ext uri="{3e2802c4-a4d2-4d8b-9148-e3be6c30e623}">
          <xlrd:rvb i="1141"/>
        </ext>
      </extLst>
    </bk>
    <bk>
      <extLst>
        <ext uri="{3e2802c4-a4d2-4d8b-9148-e3be6c30e623}">
          <xlrd:rvb i="1142"/>
        </ext>
      </extLst>
    </bk>
    <bk>
      <extLst>
        <ext uri="{3e2802c4-a4d2-4d8b-9148-e3be6c30e623}">
          <xlrd:rvb i="1143"/>
        </ext>
      </extLst>
    </bk>
    <bk>
      <extLst>
        <ext uri="{3e2802c4-a4d2-4d8b-9148-e3be6c30e623}">
          <xlrd:rvb i="1144"/>
        </ext>
      </extLst>
    </bk>
    <bk>
      <extLst>
        <ext uri="{3e2802c4-a4d2-4d8b-9148-e3be6c30e623}">
          <xlrd:rvb i="1145"/>
        </ext>
      </extLst>
    </bk>
    <bk>
      <extLst>
        <ext uri="{3e2802c4-a4d2-4d8b-9148-e3be6c30e623}">
          <xlrd:rvb i="1146"/>
        </ext>
      </extLst>
    </bk>
    <bk>
      <extLst>
        <ext uri="{3e2802c4-a4d2-4d8b-9148-e3be6c30e623}">
          <xlrd:rvb i="1147"/>
        </ext>
      </extLst>
    </bk>
    <bk>
      <extLst>
        <ext uri="{3e2802c4-a4d2-4d8b-9148-e3be6c30e623}">
          <xlrd:rvb i="1148"/>
        </ext>
      </extLst>
    </bk>
    <bk>
      <extLst>
        <ext uri="{3e2802c4-a4d2-4d8b-9148-e3be6c30e623}">
          <xlrd:rvb i="1149"/>
        </ext>
      </extLst>
    </bk>
    <bk>
      <extLst>
        <ext uri="{3e2802c4-a4d2-4d8b-9148-e3be6c30e623}">
          <xlrd:rvb i="1150"/>
        </ext>
      </extLst>
    </bk>
    <bk>
      <extLst>
        <ext uri="{3e2802c4-a4d2-4d8b-9148-e3be6c30e623}">
          <xlrd:rvb i="1151"/>
        </ext>
      </extLst>
    </bk>
    <bk>
      <extLst>
        <ext uri="{3e2802c4-a4d2-4d8b-9148-e3be6c30e623}">
          <xlrd:rvb i="1152"/>
        </ext>
      </extLst>
    </bk>
    <bk>
      <extLst>
        <ext uri="{3e2802c4-a4d2-4d8b-9148-e3be6c30e623}">
          <xlrd:rvb i="1153"/>
        </ext>
      </extLst>
    </bk>
    <bk>
      <extLst>
        <ext uri="{3e2802c4-a4d2-4d8b-9148-e3be6c30e623}">
          <xlrd:rvb i="1154"/>
        </ext>
      </extLst>
    </bk>
    <bk>
      <extLst>
        <ext uri="{3e2802c4-a4d2-4d8b-9148-e3be6c30e623}">
          <xlrd:rvb i="1155"/>
        </ext>
      </extLst>
    </bk>
    <bk>
      <extLst>
        <ext uri="{3e2802c4-a4d2-4d8b-9148-e3be6c30e623}">
          <xlrd:rvb i="1156"/>
        </ext>
      </extLst>
    </bk>
    <bk>
      <extLst>
        <ext uri="{3e2802c4-a4d2-4d8b-9148-e3be6c30e623}">
          <xlrd:rvb i="1157"/>
        </ext>
      </extLst>
    </bk>
    <bk>
      <extLst>
        <ext uri="{3e2802c4-a4d2-4d8b-9148-e3be6c30e623}">
          <xlrd:rvb i="1158"/>
        </ext>
      </extLst>
    </bk>
    <bk>
      <extLst>
        <ext uri="{3e2802c4-a4d2-4d8b-9148-e3be6c30e623}">
          <xlrd:rvb i="1159"/>
        </ext>
      </extLst>
    </bk>
    <bk>
      <extLst>
        <ext uri="{3e2802c4-a4d2-4d8b-9148-e3be6c30e623}">
          <xlrd:rvb i="1160"/>
        </ext>
      </extLst>
    </bk>
    <bk>
      <extLst>
        <ext uri="{3e2802c4-a4d2-4d8b-9148-e3be6c30e623}">
          <xlrd:rvb i="1161"/>
        </ext>
      </extLst>
    </bk>
    <bk>
      <extLst>
        <ext uri="{3e2802c4-a4d2-4d8b-9148-e3be6c30e623}">
          <xlrd:rvb i="1162"/>
        </ext>
      </extLst>
    </bk>
    <bk>
      <extLst>
        <ext uri="{3e2802c4-a4d2-4d8b-9148-e3be6c30e623}">
          <xlrd:rvb i="1163"/>
        </ext>
      </extLst>
    </bk>
    <bk>
      <extLst>
        <ext uri="{3e2802c4-a4d2-4d8b-9148-e3be6c30e623}">
          <xlrd:rvb i="1164"/>
        </ext>
      </extLst>
    </bk>
    <bk>
      <extLst>
        <ext uri="{3e2802c4-a4d2-4d8b-9148-e3be6c30e623}">
          <xlrd:rvb i="1165"/>
        </ext>
      </extLst>
    </bk>
    <bk>
      <extLst>
        <ext uri="{3e2802c4-a4d2-4d8b-9148-e3be6c30e623}">
          <xlrd:rvb i="1166"/>
        </ext>
      </extLst>
    </bk>
    <bk>
      <extLst>
        <ext uri="{3e2802c4-a4d2-4d8b-9148-e3be6c30e623}">
          <xlrd:rvb i="1167"/>
        </ext>
      </extLst>
    </bk>
    <bk>
      <extLst>
        <ext uri="{3e2802c4-a4d2-4d8b-9148-e3be6c30e623}">
          <xlrd:rvb i="1168"/>
        </ext>
      </extLst>
    </bk>
    <bk>
      <extLst>
        <ext uri="{3e2802c4-a4d2-4d8b-9148-e3be6c30e623}">
          <xlrd:rvb i="1169"/>
        </ext>
      </extLst>
    </bk>
    <bk>
      <extLst>
        <ext uri="{3e2802c4-a4d2-4d8b-9148-e3be6c30e623}">
          <xlrd:rvb i="1170"/>
        </ext>
      </extLst>
    </bk>
    <bk>
      <extLst>
        <ext uri="{3e2802c4-a4d2-4d8b-9148-e3be6c30e623}">
          <xlrd:rvb i="1171"/>
        </ext>
      </extLst>
    </bk>
    <bk>
      <extLst>
        <ext uri="{3e2802c4-a4d2-4d8b-9148-e3be6c30e623}">
          <xlrd:rvb i="1172"/>
        </ext>
      </extLst>
    </bk>
    <bk>
      <extLst>
        <ext uri="{3e2802c4-a4d2-4d8b-9148-e3be6c30e623}">
          <xlrd:rvb i="1173"/>
        </ext>
      </extLst>
    </bk>
    <bk>
      <extLst>
        <ext uri="{3e2802c4-a4d2-4d8b-9148-e3be6c30e623}">
          <xlrd:rvb i="1174"/>
        </ext>
      </extLst>
    </bk>
    <bk>
      <extLst>
        <ext uri="{3e2802c4-a4d2-4d8b-9148-e3be6c30e623}">
          <xlrd:rvb i="1175"/>
        </ext>
      </extLst>
    </bk>
    <bk>
      <extLst>
        <ext uri="{3e2802c4-a4d2-4d8b-9148-e3be6c30e623}">
          <xlrd:rvb i="1176"/>
        </ext>
      </extLst>
    </bk>
    <bk>
      <extLst>
        <ext uri="{3e2802c4-a4d2-4d8b-9148-e3be6c30e623}">
          <xlrd:rvb i="1177"/>
        </ext>
      </extLst>
    </bk>
    <bk>
      <extLst>
        <ext uri="{3e2802c4-a4d2-4d8b-9148-e3be6c30e623}">
          <xlrd:rvb i="1178"/>
        </ext>
      </extLst>
    </bk>
    <bk>
      <extLst>
        <ext uri="{3e2802c4-a4d2-4d8b-9148-e3be6c30e623}">
          <xlrd:rvb i="1179"/>
        </ext>
      </extLst>
    </bk>
    <bk>
      <extLst>
        <ext uri="{3e2802c4-a4d2-4d8b-9148-e3be6c30e623}">
          <xlrd:rvb i="1180"/>
        </ext>
      </extLst>
    </bk>
    <bk>
      <extLst>
        <ext uri="{3e2802c4-a4d2-4d8b-9148-e3be6c30e623}">
          <xlrd:rvb i="1181"/>
        </ext>
      </extLst>
    </bk>
    <bk>
      <extLst>
        <ext uri="{3e2802c4-a4d2-4d8b-9148-e3be6c30e623}">
          <xlrd:rvb i="1182"/>
        </ext>
      </extLst>
    </bk>
    <bk>
      <extLst>
        <ext uri="{3e2802c4-a4d2-4d8b-9148-e3be6c30e623}">
          <xlrd:rvb i="1183"/>
        </ext>
      </extLst>
    </bk>
    <bk>
      <extLst>
        <ext uri="{3e2802c4-a4d2-4d8b-9148-e3be6c30e623}">
          <xlrd:rvb i="1184"/>
        </ext>
      </extLst>
    </bk>
    <bk>
      <extLst>
        <ext uri="{3e2802c4-a4d2-4d8b-9148-e3be6c30e623}">
          <xlrd:rvb i="1185"/>
        </ext>
      </extLst>
    </bk>
    <bk>
      <extLst>
        <ext uri="{3e2802c4-a4d2-4d8b-9148-e3be6c30e623}">
          <xlrd:rvb i="1186"/>
        </ext>
      </extLst>
    </bk>
    <bk>
      <extLst>
        <ext uri="{3e2802c4-a4d2-4d8b-9148-e3be6c30e623}">
          <xlrd:rvb i="1187"/>
        </ext>
      </extLst>
    </bk>
    <bk>
      <extLst>
        <ext uri="{3e2802c4-a4d2-4d8b-9148-e3be6c30e623}">
          <xlrd:rvb i="1188"/>
        </ext>
      </extLst>
    </bk>
    <bk>
      <extLst>
        <ext uri="{3e2802c4-a4d2-4d8b-9148-e3be6c30e623}">
          <xlrd:rvb i="1189"/>
        </ext>
      </extLst>
    </bk>
    <bk>
      <extLst>
        <ext uri="{3e2802c4-a4d2-4d8b-9148-e3be6c30e623}">
          <xlrd:rvb i="1190"/>
        </ext>
      </extLst>
    </bk>
    <bk>
      <extLst>
        <ext uri="{3e2802c4-a4d2-4d8b-9148-e3be6c30e623}">
          <xlrd:rvb i="1191"/>
        </ext>
      </extLst>
    </bk>
    <bk>
      <extLst>
        <ext uri="{3e2802c4-a4d2-4d8b-9148-e3be6c30e623}">
          <xlrd:rvb i="1192"/>
        </ext>
      </extLst>
    </bk>
    <bk>
      <extLst>
        <ext uri="{3e2802c4-a4d2-4d8b-9148-e3be6c30e623}">
          <xlrd:rvb i="1193"/>
        </ext>
      </extLst>
    </bk>
    <bk>
      <extLst>
        <ext uri="{3e2802c4-a4d2-4d8b-9148-e3be6c30e623}">
          <xlrd:rvb i="1194"/>
        </ext>
      </extLst>
    </bk>
    <bk>
      <extLst>
        <ext uri="{3e2802c4-a4d2-4d8b-9148-e3be6c30e623}">
          <xlrd:rvb i="1195"/>
        </ext>
      </extLst>
    </bk>
    <bk>
      <extLst>
        <ext uri="{3e2802c4-a4d2-4d8b-9148-e3be6c30e623}">
          <xlrd:rvb i="1196"/>
        </ext>
      </extLst>
    </bk>
    <bk>
      <extLst>
        <ext uri="{3e2802c4-a4d2-4d8b-9148-e3be6c30e623}">
          <xlrd:rvb i="1197"/>
        </ext>
      </extLst>
    </bk>
    <bk>
      <extLst>
        <ext uri="{3e2802c4-a4d2-4d8b-9148-e3be6c30e623}">
          <xlrd:rvb i="1198"/>
        </ext>
      </extLst>
    </bk>
    <bk>
      <extLst>
        <ext uri="{3e2802c4-a4d2-4d8b-9148-e3be6c30e623}">
          <xlrd:rvb i="1199"/>
        </ext>
      </extLst>
    </bk>
    <bk>
      <extLst>
        <ext uri="{3e2802c4-a4d2-4d8b-9148-e3be6c30e623}">
          <xlrd:rvb i="1200"/>
        </ext>
      </extLst>
    </bk>
    <bk>
      <extLst>
        <ext uri="{3e2802c4-a4d2-4d8b-9148-e3be6c30e623}">
          <xlrd:rvb i="1201"/>
        </ext>
      </extLst>
    </bk>
    <bk>
      <extLst>
        <ext uri="{3e2802c4-a4d2-4d8b-9148-e3be6c30e623}">
          <xlrd:rvb i="1202"/>
        </ext>
      </extLst>
    </bk>
    <bk>
      <extLst>
        <ext uri="{3e2802c4-a4d2-4d8b-9148-e3be6c30e623}">
          <xlrd:rvb i="1203"/>
        </ext>
      </extLst>
    </bk>
    <bk>
      <extLst>
        <ext uri="{3e2802c4-a4d2-4d8b-9148-e3be6c30e623}">
          <xlrd:rvb i="1204"/>
        </ext>
      </extLst>
    </bk>
    <bk>
      <extLst>
        <ext uri="{3e2802c4-a4d2-4d8b-9148-e3be6c30e623}">
          <xlrd:rvb i="1205"/>
        </ext>
      </extLst>
    </bk>
    <bk>
      <extLst>
        <ext uri="{3e2802c4-a4d2-4d8b-9148-e3be6c30e623}">
          <xlrd:rvb i="1206"/>
        </ext>
      </extLst>
    </bk>
    <bk>
      <extLst>
        <ext uri="{3e2802c4-a4d2-4d8b-9148-e3be6c30e623}">
          <xlrd:rvb i="1207"/>
        </ext>
      </extLst>
    </bk>
    <bk>
      <extLst>
        <ext uri="{3e2802c4-a4d2-4d8b-9148-e3be6c30e623}">
          <xlrd:rvb i="1208"/>
        </ext>
      </extLst>
    </bk>
    <bk>
      <extLst>
        <ext uri="{3e2802c4-a4d2-4d8b-9148-e3be6c30e623}">
          <xlrd:rvb i="1209"/>
        </ext>
      </extLst>
    </bk>
    <bk>
      <extLst>
        <ext uri="{3e2802c4-a4d2-4d8b-9148-e3be6c30e623}">
          <xlrd:rvb i="1210"/>
        </ext>
      </extLst>
    </bk>
    <bk>
      <extLst>
        <ext uri="{3e2802c4-a4d2-4d8b-9148-e3be6c30e623}">
          <xlrd:rvb i="1211"/>
        </ext>
      </extLst>
    </bk>
    <bk>
      <extLst>
        <ext uri="{3e2802c4-a4d2-4d8b-9148-e3be6c30e623}">
          <xlrd:rvb i="1212"/>
        </ext>
      </extLst>
    </bk>
    <bk>
      <extLst>
        <ext uri="{3e2802c4-a4d2-4d8b-9148-e3be6c30e623}">
          <xlrd:rvb i="1213"/>
        </ext>
      </extLst>
    </bk>
    <bk>
      <extLst>
        <ext uri="{3e2802c4-a4d2-4d8b-9148-e3be6c30e623}">
          <xlrd:rvb i="1214"/>
        </ext>
      </extLst>
    </bk>
    <bk>
      <extLst>
        <ext uri="{3e2802c4-a4d2-4d8b-9148-e3be6c30e623}">
          <xlrd:rvb i="1215"/>
        </ext>
      </extLst>
    </bk>
    <bk>
      <extLst>
        <ext uri="{3e2802c4-a4d2-4d8b-9148-e3be6c30e623}">
          <xlrd:rvb i="1216"/>
        </ext>
      </extLst>
    </bk>
    <bk>
      <extLst>
        <ext uri="{3e2802c4-a4d2-4d8b-9148-e3be6c30e623}">
          <xlrd:rvb i="1217"/>
        </ext>
      </extLst>
    </bk>
    <bk>
      <extLst>
        <ext uri="{3e2802c4-a4d2-4d8b-9148-e3be6c30e623}">
          <xlrd:rvb i="1218"/>
        </ext>
      </extLst>
    </bk>
    <bk>
      <extLst>
        <ext uri="{3e2802c4-a4d2-4d8b-9148-e3be6c30e623}">
          <xlrd:rvb i="1219"/>
        </ext>
      </extLst>
    </bk>
    <bk>
      <extLst>
        <ext uri="{3e2802c4-a4d2-4d8b-9148-e3be6c30e623}">
          <xlrd:rvb i="1220"/>
        </ext>
      </extLst>
    </bk>
    <bk>
      <extLst>
        <ext uri="{3e2802c4-a4d2-4d8b-9148-e3be6c30e623}">
          <xlrd:rvb i="1221"/>
        </ext>
      </extLst>
    </bk>
    <bk>
      <extLst>
        <ext uri="{3e2802c4-a4d2-4d8b-9148-e3be6c30e623}">
          <xlrd:rvb i="1222"/>
        </ext>
      </extLst>
    </bk>
    <bk>
      <extLst>
        <ext uri="{3e2802c4-a4d2-4d8b-9148-e3be6c30e623}">
          <xlrd:rvb i="1223"/>
        </ext>
      </extLst>
    </bk>
    <bk>
      <extLst>
        <ext uri="{3e2802c4-a4d2-4d8b-9148-e3be6c30e623}">
          <xlrd:rvb i="1224"/>
        </ext>
      </extLst>
    </bk>
    <bk>
      <extLst>
        <ext uri="{3e2802c4-a4d2-4d8b-9148-e3be6c30e623}">
          <xlrd:rvb i="1225"/>
        </ext>
      </extLst>
    </bk>
    <bk>
      <extLst>
        <ext uri="{3e2802c4-a4d2-4d8b-9148-e3be6c30e623}">
          <xlrd:rvb i="1226"/>
        </ext>
      </extLst>
    </bk>
    <bk>
      <extLst>
        <ext uri="{3e2802c4-a4d2-4d8b-9148-e3be6c30e623}">
          <xlrd:rvb i="1227"/>
        </ext>
      </extLst>
    </bk>
    <bk>
      <extLst>
        <ext uri="{3e2802c4-a4d2-4d8b-9148-e3be6c30e623}">
          <xlrd:rvb i="1228"/>
        </ext>
      </extLst>
    </bk>
    <bk>
      <extLst>
        <ext uri="{3e2802c4-a4d2-4d8b-9148-e3be6c30e623}">
          <xlrd:rvb i="1229"/>
        </ext>
      </extLst>
    </bk>
    <bk>
      <extLst>
        <ext uri="{3e2802c4-a4d2-4d8b-9148-e3be6c30e623}">
          <xlrd:rvb i="1230"/>
        </ext>
      </extLst>
    </bk>
    <bk>
      <extLst>
        <ext uri="{3e2802c4-a4d2-4d8b-9148-e3be6c30e623}">
          <xlrd:rvb i="1231"/>
        </ext>
      </extLst>
    </bk>
    <bk>
      <extLst>
        <ext uri="{3e2802c4-a4d2-4d8b-9148-e3be6c30e623}">
          <xlrd:rvb i="1232"/>
        </ext>
      </extLst>
    </bk>
    <bk>
      <extLst>
        <ext uri="{3e2802c4-a4d2-4d8b-9148-e3be6c30e623}">
          <xlrd:rvb i="1233"/>
        </ext>
      </extLst>
    </bk>
    <bk>
      <extLst>
        <ext uri="{3e2802c4-a4d2-4d8b-9148-e3be6c30e623}">
          <xlrd:rvb i="1234"/>
        </ext>
      </extLst>
    </bk>
    <bk>
      <extLst>
        <ext uri="{3e2802c4-a4d2-4d8b-9148-e3be6c30e623}">
          <xlrd:rvb i="1235"/>
        </ext>
      </extLst>
    </bk>
    <bk>
      <extLst>
        <ext uri="{3e2802c4-a4d2-4d8b-9148-e3be6c30e623}">
          <xlrd:rvb i="1236"/>
        </ext>
      </extLst>
    </bk>
    <bk>
      <extLst>
        <ext uri="{3e2802c4-a4d2-4d8b-9148-e3be6c30e623}">
          <xlrd:rvb i="1237"/>
        </ext>
      </extLst>
    </bk>
    <bk>
      <extLst>
        <ext uri="{3e2802c4-a4d2-4d8b-9148-e3be6c30e623}">
          <xlrd:rvb i="1238"/>
        </ext>
      </extLst>
    </bk>
    <bk>
      <extLst>
        <ext uri="{3e2802c4-a4d2-4d8b-9148-e3be6c30e623}">
          <xlrd:rvb i="1239"/>
        </ext>
      </extLst>
    </bk>
    <bk>
      <extLst>
        <ext uri="{3e2802c4-a4d2-4d8b-9148-e3be6c30e623}">
          <xlrd:rvb i="1240"/>
        </ext>
      </extLst>
    </bk>
    <bk>
      <extLst>
        <ext uri="{3e2802c4-a4d2-4d8b-9148-e3be6c30e623}">
          <xlrd:rvb i="1241"/>
        </ext>
      </extLst>
    </bk>
    <bk>
      <extLst>
        <ext uri="{3e2802c4-a4d2-4d8b-9148-e3be6c30e623}">
          <xlrd:rvb i="1242"/>
        </ext>
      </extLst>
    </bk>
    <bk>
      <extLst>
        <ext uri="{3e2802c4-a4d2-4d8b-9148-e3be6c30e623}">
          <xlrd:rvb i="1243"/>
        </ext>
      </extLst>
    </bk>
    <bk>
      <extLst>
        <ext uri="{3e2802c4-a4d2-4d8b-9148-e3be6c30e623}">
          <xlrd:rvb i="1244"/>
        </ext>
      </extLst>
    </bk>
    <bk>
      <extLst>
        <ext uri="{3e2802c4-a4d2-4d8b-9148-e3be6c30e623}">
          <xlrd:rvb i="1245"/>
        </ext>
      </extLst>
    </bk>
    <bk>
      <extLst>
        <ext uri="{3e2802c4-a4d2-4d8b-9148-e3be6c30e623}">
          <xlrd:rvb i="1246"/>
        </ext>
      </extLst>
    </bk>
    <bk>
      <extLst>
        <ext uri="{3e2802c4-a4d2-4d8b-9148-e3be6c30e623}">
          <xlrd:rvb i="1247"/>
        </ext>
      </extLst>
    </bk>
    <bk>
      <extLst>
        <ext uri="{3e2802c4-a4d2-4d8b-9148-e3be6c30e623}">
          <xlrd:rvb i="1248"/>
        </ext>
      </extLst>
    </bk>
    <bk>
      <extLst>
        <ext uri="{3e2802c4-a4d2-4d8b-9148-e3be6c30e623}">
          <xlrd:rvb i="1249"/>
        </ext>
      </extLst>
    </bk>
    <bk>
      <extLst>
        <ext uri="{3e2802c4-a4d2-4d8b-9148-e3be6c30e623}">
          <xlrd:rvb i="1250"/>
        </ext>
      </extLst>
    </bk>
    <bk>
      <extLst>
        <ext uri="{3e2802c4-a4d2-4d8b-9148-e3be6c30e623}">
          <xlrd:rvb i="1251"/>
        </ext>
      </extLst>
    </bk>
    <bk>
      <extLst>
        <ext uri="{3e2802c4-a4d2-4d8b-9148-e3be6c30e623}">
          <xlrd:rvb i="1252"/>
        </ext>
      </extLst>
    </bk>
    <bk>
      <extLst>
        <ext uri="{3e2802c4-a4d2-4d8b-9148-e3be6c30e623}">
          <xlrd:rvb i="1253"/>
        </ext>
      </extLst>
    </bk>
    <bk>
      <extLst>
        <ext uri="{3e2802c4-a4d2-4d8b-9148-e3be6c30e623}">
          <xlrd:rvb i="1254"/>
        </ext>
      </extLst>
    </bk>
    <bk>
      <extLst>
        <ext uri="{3e2802c4-a4d2-4d8b-9148-e3be6c30e623}">
          <xlrd:rvb i="1255"/>
        </ext>
      </extLst>
    </bk>
    <bk>
      <extLst>
        <ext uri="{3e2802c4-a4d2-4d8b-9148-e3be6c30e623}">
          <xlrd:rvb i="1256"/>
        </ext>
      </extLst>
    </bk>
    <bk>
      <extLst>
        <ext uri="{3e2802c4-a4d2-4d8b-9148-e3be6c30e623}">
          <xlrd:rvb i="1257"/>
        </ext>
      </extLst>
    </bk>
    <bk>
      <extLst>
        <ext uri="{3e2802c4-a4d2-4d8b-9148-e3be6c30e623}">
          <xlrd:rvb i="1258"/>
        </ext>
      </extLst>
    </bk>
    <bk>
      <extLst>
        <ext uri="{3e2802c4-a4d2-4d8b-9148-e3be6c30e623}">
          <xlrd:rvb i="1259"/>
        </ext>
      </extLst>
    </bk>
    <bk>
      <extLst>
        <ext uri="{3e2802c4-a4d2-4d8b-9148-e3be6c30e623}">
          <xlrd:rvb i="1260"/>
        </ext>
      </extLst>
    </bk>
    <bk>
      <extLst>
        <ext uri="{3e2802c4-a4d2-4d8b-9148-e3be6c30e623}">
          <xlrd:rvb i="1261"/>
        </ext>
      </extLst>
    </bk>
    <bk>
      <extLst>
        <ext uri="{3e2802c4-a4d2-4d8b-9148-e3be6c30e623}">
          <xlrd:rvb i="1262"/>
        </ext>
      </extLst>
    </bk>
    <bk>
      <extLst>
        <ext uri="{3e2802c4-a4d2-4d8b-9148-e3be6c30e623}">
          <xlrd:rvb i="1263"/>
        </ext>
      </extLst>
    </bk>
    <bk>
      <extLst>
        <ext uri="{3e2802c4-a4d2-4d8b-9148-e3be6c30e623}">
          <xlrd:rvb i="1264"/>
        </ext>
      </extLst>
    </bk>
    <bk>
      <extLst>
        <ext uri="{3e2802c4-a4d2-4d8b-9148-e3be6c30e623}">
          <xlrd:rvb i="1265"/>
        </ext>
      </extLst>
    </bk>
    <bk>
      <extLst>
        <ext uri="{3e2802c4-a4d2-4d8b-9148-e3be6c30e623}">
          <xlrd:rvb i="1266"/>
        </ext>
      </extLst>
    </bk>
    <bk>
      <extLst>
        <ext uri="{3e2802c4-a4d2-4d8b-9148-e3be6c30e623}">
          <xlrd:rvb i="1267"/>
        </ext>
      </extLst>
    </bk>
    <bk>
      <extLst>
        <ext uri="{3e2802c4-a4d2-4d8b-9148-e3be6c30e623}">
          <xlrd:rvb i="1268"/>
        </ext>
      </extLst>
    </bk>
    <bk>
      <extLst>
        <ext uri="{3e2802c4-a4d2-4d8b-9148-e3be6c30e623}">
          <xlrd:rvb i="1269"/>
        </ext>
      </extLst>
    </bk>
    <bk>
      <extLst>
        <ext uri="{3e2802c4-a4d2-4d8b-9148-e3be6c30e623}">
          <xlrd:rvb i="1270"/>
        </ext>
      </extLst>
    </bk>
    <bk>
      <extLst>
        <ext uri="{3e2802c4-a4d2-4d8b-9148-e3be6c30e623}">
          <xlrd:rvb i="1271"/>
        </ext>
      </extLst>
    </bk>
    <bk>
      <extLst>
        <ext uri="{3e2802c4-a4d2-4d8b-9148-e3be6c30e623}">
          <xlrd:rvb i="1272"/>
        </ext>
      </extLst>
    </bk>
    <bk>
      <extLst>
        <ext uri="{3e2802c4-a4d2-4d8b-9148-e3be6c30e623}">
          <xlrd:rvb i="1273"/>
        </ext>
      </extLst>
    </bk>
    <bk>
      <extLst>
        <ext uri="{3e2802c4-a4d2-4d8b-9148-e3be6c30e623}">
          <xlrd:rvb i="1274"/>
        </ext>
      </extLst>
    </bk>
    <bk>
      <extLst>
        <ext uri="{3e2802c4-a4d2-4d8b-9148-e3be6c30e623}">
          <xlrd:rvb i="1275"/>
        </ext>
      </extLst>
    </bk>
    <bk>
      <extLst>
        <ext uri="{3e2802c4-a4d2-4d8b-9148-e3be6c30e623}">
          <xlrd:rvb i="1276"/>
        </ext>
      </extLst>
    </bk>
    <bk>
      <extLst>
        <ext uri="{3e2802c4-a4d2-4d8b-9148-e3be6c30e623}">
          <xlrd:rvb i="1277"/>
        </ext>
      </extLst>
    </bk>
    <bk>
      <extLst>
        <ext uri="{3e2802c4-a4d2-4d8b-9148-e3be6c30e623}">
          <xlrd:rvb i="1278"/>
        </ext>
      </extLst>
    </bk>
    <bk>
      <extLst>
        <ext uri="{3e2802c4-a4d2-4d8b-9148-e3be6c30e623}">
          <xlrd:rvb i="1279"/>
        </ext>
      </extLst>
    </bk>
    <bk>
      <extLst>
        <ext uri="{3e2802c4-a4d2-4d8b-9148-e3be6c30e623}">
          <xlrd:rvb i="1280"/>
        </ext>
      </extLst>
    </bk>
    <bk>
      <extLst>
        <ext uri="{3e2802c4-a4d2-4d8b-9148-e3be6c30e623}">
          <xlrd:rvb i="1281"/>
        </ext>
      </extLst>
    </bk>
    <bk>
      <extLst>
        <ext uri="{3e2802c4-a4d2-4d8b-9148-e3be6c30e623}">
          <xlrd:rvb i="1282"/>
        </ext>
      </extLst>
    </bk>
    <bk>
      <extLst>
        <ext uri="{3e2802c4-a4d2-4d8b-9148-e3be6c30e623}">
          <xlrd:rvb i="1283"/>
        </ext>
      </extLst>
    </bk>
    <bk>
      <extLst>
        <ext uri="{3e2802c4-a4d2-4d8b-9148-e3be6c30e623}">
          <xlrd:rvb i="1284"/>
        </ext>
      </extLst>
    </bk>
    <bk>
      <extLst>
        <ext uri="{3e2802c4-a4d2-4d8b-9148-e3be6c30e623}">
          <xlrd:rvb i="1285"/>
        </ext>
      </extLst>
    </bk>
    <bk>
      <extLst>
        <ext uri="{3e2802c4-a4d2-4d8b-9148-e3be6c30e623}">
          <xlrd:rvb i="1286"/>
        </ext>
      </extLst>
    </bk>
    <bk>
      <extLst>
        <ext uri="{3e2802c4-a4d2-4d8b-9148-e3be6c30e623}">
          <xlrd:rvb i="1287"/>
        </ext>
      </extLst>
    </bk>
    <bk>
      <extLst>
        <ext uri="{3e2802c4-a4d2-4d8b-9148-e3be6c30e623}">
          <xlrd:rvb i="1288"/>
        </ext>
      </extLst>
    </bk>
    <bk>
      <extLst>
        <ext uri="{3e2802c4-a4d2-4d8b-9148-e3be6c30e623}">
          <xlrd:rvb i="1289"/>
        </ext>
      </extLst>
    </bk>
    <bk>
      <extLst>
        <ext uri="{3e2802c4-a4d2-4d8b-9148-e3be6c30e623}">
          <xlrd:rvb i="1290"/>
        </ext>
      </extLst>
    </bk>
    <bk>
      <extLst>
        <ext uri="{3e2802c4-a4d2-4d8b-9148-e3be6c30e623}">
          <xlrd:rvb i="1291"/>
        </ext>
      </extLst>
    </bk>
    <bk>
      <extLst>
        <ext uri="{3e2802c4-a4d2-4d8b-9148-e3be6c30e623}">
          <xlrd:rvb i="1292"/>
        </ext>
      </extLst>
    </bk>
    <bk>
      <extLst>
        <ext uri="{3e2802c4-a4d2-4d8b-9148-e3be6c30e623}">
          <xlrd:rvb i="1293"/>
        </ext>
      </extLst>
    </bk>
    <bk>
      <extLst>
        <ext uri="{3e2802c4-a4d2-4d8b-9148-e3be6c30e623}">
          <xlrd:rvb i="1294"/>
        </ext>
      </extLst>
    </bk>
    <bk>
      <extLst>
        <ext uri="{3e2802c4-a4d2-4d8b-9148-e3be6c30e623}">
          <xlrd:rvb i="1295"/>
        </ext>
      </extLst>
    </bk>
    <bk>
      <extLst>
        <ext uri="{3e2802c4-a4d2-4d8b-9148-e3be6c30e623}">
          <xlrd:rvb i="1296"/>
        </ext>
      </extLst>
    </bk>
    <bk>
      <extLst>
        <ext uri="{3e2802c4-a4d2-4d8b-9148-e3be6c30e623}">
          <xlrd:rvb i="1297"/>
        </ext>
      </extLst>
    </bk>
    <bk>
      <extLst>
        <ext uri="{3e2802c4-a4d2-4d8b-9148-e3be6c30e623}">
          <xlrd:rvb i="1298"/>
        </ext>
      </extLst>
    </bk>
    <bk>
      <extLst>
        <ext uri="{3e2802c4-a4d2-4d8b-9148-e3be6c30e623}">
          <xlrd:rvb i="1299"/>
        </ext>
      </extLst>
    </bk>
    <bk>
      <extLst>
        <ext uri="{3e2802c4-a4d2-4d8b-9148-e3be6c30e623}">
          <xlrd:rvb i="1300"/>
        </ext>
      </extLst>
    </bk>
    <bk>
      <extLst>
        <ext uri="{3e2802c4-a4d2-4d8b-9148-e3be6c30e623}">
          <xlrd:rvb i="1301"/>
        </ext>
      </extLst>
    </bk>
    <bk>
      <extLst>
        <ext uri="{3e2802c4-a4d2-4d8b-9148-e3be6c30e623}">
          <xlrd:rvb i="1302"/>
        </ext>
      </extLst>
    </bk>
    <bk>
      <extLst>
        <ext uri="{3e2802c4-a4d2-4d8b-9148-e3be6c30e623}">
          <xlrd:rvb i="1303"/>
        </ext>
      </extLst>
    </bk>
    <bk>
      <extLst>
        <ext uri="{3e2802c4-a4d2-4d8b-9148-e3be6c30e623}">
          <xlrd:rvb i="1304"/>
        </ext>
      </extLst>
    </bk>
    <bk>
      <extLst>
        <ext uri="{3e2802c4-a4d2-4d8b-9148-e3be6c30e623}">
          <xlrd:rvb i="1305"/>
        </ext>
      </extLst>
    </bk>
    <bk>
      <extLst>
        <ext uri="{3e2802c4-a4d2-4d8b-9148-e3be6c30e623}">
          <xlrd:rvb i="1306"/>
        </ext>
      </extLst>
    </bk>
    <bk>
      <extLst>
        <ext uri="{3e2802c4-a4d2-4d8b-9148-e3be6c30e623}">
          <xlrd:rvb i="1307"/>
        </ext>
      </extLst>
    </bk>
    <bk>
      <extLst>
        <ext uri="{3e2802c4-a4d2-4d8b-9148-e3be6c30e623}">
          <xlrd:rvb i="1308"/>
        </ext>
      </extLst>
    </bk>
    <bk>
      <extLst>
        <ext uri="{3e2802c4-a4d2-4d8b-9148-e3be6c30e623}">
          <xlrd:rvb i="1309"/>
        </ext>
      </extLst>
    </bk>
    <bk>
      <extLst>
        <ext uri="{3e2802c4-a4d2-4d8b-9148-e3be6c30e623}">
          <xlrd:rvb i="1310"/>
        </ext>
      </extLst>
    </bk>
    <bk>
      <extLst>
        <ext uri="{3e2802c4-a4d2-4d8b-9148-e3be6c30e623}">
          <xlrd:rvb i="1311"/>
        </ext>
      </extLst>
    </bk>
    <bk>
      <extLst>
        <ext uri="{3e2802c4-a4d2-4d8b-9148-e3be6c30e623}">
          <xlrd:rvb i="1312"/>
        </ext>
      </extLst>
    </bk>
    <bk>
      <extLst>
        <ext uri="{3e2802c4-a4d2-4d8b-9148-e3be6c30e623}">
          <xlrd:rvb i="1313"/>
        </ext>
      </extLst>
    </bk>
    <bk>
      <extLst>
        <ext uri="{3e2802c4-a4d2-4d8b-9148-e3be6c30e623}">
          <xlrd:rvb i="1314"/>
        </ext>
      </extLst>
    </bk>
    <bk>
      <extLst>
        <ext uri="{3e2802c4-a4d2-4d8b-9148-e3be6c30e623}">
          <xlrd:rvb i="1315"/>
        </ext>
      </extLst>
    </bk>
    <bk>
      <extLst>
        <ext uri="{3e2802c4-a4d2-4d8b-9148-e3be6c30e623}">
          <xlrd:rvb i="1316"/>
        </ext>
      </extLst>
    </bk>
    <bk>
      <extLst>
        <ext uri="{3e2802c4-a4d2-4d8b-9148-e3be6c30e623}">
          <xlrd:rvb i="1317"/>
        </ext>
      </extLst>
    </bk>
    <bk>
      <extLst>
        <ext uri="{3e2802c4-a4d2-4d8b-9148-e3be6c30e623}">
          <xlrd:rvb i="1318"/>
        </ext>
      </extLst>
    </bk>
    <bk>
      <extLst>
        <ext uri="{3e2802c4-a4d2-4d8b-9148-e3be6c30e623}">
          <xlrd:rvb i="1319"/>
        </ext>
      </extLst>
    </bk>
    <bk>
      <extLst>
        <ext uri="{3e2802c4-a4d2-4d8b-9148-e3be6c30e623}">
          <xlrd:rvb i="1320"/>
        </ext>
      </extLst>
    </bk>
    <bk>
      <extLst>
        <ext uri="{3e2802c4-a4d2-4d8b-9148-e3be6c30e623}">
          <xlrd:rvb i="1321"/>
        </ext>
      </extLst>
    </bk>
    <bk>
      <extLst>
        <ext uri="{3e2802c4-a4d2-4d8b-9148-e3be6c30e623}">
          <xlrd:rvb i="1322"/>
        </ext>
      </extLst>
    </bk>
    <bk>
      <extLst>
        <ext uri="{3e2802c4-a4d2-4d8b-9148-e3be6c30e623}">
          <xlrd:rvb i="1323"/>
        </ext>
      </extLst>
    </bk>
    <bk>
      <extLst>
        <ext uri="{3e2802c4-a4d2-4d8b-9148-e3be6c30e623}">
          <xlrd:rvb i="1324"/>
        </ext>
      </extLst>
    </bk>
    <bk>
      <extLst>
        <ext uri="{3e2802c4-a4d2-4d8b-9148-e3be6c30e623}">
          <xlrd:rvb i="1325"/>
        </ext>
      </extLst>
    </bk>
    <bk>
      <extLst>
        <ext uri="{3e2802c4-a4d2-4d8b-9148-e3be6c30e623}">
          <xlrd:rvb i="1326"/>
        </ext>
      </extLst>
    </bk>
    <bk>
      <extLst>
        <ext uri="{3e2802c4-a4d2-4d8b-9148-e3be6c30e623}">
          <xlrd:rvb i="1327"/>
        </ext>
      </extLst>
    </bk>
    <bk>
      <extLst>
        <ext uri="{3e2802c4-a4d2-4d8b-9148-e3be6c30e623}">
          <xlrd:rvb i="1328"/>
        </ext>
      </extLst>
    </bk>
    <bk>
      <extLst>
        <ext uri="{3e2802c4-a4d2-4d8b-9148-e3be6c30e623}">
          <xlrd:rvb i="1329"/>
        </ext>
      </extLst>
    </bk>
    <bk>
      <extLst>
        <ext uri="{3e2802c4-a4d2-4d8b-9148-e3be6c30e623}">
          <xlrd:rvb i="1330"/>
        </ext>
      </extLst>
    </bk>
    <bk>
      <extLst>
        <ext uri="{3e2802c4-a4d2-4d8b-9148-e3be6c30e623}">
          <xlrd:rvb i="1331"/>
        </ext>
      </extLst>
    </bk>
    <bk>
      <extLst>
        <ext uri="{3e2802c4-a4d2-4d8b-9148-e3be6c30e623}">
          <xlrd:rvb i="1332"/>
        </ext>
      </extLst>
    </bk>
    <bk>
      <extLst>
        <ext uri="{3e2802c4-a4d2-4d8b-9148-e3be6c30e623}">
          <xlrd:rvb i="1333"/>
        </ext>
      </extLst>
    </bk>
    <bk>
      <extLst>
        <ext uri="{3e2802c4-a4d2-4d8b-9148-e3be6c30e623}">
          <xlrd:rvb i="1334"/>
        </ext>
      </extLst>
    </bk>
    <bk>
      <extLst>
        <ext uri="{3e2802c4-a4d2-4d8b-9148-e3be6c30e623}">
          <xlrd:rvb i="1335"/>
        </ext>
      </extLst>
    </bk>
    <bk>
      <extLst>
        <ext uri="{3e2802c4-a4d2-4d8b-9148-e3be6c30e623}">
          <xlrd:rvb i="1336"/>
        </ext>
      </extLst>
    </bk>
    <bk>
      <extLst>
        <ext uri="{3e2802c4-a4d2-4d8b-9148-e3be6c30e623}">
          <xlrd:rvb i="1337"/>
        </ext>
      </extLst>
    </bk>
    <bk>
      <extLst>
        <ext uri="{3e2802c4-a4d2-4d8b-9148-e3be6c30e623}">
          <xlrd:rvb i="1338"/>
        </ext>
      </extLst>
    </bk>
    <bk>
      <extLst>
        <ext uri="{3e2802c4-a4d2-4d8b-9148-e3be6c30e623}">
          <xlrd:rvb i="1339"/>
        </ext>
      </extLst>
    </bk>
    <bk>
      <extLst>
        <ext uri="{3e2802c4-a4d2-4d8b-9148-e3be6c30e623}">
          <xlrd:rvb i="1340"/>
        </ext>
      </extLst>
    </bk>
    <bk>
      <extLst>
        <ext uri="{3e2802c4-a4d2-4d8b-9148-e3be6c30e623}">
          <xlrd:rvb i="1341"/>
        </ext>
      </extLst>
    </bk>
    <bk>
      <extLst>
        <ext uri="{3e2802c4-a4d2-4d8b-9148-e3be6c30e623}">
          <xlrd:rvb i="1342"/>
        </ext>
      </extLst>
    </bk>
    <bk>
      <extLst>
        <ext uri="{3e2802c4-a4d2-4d8b-9148-e3be6c30e623}">
          <xlrd:rvb i="1343"/>
        </ext>
      </extLst>
    </bk>
    <bk>
      <extLst>
        <ext uri="{3e2802c4-a4d2-4d8b-9148-e3be6c30e623}">
          <xlrd:rvb i="1344"/>
        </ext>
      </extLst>
    </bk>
    <bk>
      <extLst>
        <ext uri="{3e2802c4-a4d2-4d8b-9148-e3be6c30e623}">
          <xlrd:rvb i="1345"/>
        </ext>
      </extLst>
    </bk>
    <bk>
      <extLst>
        <ext uri="{3e2802c4-a4d2-4d8b-9148-e3be6c30e623}">
          <xlrd:rvb i="1346"/>
        </ext>
      </extLst>
    </bk>
    <bk>
      <extLst>
        <ext uri="{3e2802c4-a4d2-4d8b-9148-e3be6c30e623}">
          <xlrd:rvb i="1347"/>
        </ext>
      </extLst>
    </bk>
    <bk>
      <extLst>
        <ext uri="{3e2802c4-a4d2-4d8b-9148-e3be6c30e623}">
          <xlrd:rvb i="1348"/>
        </ext>
      </extLst>
    </bk>
    <bk>
      <extLst>
        <ext uri="{3e2802c4-a4d2-4d8b-9148-e3be6c30e623}">
          <xlrd:rvb i="1349"/>
        </ext>
      </extLst>
    </bk>
    <bk>
      <extLst>
        <ext uri="{3e2802c4-a4d2-4d8b-9148-e3be6c30e623}">
          <xlrd:rvb i="1350"/>
        </ext>
      </extLst>
    </bk>
    <bk>
      <extLst>
        <ext uri="{3e2802c4-a4d2-4d8b-9148-e3be6c30e623}">
          <xlrd:rvb i="1351"/>
        </ext>
      </extLst>
    </bk>
    <bk>
      <extLst>
        <ext uri="{3e2802c4-a4d2-4d8b-9148-e3be6c30e623}">
          <xlrd:rvb i="1352"/>
        </ext>
      </extLst>
    </bk>
    <bk>
      <extLst>
        <ext uri="{3e2802c4-a4d2-4d8b-9148-e3be6c30e623}">
          <xlrd:rvb i="1353"/>
        </ext>
      </extLst>
    </bk>
    <bk>
      <extLst>
        <ext uri="{3e2802c4-a4d2-4d8b-9148-e3be6c30e623}">
          <xlrd:rvb i="1354"/>
        </ext>
      </extLst>
    </bk>
    <bk>
      <extLst>
        <ext uri="{3e2802c4-a4d2-4d8b-9148-e3be6c30e623}">
          <xlrd:rvb i="1355"/>
        </ext>
      </extLst>
    </bk>
    <bk>
      <extLst>
        <ext uri="{3e2802c4-a4d2-4d8b-9148-e3be6c30e623}">
          <xlrd:rvb i="1356"/>
        </ext>
      </extLst>
    </bk>
    <bk>
      <extLst>
        <ext uri="{3e2802c4-a4d2-4d8b-9148-e3be6c30e623}">
          <xlrd:rvb i="1357"/>
        </ext>
      </extLst>
    </bk>
    <bk>
      <extLst>
        <ext uri="{3e2802c4-a4d2-4d8b-9148-e3be6c30e623}">
          <xlrd:rvb i="1358"/>
        </ext>
      </extLst>
    </bk>
    <bk>
      <extLst>
        <ext uri="{3e2802c4-a4d2-4d8b-9148-e3be6c30e623}">
          <xlrd:rvb i="1359"/>
        </ext>
      </extLst>
    </bk>
    <bk>
      <extLst>
        <ext uri="{3e2802c4-a4d2-4d8b-9148-e3be6c30e623}">
          <xlrd:rvb i="1360"/>
        </ext>
      </extLst>
    </bk>
    <bk>
      <extLst>
        <ext uri="{3e2802c4-a4d2-4d8b-9148-e3be6c30e623}">
          <xlrd:rvb i="1361"/>
        </ext>
      </extLst>
    </bk>
    <bk>
      <extLst>
        <ext uri="{3e2802c4-a4d2-4d8b-9148-e3be6c30e623}">
          <xlrd:rvb i="1362"/>
        </ext>
      </extLst>
    </bk>
    <bk>
      <extLst>
        <ext uri="{3e2802c4-a4d2-4d8b-9148-e3be6c30e623}">
          <xlrd:rvb i="1363"/>
        </ext>
      </extLst>
    </bk>
    <bk>
      <extLst>
        <ext uri="{3e2802c4-a4d2-4d8b-9148-e3be6c30e623}">
          <xlrd:rvb i="1364"/>
        </ext>
      </extLst>
    </bk>
    <bk>
      <extLst>
        <ext uri="{3e2802c4-a4d2-4d8b-9148-e3be6c30e623}">
          <xlrd:rvb i="1365"/>
        </ext>
      </extLst>
    </bk>
    <bk>
      <extLst>
        <ext uri="{3e2802c4-a4d2-4d8b-9148-e3be6c30e623}">
          <xlrd:rvb i="1366"/>
        </ext>
      </extLst>
    </bk>
    <bk>
      <extLst>
        <ext uri="{3e2802c4-a4d2-4d8b-9148-e3be6c30e623}">
          <xlrd:rvb i="1367"/>
        </ext>
      </extLst>
    </bk>
    <bk>
      <extLst>
        <ext uri="{3e2802c4-a4d2-4d8b-9148-e3be6c30e623}">
          <xlrd:rvb i="1368"/>
        </ext>
      </extLst>
    </bk>
    <bk>
      <extLst>
        <ext uri="{3e2802c4-a4d2-4d8b-9148-e3be6c30e623}">
          <xlrd:rvb i="1369"/>
        </ext>
      </extLst>
    </bk>
    <bk>
      <extLst>
        <ext uri="{3e2802c4-a4d2-4d8b-9148-e3be6c30e623}">
          <xlrd:rvb i="1370"/>
        </ext>
      </extLst>
    </bk>
    <bk>
      <extLst>
        <ext uri="{3e2802c4-a4d2-4d8b-9148-e3be6c30e623}">
          <xlrd:rvb i="1371"/>
        </ext>
      </extLst>
    </bk>
    <bk>
      <extLst>
        <ext uri="{3e2802c4-a4d2-4d8b-9148-e3be6c30e623}">
          <xlrd:rvb i="1372"/>
        </ext>
      </extLst>
    </bk>
    <bk>
      <extLst>
        <ext uri="{3e2802c4-a4d2-4d8b-9148-e3be6c30e623}">
          <xlrd:rvb i="1373"/>
        </ext>
      </extLst>
    </bk>
    <bk>
      <extLst>
        <ext uri="{3e2802c4-a4d2-4d8b-9148-e3be6c30e623}">
          <xlrd:rvb i="1374"/>
        </ext>
      </extLst>
    </bk>
    <bk>
      <extLst>
        <ext uri="{3e2802c4-a4d2-4d8b-9148-e3be6c30e623}">
          <xlrd:rvb i="1375"/>
        </ext>
      </extLst>
    </bk>
    <bk>
      <extLst>
        <ext uri="{3e2802c4-a4d2-4d8b-9148-e3be6c30e623}">
          <xlrd:rvb i="1376"/>
        </ext>
      </extLst>
    </bk>
    <bk>
      <extLst>
        <ext uri="{3e2802c4-a4d2-4d8b-9148-e3be6c30e623}">
          <xlrd:rvb i="1377"/>
        </ext>
      </extLst>
    </bk>
    <bk>
      <extLst>
        <ext uri="{3e2802c4-a4d2-4d8b-9148-e3be6c30e623}">
          <xlrd:rvb i="1378"/>
        </ext>
      </extLst>
    </bk>
    <bk>
      <extLst>
        <ext uri="{3e2802c4-a4d2-4d8b-9148-e3be6c30e623}">
          <xlrd:rvb i="1379"/>
        </ext>
      </extLst>
    </bk>
    <bk>
      <extLst>
        <ext uri="{3e2802c4-a4d2-4d8b-9148-e3be6c30e623}">
          <xlrd:rvb i="1380"/>
        </ext>
      </extLst>
    </bk>
    <bk>
      <extLst>
        <ext uri="{3e2802c4-a4d2-4d8b-9148-e3be6c30e623}">
          <xlrd:rvb i="1381"/>
        </ext>
      </extLst>
    </bk>
    <bk>
      <extLst>
        <ext uri="{3e2802c4-a4d2-4d8b-9148-e3be6c30e623}">
          <xlrd:rvb i="1382"/>
        </ext>
      </extLst>
    </bk>
    <bk>
      <extLst>
        <ext uri="{3e2802c4-a4d2-4d8b-9148-e3be6c30e623}">
          <xlrd:rvb i="1383"/>
        </ext>
      </extLst>
    </bk>
    <bk>
      <extLst>
        <ext uri="{3e2802c4-a4d2-4d8b-9148-e3be6c30e623}">
          <xlrd:rvb i="1384"/>
        </ext>
      </extLst>
    </bk>
    <bk>
      <extLst>
        <ext uri="{3e2802c4-a4d2-4d8b-9148-e3be6c30e623}">
          <xlrd:rvb i="1385"/>
        </ext>
      </extLst>
    </bk>
    <bk>
      <extLst>
        <ext uri="{3e2802c4-a4d2-4d8b-9148-e3be6c30e623}">
          <xlrd:rvb i="1386"/>
        </ext>
      </extLst>
    </bk>
    <bk>
      <extLst>
        <ext uri="{3e2802c4-a4d2-4d8b-9148-e3be6c30e623}">
          <xlrd:rvb i="1387"/>
        </ext>
      </extLst>
    </bk>
    <bk>
      <extLst>
        <ext uri="{3e2802c4-a4d2-4d8b-9148-e3be6c30e623}">
          <xlrd:rvb i="1388"/>
        </ext>
      </extLst>
    </bk>
    <bk>
      <extLst>
        <ext uri="{3e2802c4-a4d2-4d8b-9148-e3be6c30e623}">
          <xlrd:rvb i="1389"/>
        </ext>
      </extLst>
    </bk>
    <bk>
      <extLst>
        <ext uri="{3e2802c4-a4d2-4d8b-9148-e3be6c30e623}">
          <xlrd:rvb i="1390"/>
        </ext>
      </extLst>
    </bk>
    <bk>
      <extLst>
        <ext uri="{3e2802c4-a4d2-4d8b-9148-e3be6c30e623}">
          <xlrd:rvb i="1391"/>
        </ext>
      </extLst>
    </bk>
    <bk>
      <extLst>
        <ext uri="{3e2802c4-a4d2-4d8b-9148-e3be6c30e623}">
          <xlrd:rvb i="1392"/>
        </ext>
      </extLst>
    </bk>
    <bk>
      <extLst>
        <ext uri="{3e2802c4-a4d2-4d8b-9148-e3be6c30e623}">
          <xlrd:rvb i="1393"/>
        </ext>
      </extLst>
    </bk>
    <bk>
      <extLst>
        <ext uri="{3e2802c4-a4d2-4d8b-9148-e3be6c30e623}">
          <xlrd:rvb i="1394"/>
        </ext>
      </extLst>
    </bk>
    <bk>
      <extLst>
        <ext uri="{3e2802c4-a4d2-4d8b-9148-e3be6c30e623}">
          <xlrd:rvb i="1395"/>
        </ext>
      </extLst>
    </bk>
    <bk>
      <extLst>
        <ext uri="{3e2802c4-a4d2-4d8b-9148-e3be6c30e623}">
          <xlrd:rvb i="1396"/>
        </ext>
      </extLst>
    </bk>
    <bk>
      <extLst>
        <ext uri="{3e2802c4-a4d2-4d8b-9148-e3be6c30e623}">
          <xlrd:rvb i="1397"/>
        </ext>
      </extLst>
    </bk>
    <bk>
      <extLst>
        <ext uri="{3e2802c4-a4d2-4d8b-9148-e3be6c30e623}">
          <xlrd:rvb i="1398"/>
        </ext>
      </extLst>
    </bk>
    <bk>
      <extLst>
        <ext uri="{3e2802c4-a4d2-4d8b-9148-e3be6c30e623}">
          <xlrd:rvb i="1399"/>
        </ext>
      </extLst>
    </bk>
    <bk>
      <extLst>
        <ext uri="{3e2802c4-a4d2-4d8b-9148-e3be6c30e623}">
          <xlrd:rvb i="1400"/>
        </ext>
      </extLst>
    </bk>
    <bk>
      <extLst>
        <ext uri="{3e2802c4-a4d2-4d8b-9148-e3be6c30e623}">
          <xlrd:rvb i="1401"/>
        </ext>
      </extLst>
    </bk>
    <bk>
      <extLst>
        <ext uri="{3e2802c4-a4d2-4d8b-9148-e3be6c30e623}">
          <xlrd:rvb i="1402"/>
        </ext>
      </extLst>
    </bk>
    <bk>
      <extLst>
        <ext uri="{3e2802c4-a4d2-4d8b-9148-e3be6c30e623}">
          <xlrd:rvb i="1403"/>
        </ext>
      </extLst>
    </bk>
    <bk>
      <extLst>
        <ext uri="{3e2802c4-a4d2-4d8b-9148-e3be6c30e623}">
          <xlrd:rvb i="1404"/>
        </ext>
      </extLst>
    </bk>
    <bk>
      <extLst>
        <ext uri="{3e2802c4-a4d2-4d8b-9148-e3be6c30e623}">
          <xlrd:rvb i="1405"/>
        </ext>
      </extLst>
    </bk>
    <bk>
      <extLst>
        <ext uri="{3e2802c4-a4d2-4d8b-9148-e3be6c30e623}">
          <xlrd:rvb i="1406"/>
        </ext>
      </extLst>
    </bk>
    <bk>
      <extLst>
        <ext uri="{3e2802c4-a4d2-4d8b-9148-e3be6c30e623}">
          <xlrd:rvb i="1407"/>
        </ext>
      </extLst>
    </bk>
    <bk>
      <extLst>
        <ext uri="{3e2802c4-a4d2-4d8b-9148-e3be6c30e623}">
          <xlrd:rvb i="1408"/>
        </ext>
      </extLst>
    </bk>
    <bk>
      <extLst>
        <ext uri="{3e2802c4-a4d2-4d8b-9148-e3be6c30e623}">
          <xlrd:rvb i="1409"/>
        </ext>
      </extLst>
    </bk>
    <bk>
      <extLst>
        <ext uri="{3e2802c4-a4d2-4d8b-9148-e3be6c30e623}">
          <xlrd:rvb i="1410"/>
        </ext>
      </extLst>
    </bk>
    <bk>
      <extLst>
        <ext uri="{3e2802c4-a4d2-4d8b-9148-e3be6c30e623}">
          <xlrd:rvb i="1411"/>
        </ext>
      </extLst>
    </bk>
    <bk>
      <extLst>
        <ext uri="{3e2802c4-a4d2-4d8b-9148-e3be6c30e623}">
          <xlrd:rvb i="1412"/>
        </ext>
      </extLst>
    </bk>
    <bk>
      <extLst>
        <ext uri="{3e2802c4-a4d2-4d8b-9148-e3be6c30e623}">
          <xlrd:rvb i="1413"/>
        </ext>
      </extLst>
    </bk>
    <bk>
      <extLst>
        <ext uri="{3e2802c4-a4d2-4d8b-9148-e3be6c30e623}">
          <xlrd:rvb i="1414"/>
        </ext>
      </extLst>
    </bk>
    <bk>
      <extLst>
        <ext uri="{3e2802c4-a4d2-4d8b-9148-e3be6c30e623}">
          <xlrd:rvb i="1415"/>
        </ext>
      </extLst>
    </bk>
    <bk>
      <extLst>
        <ext uri="{3e2802c4-a4d2-4d8b-9148-e3be6c30e623}">
          <xlrd:rvb i="1416"/>
        </ext>
      </extLst>
    </bk>
    <bk>
      <extLst>
        <ext uri="{3e2802c4-a4d2-4d8b-9148-e3be6c30e623}">
          <xlrd:rvb i="1417"/>
        </ext>
      </extLst>
    </bk>
    <bk>
      <extLst>
        <ext uri="{3e2802c4-a4d2-4d8b-9148-e3be6c30e623}">
          <xlrd:rvb i="1418"/>
        </ext>
      </extLst>
    </bk>
    <bk>
      <extLst>
        <ext uri="{3e2802c4-a4d2-4d8b-9148-e3be6c30e623}">
          <xlrd:rvb i="1419"/>
        </ext>
      </extLst>
    </bk>
    <bk>
      <extLst>
        <ext uri="{3e2802c4-a4d2-4d8b-9148-e3be6c30e623}">
          <xlrd:rvb i="1420"/>
        </ext>
      </extLst>
    </bk>
    <bk>
      <extLst>
        <ext uri="{3e2802c4-a4d2-4d8b-9148-e3be6c30e623}">
          <xlrd:rvb i="1421"/>
        </ext>
      </extLst>
    </bk>
    <bk>
      <extLst>
        <ext uri="{3e2802c4-a4d2-4d8b-9148-e3be6c30e623}">
          <xlrd:rvb i="1422"/>
        </ext>
      </extLst>
    </bk>
    <bk>
      <extLst>
        <ext uri="{3e2802c4-a4d2-4d8b-9148-e3be6c30e623}">
          <xlrd:rvb i="1423"/>
        </ext>
      </extLst>
    </bk>
    <bk>
      <extLst>
        <ext uri="{3e2802c4-a4d2-4d8b-9148-e3be6c30e623}">
          <xlrd:rvb i="1424"/>
        </ext>
      </extLst>
    </bk>
    <bk>
      <extLst>
        <ext uri="{3e2802c4-a4d2-4d8b-9148-e3be6c30e623}">
          <xlrd:rvb i="1425"/>
        </ext>
      </extLst>
    </bk>
    <bk>
      <extLst>
        <ext uri="{3e2802c4-a4d2-4d8b-9148-e3be6c30e623}">
          <xlrd:rvb i="1426"/>
        </ext>
      </extLst>
    </bk>
    <bk>
      <extLst>
        <ext uri="{3e2802c4-a4d2-4d8b-9148-e3be6c30e623}">
          <xlrd:rvb i="1427"/>
        </ext>
      </extLst>
    </bk>
    <bk>
      <extLst>
        <ext uri="{3e2802c4-a4d2-4d8b-9148-e3be6c30e623}">
          <xlrd:rvb i="1428"/>
        </ext>
      </extLst>
    </bk>
    <bk>
      <extLst>
        <ext uri="{3e2802c4-a4d2-4d8b-9148-e3be6c30e623}">
          <xlrd:rvb i="1429"/>
        </ext>
      </extLst>
    </bk>
    <bk>
      <extLst>
        <ext uri="{3e2802c4-a4d2-4d8b-9148-e3be6c30e623}">
          <xlrd:rvb i="1430"/>
        </ext>
      </extLst>
    </bk>
    <bk>
      <extLst>
        <ext uri="{3e2802c4-a4d2-4d8b-9148-e3be6c30e623}">
          <xlrd:rvb i="1431"/>
        </ext>
      </extLst>
    </bk>
    <bk>
      <extLst>
        <ext uri="{3e2802c4-a4d2-4d8b-9148-e3be6c30e623}">
          <xlrd:rvb i="1432"/>
        </ext>
      </extLst>
    </bk>
    <bk>
      <extLst>
        <ext uri="{3e2802c4-a4d2-4d8b-9148-e3be6c30e623}">
          <xlrd:rvb i="1433"/>
        </ext>
      </extLst>
    </bk>
    <bk>
      <extLst>
        <ext uri="{3e2802c4-a4d2-4d8b-9148-e3be6c30e623}">
          <xlrd:rvb i="1434"/>
        </ext>
      </extLst>
    </bk>
    <bk>
      <extLst>
        <ext uri="{3e2802c4-a4d2-4d8b-9148-e3be6c30e623}">
          <xlrd:rvb i="1435"/>
        </ext>
      </extLst>
    </bk>
    <bk>
      <extLst>
        <ext uri="{3e2802c4-a4d2-4d8b-9148-e3be6c30e623}">
          <xlrd:rvb i="1436"/>
        </ext>
      </extLst>
    </bk>
    <bk>
      <extLst>
        <ext uri="{3e2802c4-a4d2-4d8b-9148-e3be6c30e623}">
          <xlrd:rvb i="1437"/>
        </ext>
      </extLst>
    </bk>
    <bk>
      <extLst>
        <ext uri="{3e2802c4-a4d2-4d8b-9148-e3be6c30e623}">
          <xlrd:rvb i="1438"/>
        </ext>
      </extLst>
    </bk>
    <bk>
      <extLst>
        <ext uri="{3e2802c4-a4d2-4d8b-9148-e3be6c30e623}">
          <xlrd:rvb i="1439"/>
        </ext>
      </extLst>
    </bk>
    <bk>
      <extLst>
        <ext uri="{3e2802c4-a4d2-4d8b-9148-e3be6c30e623}">
          <xlrd:rvb i="1440"/>
        </ext>
      </extLst>
    </bk>
    <bk>
      <extLst>
        <ext uri="{3e2802c4-a4d2-4d8b-9148-e3be6c30e623}">
          <xlrd:rvb i="1441"/>
        </ext>
      </extLst>
    </bk>
    <bk>
      <extLst>
        <ext uri="{3e2802c4-a4d2-4d8b-9148-e3be6c30e623}">
          <xlrd:rvb i="1442"/>
        </ext>
      </extLst>
    </bk>
    <bk>
      <extLst>
        <ext uri="{3e2802c4-a4d2-4d8b-9148-e3be6c30e623}">
          <xlrd:rvb i="1443"/>
        </ext>
      </extLst>
    </bk>
    <bk>
      <extLst>
        <ext uri="{3e2802c4-a4d2-4d8b-9148-e3be6c30e623}">
          <xlrd:rvb i="1444"/>
        </ext>
      </extLst>
    </bk>
    <bk>
      <extLst>
        <ext uri="{3e2802c4-a4d2-4d8b-9148-e3be6c30e623}">
          <xlrd:rvb i="1445"/>
        </ext>
      </extLst>
    </bk>
    <bk>
      <extLst>
        <ext uri="{3e2802c4-a4d2-4d8b-9148-e3be6c30e623}">
          <xlrd:rvb i="1446"/>
        </ext>
      </extLst>
    </bk>
    <bk>
      <extLst>
        <ext uri="{3e2802c4-a4d2-4d8b-9148-e3be6c30e623}">
          <xlrd:rvb i="1447"/>
        </ext>
      </extLst>
    </bk>
    <bk>
      <extLst>
        <ext uri="{3e2802c4-a4d2-4d8b-9148-e3be6c30e623}">
          <xlrd:rvb i="1448"/>
        </ext>
      </extLst>
    </bk>
    <bk>
      <extLst>
        <ext uri="{3e2802c4-a4d2-4d8b-9148-e3be6c30e623}">
          <xlrd:rvb i="1449"/>
        </ext>
      </extLst>
    </bk>
    <bk>
      <extLst>
        <ext uri="{3e2802c4-a4d2-4d8b-9148-e3be6c30e623}">
          <xlrd:rvb i="1450"/>
        </ext>
      </extLst>
    </bk>
    <bk>
      <extLst>
        <ext uri="{3e2802c4-a4d2-4d8b-9148-e3be6c30e623}">
          <xlrd:rvb i="1451"/>
        </ext>
      </extLst>
    </bk>
    <bk>
      <extLst>
        <ext uri="{3e2802c4-a4d2-4d8b-9148-e3be6c30e623}">
          <xlrd:rvb i="1452"/>
        </ext>
      </extLst>
    </bk>
    <bk>
      <extLst>
        <ext uri="{3e2802c4-a4d2-4d8b-9148-e3be6c30e623}">
          <xlrd:rvb i="1453"/>
        </ext>
      </extLst>
    </bk>
    <bk>
      <extLst>
        <ext uri="{3e2802c4-a4d2-4d8b-9148-e3be6c30e623}">
          <xlrd:rvb i="1454"/>
        </ext>
      </extLst>
    </bk>
    <bk>
      <extLst>
        <ext uri="{3e2802c4-a4d2-4d8b-9148-e3be6c30e623}">
          <xlrd:rvb i="1455"/>
        </ext>
      </extLst>
    </bk>
    <bk>
      <extLst>
        <ext uri="{3e2802c4-a4d2-4d8b-9148-e3be6c30e623}">
          <xlrd:rvb i="1456"/>
        </ext>
      </extLst>
    </bk>
    <bk>
      <extLst>
        <ext uri="{3e2802c4-a4d2-4d8b-9148-e3be6c30e623}">
          <xlrd:rvb i="1457"/>
        </ext>
      </extLst>
    </bk>
    <bk>
      <extLst>
        <ext uri="{3e2802c4-a4d2-4d8b-9148-e3be6c30e623}">
          <xlrd:rvb i="1458"/>
        </ext>
      </extLst>
    </bk>
    <bk>
      <extLst>
        <ext uri="{3e2802c4-a4d2-4d8b-9148-e3be6c30e623}">
          <xlrd:rvb i="1459"/>
        </ext>
      </extLst>
    </bk>
    <bk>
      <extLst>
        <ext uri="{3e2802c4-a4d2-4d8b-9148-e3be6c30e623}">
          <xlrd:rvb i="1460"/>
        </ext>
      </extLst>
    </bk>
    <bk>
      <extLst>
        <ext uri="{3e2802c4-a4d2-4d8b-9148-e3be6c30e623}">
          <xlrd:rvb i="1461"/>
        </ext>
      </extLst>
    </bk>
    <bk>
      <extLst>
        <ext uri="{3e2802c4-a4d2-4d8b-9148-e3be6c30e623}">
          <xlrd:rvb i="1462"/>
        </ext>
      </extLst>
    </bk>
    <bk>
      <extLst>
        <ext uri="{3e2802c4-a4d2-4d8b-9148-e3be6c30e623}">
          <xlrd:rvb i="1463"/>
        </ext>
      </extLst>
    </bk>
    <bk>
      <extLst>
        <ext uri="{3e2802c4-a4d2-4d8b-9148-e3be6c30e623}">
          <xlrd:rvb i="1464"/>
        </ext>
      </extLst>
    </bk>
    <bk>
      <extLst>
        <ext uri="{3e2802c4-a4d2-4d8b-9148-e3be6c30e623}">
          <xlrd:rvb i="1465"/>
        </ext>
      </extLst>
    </bk>
    <bk>
      <extLst>
        <ext uri="{3e2802c4-a4d2-4d8b-9148-e3be6c30e623}">
          <xlrd:rvb i="1466"/>
        </ext>
      </extLst>
    </bk>
    <bk>
      <extLst>
        <ext uri="{3e2802c4-a4d2-4d8b-9148-e3be6c30e623}">
          <xlrd:rvb i="1467"/>
        </ext>
      </extLst>
    </bk>
    <bk>
      <extLst>
        <ext uri="{3e2802c4-a4d2-4d8b-9148-e3be6c30e623}">
          <xlrd:rvb i="1468"/>
        </ext>
      </extLst>
    </bk>
    <bk>
      <extLst>
        <ext uri="{3e2802c4-a4d2-4d8b-9148-e3be6c30e623}">
          <xlrd:rvb i="1469"/>
        </ext>
      </extLst>
    </bk>
    <bk>
      <extLst>
        <ext uri="{3e2802c4-a4d2-4d8b-9148-e3be6c30e623}">
          <xlrd:rvb i="1470"/>
        </ext>
      </extLst>
    </bk>
    <bk>
      <extLst>
        <ext uri="{3e2802c4-a4d2-4d8b-9148-e3be6c30e623}">
          <xlrd:rvb i="1471"/>
        </ext>
      </extLst>
    </bk>
    <bk>
      <extLst>
        <ext uri="{3e2802c4-a4d2-4d8b-9148-e3be6c30e623}">
          <xlrd:rvb i="1472"/>
        </ext>
      </extLst>
    </bk>
    <bk>
      <extLst>
        <ext uri="{3e2802c4-a4d2-4d8b-9148-e3be6c30e623}">
          <xlrd:rvb i="1473"/>
        </ext>
      </extLst>
    </bk>
    <bk>
      <extLst>
        <ext uri="{3e2802c4-a4d2-4d8b-9148-e3be6c30e623}">
          <xlrd:rvb i="1474"/>
        </ext>
      </extLst>
    </bk>
    <bk>
      <extLst>
        <ext uri="{3e2802c4-a4d2-4d8b-9148-e3be6c30e623}">
          <xlrd:rvb i="1475"/>
        </ext>
      </extLst>
    </bk>
    <bk>
      <extLst>
        <ext uri="{3e2802c4-a4d2-4d8b-9148-e3be6c30e623}">
          <xlrd:rvb i="1476"/>
        </ext>
      </extLst>
    </bk>
    <bk>
      <extLst>
        <ext uri="{3e2802c4-a4d2-4d8b-9148-e3be6c30e623}">
          <xlrd:rvb i="1477"/>
        </ext>
      </extLst>
    </bk>
    <bk>
      <extLst>
        <ext uri="{3e2802c4-a4d2-4d8b-9148-e3be6c30e623}">
          <xlrd:rvb i="1478"/>
        </ext>
      </extLst>
    </bk>
    <bk>
      <extLst>
        <ext uri="{3e2802c4-a4d2-4d8b-9148-e3be6c30e623}">
          <xlrd:rvb i="1479"/>
        </ext>
      </extLst>
    </bk>
    <bk>
      <extLst>
        <ext uri="{3e2802c4-a4d2-4d8b-9148-e3be6c30e623}">
          <xlrd:rvb i="1480"/>
        </ext>
      </extLst>
    </bk>
    <bk>
      <extLst>
        <ext uri="{3e2802c4-a4d2-4d8b-9148-e3be6c30e623}">
          <xlrd:rvb i="1481"/>
        </ext>
      </extLst>
    </bk>
    <bk>
      <extLst>
        <ext uri="{3e2802c4-a4d2-4d8b-9148-e3be6c30e623}">
          <xlrd:rvb i="1482"/>
        </ext>
      </extLst>
    </bk>
    <bk>
      <extLst>
        <ext uri="{3e2802c4-a4d2-4d8b-9148-e3be6c30e623}">
          <xlrd:rvb i="1483"/>
        </ext>
      </extLst>
    </bk>
    <bk>
      <extLst>
        <ext uri="{3e2802c4-a4d2-4d8b-9148-e3be6c30e623}">
          <xlrd:rvb i="1484"/>
        </ext>
      </extLst>
    </bk>
    <bk>
      <extLst>
        <ext uri="{3e2802c4-a4d2-4d8b-9148-e3be6c30e623}">
          <xlrd:rvb i="1485"/>
        </ext>
      </extLst>
    </bk>
    <bk>
      <extLst>
        <ext uri="{3e2802c4-a4d2-4d8b-9148-e3be6c30e623}">
          <xlrd:rvb i="1486"/>
        </ext>
      </extLst>
    </bk>
    <bk>
      <extLst>
        <ext uri="{3e2802c4-a4d2-4d8b-9148-e3be6c30e623}">
          <xlrd:rvb i="1487"/>
        </ext>
      </extLst>
    </bk>
    <bk>
      <extLst>
        <ext uri="{3e2802c4-a4d2-4d8b-9148-e3be6c30e623}">
          <xlrd:rvb i="1488"/>
        </ext>
      </extLst>
    </bk>
    <bk>
      <extLst>
        <ext uri="{3e2802c4-a4d2-4d8b-9148-e3be6c30e623}">
          <xlrd:rvb i="1489"/>
        </ext>
      </extLst>
    </bk>
    <bk>
      <extLst>
        <ext uri="{3e2802c4-a4d2-4d8b-9148-e3be6c30e623}">
          <xlrd:rvb i="1490"/>
        </ext>
      </extLst>
    </bk>
    <bk>
      <extLst>
        <ext uri="{3e2802c4-a4d2-4d8b-9148-e3be6c30e623}">
          <xlrd:rvb i="1491"/>
        </ext>
      </extLst>
    </bk>
    <bk>
      <extLst>
        <ext uri="{3e2802c4-a4d2-4d8b-9148-e3be6c30e623}">
          <xlrd:rvb i="1492"/>
        </ext>
      </extLst>
    </bk>
    <bk>
      <extLst>
        <ext uri="{3e2802c4-a4d2-4d8b-9148-e3be6c30e623}">
          <xlrd:rvb i="1493"/>
        </ext>
      </extLst>
    </bk>
    <bk>
      <extLst>
        <ext uri="{3e2802c4-a4d2-4d8b-9148-e3be6c30e623}">
          <xlrd:rvb i="1494"/>
        </ext>
      </extLst>
    </bk>
    <bk>
      <extLst>
        <ext uri="{3e2802c4-a4d2-4d8b-9148-e3be6c30e623}">
          <xlrd:rvb i="1495"/>
        </ext>
      </extLst>
    </bk>
    <bk>
      <extLst>
        <ext uri="{3e2802c4-a4d2-4d8b-9148-e3be6c30e623}">
          <xlrd:rvb i="1496"/>
        </ext>
      </extLst>
    </bk>
    <bk>
      <extLst>
        <ext uri="{3e2802c4-a4d2-4d8b-9148-e3be6c30e623}">
          <xlrd:rvb i="1497"/>
        </ext>
      </extLst>
    </bk>
    <bk>
      <extLst>
        <ext uri="{3e2802c4-a4d2-4d8b-9148-e3be6c30e623}">
          <xlrd:rvb i="1498"/>
        </ext>
      </extLst>
    </bk>
    <bk>
      <extLst>
        <ext uri="{3e2802c4-a4d2-4d8b-9148-e3be6c30e623}">
          <xlrd:rvb i="1499"/>
        </ext>
      </extLst>
    </bk>
    <bk>
      <extLst>
        <ext uri="{3e2802c4-a4d2-4d8b-9148-e3be6c30e623}">
          <xlrd:rvb i="1500"/>
        </ext>
      </extLst>
    </bk>
    <bk>
      <extLst>
        <ext uri="{3e2802c4-a4d2-4d8b-9148-e3be6c30e623}">
          <xlrd:rvb i="1501"/>
        </ext>
      </extLst>
    </bk>
    <bk>
      <extLst>
        <ext uri="{3e2802c4-a4d2-4d8b-9148-e3be6c30e623}">
          <xlrd:rvb i="1502"/>
        </ext>
      </extLst>
    </bk>
    <bk>
      <extLst>
        <ext uri="{3e2802c4-a4d2-4d8b-9148-e3be6c30e623}">
          <xlrd:rvb i="1503"/>
        </ext>
      </extLst>
    </bk>
    <bk>
      <extLst>
        <ext uri="{3e2802c4-a4d2-4d8b-9148-e3be6c30e623}">
          <xlrd:rvb i="1504"/>
        </ext>
      </extLst>
    </bk>
    <bk>
      <extLst>
        <ext uri="{3e2802c4-a4d2-4d8b-9148-e3be6c30e623}">
          <xlrd:rvb i="1505"/>
        </ext>
      </extLst>
    </bk>
    <bk>
      <extLst>
        <ext uri="{3e2802c4-a4d2-4d8b-9148-e3be6c30e623}">
          <xlrd:rvb i="1506"/>
        </ext>
      </extLst>
    </bk>
    <bk>
      <extLst>
        <ext uri="{3e2802c4-a4d2-4d8b-9148-e3be6c30e623}">
          <xlrd:rvb i="1507"/>
        </ext>
      </extLst>
    </bk>
    <bk>
      <extLst>
        <ext uri="{3e2802c4-a4d2-4d8b-9148-e3be6c30e623}">
          <xlrd:rvb i="1508"/>
        </ext>
      </extLst>
    </bk>
    <bk>
      <extLst>
        <ext uri="{3e2802c4-a4d2-4d8b-9148-e3be6c30e623}">
          <xlrd:rvb i="1509"/>
        </ext>
      </extLst>
    </bk>
    <bk>
      <extLst>
        <ext uri="{3e2802c4-a4d2-4d8b-9148-e3be6c30e623}">
          <xlrd:rvb i="1510"/>
        </ext>
      </extLst>
    </bk>
    <bk>
      <extLst>
        <ext uri="{3e2802c4-a4d2-4d8b-9148-e3be6c30e623}">
          <xlrd:rvb i="1511"/>
        </ext>
      </extLst>
    </bk>
    <bk>
      <extLst>
        <ext uri="{3e2802c4-a4d2-4d8b-9148-e3be6c30e623}">
          <xlrd:rvb i="1512"/>
        </ext>
      </extLst>
    </bk>
    <bk>
      <extLst>
        <ext uri="{3e2802c4-a4d2-4d8b-9148-e3be6c30e623}">
          <xlrd:rvb i="1513"/>
        </ext>
      </extLst>
    </bk>
    <bk>
      <extLst>
        <ext uri="{3e2802c4-a4d2-4d8b-9148-e3be6c30e623}">
          <xlrd:rvb i="1514"/>
        </ext>
      </extLst>
    </bk>
    <bk>
      <extLst>
        <ext uri="{3e2802c4-a4d2-4d8b-9148-e3be6c30e623}">
          <xlrd:rvb i="1515"/>
        </ext>
      </extLst>
    </bk>
    <bk>
      <extLst>
        <ext uri="{3e2802c4-a4d2-4d8b-9148-e3be6c30e623}">
          <xlrd:rvb i="1516"/>
        </ext>
      </extLst>
    </bk>
    <bk>
      <extLst>
        <ext uri="{3e2802c4-a4d2-4d8b-9148-e3be6c30e623}">
          <xlrd:rvb i="1517"/>
        </ext>
      </extLst>
    </bk>
    <bk>
      <extLst>
        <ext uri="{3e2802c4-a4d2-4d8b-9148-e3be6c30e623}">
          <xlrd:rvb i="1518"/>
        </ext>
      </extLst>
    </bk>
    <bk>
      <extLst>
        <ext uri="{3e2802c4-a4d2-4d8b-9148-e3be6c30e623}">
          <xlrd:rvb i="1519"/>
        </ext>
      </extLst>
    </bk>
    <bk>
      <extLst>
        <ext uri="{3e2802c4-a4d2-4d8b-9148-e3be6c30e623}">
          <xlrd:rvb i="1520"/>
        </ext>
      </extLst>
    </bk>
    <bk>
      <extLst>
        <ext uri="{3e2802c4-a4d2-4d8b-9148-e3be6c30e623}">
          <xlrd:rvb i="1521"/>
        </ext>
      </extLst>
    </bk>
    <bk>
      <extLst>
        <ext uri="{3e2802c4-a4d2-4d8b-9148-e3be6c30e623}">
          <xlrd:rvb i="1522"/>
        </ext>
      </extLst>
    </bk>
    <bk>
      <extLst>
        <ext uri="{3e2802c4-a4d2-4d8b-9148-e3be6c30e623}">
          <xlrd:rvb i="1523"/>
        </ext>
      </extLst>
    </bk>
    <bk>
      <extLst>
        <ext uri="{3e2802c4-a4d2-4d8b-9148-e3be6c30e623}">
          <xlrd:rvb i="1524"/>
        </ext>
      </extLst>
    </bk>
    <bk>
      <extLst>
        <ext uri="{3e2802c4-a4d2-4d8b-9148-e3be6c30e623}">
          <xlrd:rvb i="1525"/>
        </ext>
      </extLst>
    </bk>
    <bk>
      <extLst>
        <ext uri="{3e2802c4-a4d2-4d8b-9148-e3be6c30e623}">
          <xlrd:rvb i="1526"/>
        </ext>
      </extLst>
    </bk>
    <bk>
      <extLst>
        <ext uri="{3e2802c4-a4d2-4d8b-9148-e3be6c30e623}">
          <xlrd:rvb i="1527"/>
        </ext>
      </extLst>
    </bk>
    <bk>
      <extLst>
        <ext uri="{3e2802c4-a4d2-4d8b-9148-e3be6c30e623}">
          <xlrd:rvb i="1528"/>
        </ext>
      </extLst>
    </bk>
    <bk>
      <extLst>
        <ext uri="{3e2802c4-a4d2-4d8b-9148-e3be6c30e623}">
          <xlrd:rvb i="1529"/>
        </ext>
      </extLst>
    </bk>
    <bk>
      <extLst>
        <ext uri="{3e2802c4-a4d2-4d8b-9148-e3be6c30e623}">
          <xlrd:rvb i="1530"/>
        </ext>
      </extLst>
    </bk>
    <bk>
      <extLst>
        <ext uri="{3e2802c4-a4d2-4d8b-9148-e3be6c30e623}">
          <xlrd:rvb i="1531"/>
        </ext>
      </extLst>
    </bk>
    <bk>
      <extLst>
        <ext uri="{3e2802c4-a4d2-4d8b-9148-e3be6c30e623}">
          <xlrd:rvb i="1532"/>
        </ext>
      </extLst>
    </bk>
    <bk>
      <extLst>
        <ext uri="{3e2802c4-a4d2-4d8b-9148-e3be6c30e623}">
          <xlrd:rvb i="1533"/>
        </ext>
      </extLst>
    </bk>
    <bk>
      <extLst>
        <ext uri="{3e2802c4-a4d2-4d8b-9148-e3be6c30e623}">
          <xlrd:rvb i="1534"/>
        </ext>
      </extLst>
    </bk>
    <bk>
      <extLst>
        <ext uri="{3e2802c4-a4d2-4d8b-9148-e3be6c30e623}">
          <xlrd:rvb i="1535"/>
        </ext>
      </extLst>
    </bk>
    <bk>
      <extLst>
        <ext uri="{3e2802c4-a4d2-4d8b-9148-e3be6c30e623}">
          <xlrd:rvb i="1536"/>
        </ext>
      </extLst>
    </bk>
    <bk>
      <extLst>
        <ext uri="{3e2802c4-a4d2-4d8b-9148-e3be6c30e623}">
          <xlrd:rvb i="1537"/>
        </ext>
      </extLst>
    </bk>
    <bk>
      <extLst>
        <ext uri="{3e2802c4-a4d2-4d8b-9148-e3be6c30e623}">
          <xlrd:rvb i="1538"/>
        </ext>
      </extLst>
    </bk>
    <bk>
      <extLst>
        <ext uri="{3e2802c4-a4d2-4d8b-9148-e3be6c30e623}">
          <xlrd:rvb i="1539"/>
        </ext>
      </extLst>
    </bk>
    <bk>
      <extLst>
        <ext uri="{3e2802c4-a4d2-4d8b-9148-e3be6c30e623}">
          <xlrd:rvb i="1540"/>
        </ext>
      </extLst>
    </bk>
    <bk>
      <extLst>
        <ext uri="{3e2802c4-a4d2-4d8b-9148-e3be6c30e623}">
          <xlrd:rvb i="1541"/>
        </ext>
      </extLst>
    </bk>
    <bk>
      <extLst>
        <ext uri="{3e2802c4-a4d2-4d8b-9148-e3be6c30e623}">
          <xlrd:rvb i="1542"/>
        </ext>
      </extLst>
    </bk>
    <bk>
      <extLst>
        <ext uri="{3e2802c4-a4d2-4d8b-9148-e3be6c30e623}">
          <xlrd:rvb i="1543"/>
        </ext>
      </extLst>
    </bk>
    <bk>
      <extLst>
        <ext uri="{3e2802c4-a4d2-4d8b-9148-e3be6c30e623}">
          <xlrd:rvb i="1544"/>
        </ext>
      </extLst>
    </bk>
    <bk>
      <extLst>
        <ext uri="{3e2802c4-a4d2-4d8b-9148-e3be6c30e623}">
          <xlrd:rvb i="1545"/>
        </ext>
      </extLst>
    </bk>
    <bk>
      <extLst>
        <ext uri="{3e2802c4-a4d2-4d8b-9148-e3be6c30e623}">
          <xlrd:rvb i="1546"/>
        </ext>
      </extLst>
    </bk>
    <bk>
      <extLst>
        <ext uri="{3e2802c4-a4d2-4d8b-9148-e3be6c30e623}">
          <xlrd:rvb i="1547"/>
        </ext>
      </extLst>
    </bk>
    <bk>
      <extLst>
        <ext uri="{3e2802c4-a4d2-4d8b-9148-e3be6c30e623}">
          <xlrd:rvb i="1548"/>
        </ext>
      </extLst>
    </bk>
    <bk>
      <extLst>
        <ext uri="{3e2802c4-a4d2-4d8b-9148-e3be6c30e623}">
          <xlrd:rvb i="1549"/>
        </ext>
      </extLst>
    </bk>
    <bk>
      <extLst>
        <ext uri="{3e2802c4-a4d2-4d8b-9148-e3be6c30e623}">
          <xlrd:rvb i="1550"/>
        </ext>
      </extLst>
    </bk>
    <bk>
      <extLst>
        <ext uri="{3e2802c4-a4d2-4d8b-9148-e3be6c30e623}">
          <xlrd:rvb i="1551"/>
        </ext>
      </extLst>
    </bk>
    <bk>
      <extLst>
        <ext uri="{3e2802c4-a4d2-4d8b-9148-e3be6c30e623}">
          <xlrd:rvb i="1552"/>
        </ext>
      </extLst>
    </bk>
    <bk>
      <extLst>
        <ext uri="{3e2802c4-a4d2-4d8b-9148-e3be6c30e623}">
          <xlrd:rvb i="1553"/>
        </ext>
      </extLst>
    </bk>
    <bk>
      <extLst>
        <ext uri="{3e2802c4-a4d2-4d8b-9148-e3be6c30e623}">
          <xlrd:rvb i="1554"/>
        </ext>
      </extLst>
    </bk>
    <bk>
      <extLst>
        <ext uri="{3e2802c4-a4d2-4d8b-9148-e3be6c30e623}">
          <xlrd:rvb i="1555"/>
        </ext>
      </extLst>
    </bk>
    <bk>
      <extLst>
        <ext uri="{3e2802c4-a4d2-4d8b-9148-e3be6c30e623}">
          <xlrd:rvb i="1556"/>
        </ext>
      </extLst>
    </bk>
    <bk>
      <extLst>
        <ext uri="{3e2802c4-a4d2-4d8b-9148-e3be6c30e623}">
          <xlrd:rvb i="1557"/>
        </ext>
      </extLst>
    </bk>
    <bk>
      <extLst>
        <ext uri="{3e2802c4-a4d2-4d8b-9148-e3be6c30e623}">
          <xlrd:rvb i="1558"/>
        </ext>
      </extLst>
    </bk>
    <bk>
      <extLst>
        <ext uri="{3e2802c4-a4d2-4d8b-9148-e3be6c30e623}">
          <xlrd:rvb i="1559"/>
        </ext>
      </extLst>
    </bk>
    <bk>
      <extLst>
        <ext uri="{3e2802c4-a4d2-4d8b-9148-e3be6c30e623}">
          <xlrd:rvb i="1560"/>
        </ext>
      </extLst>
    </bk>
    <bk>
      <extLst>
        <ext uri="{3e2802c4-a4d2-4d8b-9148-e3be6c30e623}">
          <xlrd:rvb i="1561"/>
        </ext>
      </extLst>
    </bk>
    <bk>
      <extLst>
        <ext uri="{3e2802c4-a4d2-4d8b-9148-e3be6c30e623}">
          <xlrd:rvb i="1562"/>
        </ext>
      </extLst>
    </bk>
    <bk>
      <extLst>
        <ext uri="{3e2802c4-a4d2-4d8b-9148-e3be6c30e623}">
          <xlrd:rvb i="1563"/>
        </ext>
      </extLst>
    </bk>
    <bk>
      <extLst>
        <ext uri="{3e2802c4-a4d2-4d8b-9148-e3be6c30e623}">
          <xlrd:rvb i="1564"/>
        </ext>
      </extLst>
    </bk>
    <bk>
      <extLst>
        <ext uri="{3e2802c4-a4d2-4d8b-9148-e3be6c30e623}">
          <xlrd:rvb i="1565"/>
        </ext>
      </extLst>
    </bk>
    <bk>
      <extLst>
        <ext uri="{3e2802c4-a4d2-4d8b-9148-e3be6c30e623}">
          <xlrd:rvb i="1566"/>
        </ext>
      </extLst>
    </bk>
    <bk>
      <extLst>
        <ext uri="{3e2802c4-a4d2-4d8b-9148-e3be6c30e623}">
          <xlrd:rvb i="1567"/>
        </ext>
      </extLst>
    </bk>
    <bk>
      <extLst>
        <ext uri="{3e2802c4-a4d2-4d8b-9148-e3be6c30e623}">
          <xlrd:rvb i="1568"/>
        </ext>
      </extLst>
    </bk>
    <bk>
      <extLst>
        <ext uri="{3e2802c4-a4d2-4d8b-9148-e3be6c30e623}">
          <xlrd:rvb i="1569"/>
        </ext>
      </extLst>
    </bk>
    <bk>
      <extLst>
        <ext uri="{3e2802c4-a4d2-4d8b-9148-e3be6c30e623}">
          <xlrd:rvb i="1570"/>
        </ext>
      </extLst>
    </bk>
    <bk>
      <extLst>
        <ext uri="{3e2802c4-a4d2-4d8b-9148-e3be6c30e623}">
          <xlrd:rvb i="1571"/>
        </ext>
      </extLst>
    </bk>
    <bk>
      <extLst>
        <ext uri="{3e2802c4-a4d2-4d8b-9148-e3be6c30e623}">
          <xlrd:rvb i="1572"/>
        </ext>
      </extLst>
    </bk>
    <bk>
      <extLst>
        <ext uri="{3e2802c4-a4d2-4d8b-9148-e3be6c30e623}">
          <xlrd:rvb i="1573"/>
        </ext>
      </extLst>
    </bk>
    <bk>
      <extLst>
        <ext uri="{3e2802c4-a4d2-4d8b-9148-e3be6c30e623}">
          <xlrd:rvb i="1574"/>
        </ext>
      </extLst>
    </bk>
    <bk>
      <extLst>
        <ext uri="{3e2802c4-a4d2-4d8b-9148-e3be6c30e623}">
          <xlrd:rvb i="1575"/>
        </ext>
      </extLst>
    </bk>
    <bk>
      <extLst>
        <ext uri="{3e2802c4-a4d2-4d8b-9148-e3be6c30e623}">
          <xlrd:rvb i="1576"/>
        </ext>
      </extLst>
    </bk>
    <bk>
      <extLst>
        <ext uri="{3e2802c4-a4d2-4d8b-9148-e3be6c30e623}">
          <xlrd:rvb i="1577"/>
        </ext>
      </extLst>
    </bk>
    <bk>
      <extLst>
        <ext uri="{3e2802c4-a4d2-4d8b-9148-e3be6c30e623}">
          <xlrd:rvb i="1578"/>
        </ext>
      </extLst>
    </bk>
    <bk>
      <extLst>
        <ext uri="{3e2802c4-a4d2-4d8b-9148-e3be6c30e623}">
          <xlrd:rvb i="1579"/>
        </ext>
      </extLst>
    </bk>
    <bk>
      <extLst>
        <ext uri="{3e2802c4-a4d2-4d8b-9148-e3be6c30e623}">
          <xlrd:rvb i="1580"/>
        </ext>
      </extLst>
    </bk>
    <bk>
      <extLst>
        <ext uri="{3e2802c4-a4d2-4d8b-9148-e3be6c30e623}">
          <xlrd:rvb i="1581"/>
        </ext>
      </extLst>
    </bk>
    <bk>
      <extLst>
        <ext uri="{3e2802c4-a4d2-4d8b-9148-e3be6c30e623}">
          <xlrd:rvb i="1582"/>
        </ext>
      </extLst>
    </bk>
    <bk>
      <extLst>
        <ext uri="{3e2802c4-a4d2-4d8b-9148-e3be6c30e623}">
          <xlrd:rvb i="1583"/>
        </ext>
      </extLst>
    </bk>
    <bk>
      <extLst>
        <ext uri="{3e2802c4-a4d2-4d8b-9148-e3be6c30e623}">
          <xlrd:rvb i="1584"/>
        </ext>
      </extLst>
    </bk>
    <bk>
      <extLst>
        <ext uri="{3e2802c4-a4d2-4d8b-9148-e3be6c30e623}">
          <xlrd:rvb i="1585"/>
        </ext>
      </extLst>
    </bk>
    <bk>
      <extLst>
        <ext uri="{3e2802c4-a4d2-4d8b-9148-e3be6c30e623}">
          <xlrd:rvb i="1586"/>
        </ext>
      </extLst>
    </bk>
    <bk>
      <extLst>
        <ext uri="{3e2802c4-a4d2-4d8b-9148-e3be6c30e623}">
          <xlrd:rvb i="1587"/>
        </ext>
      </extLst>
    </bk>
    <bk>
      <extLst>
        <ext uri="{3e2802c4-a4d2-4d8b-9148-e3be6c30e623}">
          <xlrd:rvb i="1588"/>
        </ext>
      </extLst>
    </bk>
    <bk>
      <extLst>
        <ext uri="{3e2802c4-a4d2-4d8b-9148-e3be6c30e623}">
          <xlrd:rvb i="1589"/>
        </ext>
      </extLst>
    </bk>
    <bk>
      <extLst>
        <ext uri="{3e2802c4-a4d2-4d8b-9148-e3be6c30e623}">
          <xlrd:rvb i="1590"/>
        </ext>
      </extLst>
    </bk>
    <bk>
      <extLst>
        <ext uri="{3e2802c4-a4d2-4d8b-9148-e3be6c30e623}">
          <xlrd:rvb i="1591"/>
        </ext>
      </extLst>
    </bk>
    <bk>
      <extLst>
        <ext uri="{3e2802c4-a4d2-4d8b-9148-e3be6c30e623}">
          <xlrd:rvb i="1592"/>
        </ext>
      </extLst>
    </bk>
    <bk>
      <extLst>
        <ext uri="{3e2802c4-a4d2-4d8b-9148-e3be6c30e623}">
          <xlrd:rvb i="1593"/>
        </ext>
      </extLst>
    </bk>
    <bk>
      <extLst>
        <ext uri="{3e2802c4-a4d2-4d8b-9148-e3be6c30e623}">
          <xlrd:rvb i="1594"/>
        </ext>
      </extLst>
    </bk>
    <bk>
      <extLst>
        <ext uri="{3e2802c4-a4d2-4d8b-9148-e3be6c30e623}">
          <xlrd:rvb i="1595"/>
        </ext>
      </extLst>
    </bk>
    <bk>
      <extLst>
        <ext uri="{3e2802c4-a4d2-4d8b-9148-e3be6c30e623}">
          <xlrd:rvb i="1596"/>
        </ext>
      </extLst>
    </bk>
    <bk>
      <extLst>
        <ext uri="{3e2802c4-a4d2-4d8b-9148-e3be6c30e623}">
          <xlrd:rvb i="1597"/>
        </ext>
      </extLst>
    </bk>
    <bk>
      <extLst>
        <ext uri="{3e2802c4-a4d2-4d8b-9148-e3be6c30e623}">
          <xlrd:rvb i="1598"/>
        </ext>
      </extLst>
    </bk>
    <bk>
      <extLst>
        <ext uri="{3e2802c4-a4d2-4d8b-9148-e3be6c30e623}">
          <xlrd:rvb i="1599"/>
        </ext>
      </extLst>
    </bk>
    <bk>
      <extLst>
        <ext uri="{3e2802c4-a4d2-4d8b-9148-e3be6c30e623}">
          <xlrd:rvb i="1600"/>
        </ext>
      </extLst>
    </bk>
    <bk>
      <extLst>
        <ext uri="{3e2802c4-a4d2-4d8b-9148-e3be6c30e623}">
          <xlrd:rvb i="1601"/>
        </ext>
      </extLst>
    </bk>
    <bk>
      <extLst>
        <ext uri="{3e2802c4-a4d2-4d8b-9148-e3be6c30e623}">
          <xlrd:rvb i="1602"/>
        </ext>
      </extLst>
    </bk>
    <bk>
      <extLst>
        <ext uri="{3e2802c4-a4d2-4d8b-9148-e3be6c30e623}">
          <xlrd:rvb i="1603"/>
        </ext>
      </extLst>
    </bk>
    <bk>
      <extLst>
        <ext uri="{3e2802c4-a4d2-4d8b-9148-e3be6c30e623}">
          <xlrd:rvb i="1604"/>
        </ext>
      </extLst>
    </bk>
    <bk>
      <extLst>
        <ext uri="{3e2802c4-a4d2-4d8b-9148-e3be6c30e623}">
          <xlrd:rvb i="1605"/>
        </ext>
      </extLst>
    </bk>
    <bk>
      <extLst>
        <ext uri="{3e2802c4-a4d2-4d8b-9148-e3be6c30e623}">
          <xlrd:rvb i="1606"/>
        </ext>
      </extLst>
    </bk>
    <bk>
      <extLst>
        <ext uri="{3e2802c4-a4d2-4d8b-9148-e3be6c30e623}">
          <xlrd:rvb i="1607"/>
        </ext>
      </extLst>
    </bk>
    <bk>
      <extLst>
        <ext uri="{3e2802c4-a4d2-4d8b-9148-e3be6c30e623}">
          <xlrd:rvb i="1608"/>
        </ext>
      </extLst>
    </bk>
    <bk>
      <extLst>
        <ext uri="{3e2802c4-a4d2-4d8b-9148-e3be6c30e623}">
          <xlrd:rvb i="1609"/>
        </ext>
      </extLst>
    </bk>
    <bk>
      <extLst>
        <ext uri="{3e2802c4-a4d2-4d8b-9148-e3be6c30e623}">
          <xlrd:rvb i="1610"/>
        </ext>
      </extLst>
    </bk>
    <bk>
      <extLst>
        <ext uri="{3e2802c4-a4d2-4d8b-9148-e3be6c30e623}">
          <xlrd:rvb i="1611"/>
        </ext>
      </extLst>
    </bk>
    <bk>
      <extLst>
        <ext uri="{3e2802c4-a4d2-4d8b-9148-e3be6c30e623}">
          <xlrd:rvb i="1612"/>
        </ext>
      </extLst>
    </bk>
    <bk>
      <extLst>
        <ext uri="{3e2802c4-a4d2-4d8b-9148-e3be6c30e623}">
          <xlrd:rvb i="1613"/>
        </ext>
      </extLst>
    </bk>
    <bk>
      <extLst>
        <ext uri="{3e2802c4-a4d2-4d8b-9148-e3be6c30e623}">
          <xlrd:rvb i="1614"/>
        </ext>
      </extLst>
    </bk>
    <bk>
      <extLst>
        <ext uri="{3e2802c4-a4d2-4d8b-9148-e3be6c30e623}">
          <xlrd:rvb i="1615"/>
        </ext>
      </extLst>
    </bk>
    <bk>
      <extLst>
        <ext uri="{3e2802c4-a4d2-4d8b-9148-e3be6c30e623}">
          <xlrd:rvb i="1616"/>
        </ext>
      </extLst>
    </bk>
    <bk>
      <extLst>
        <ext uri="{3e2802c4-a4d2-4d8b-9148-e3be6c30e623}">
          <xlrd:rvb i="1617"/>
        </ext>
      </extLst>
    </bk>
    <bk>
      <extLst>
        <ext uri="{3e2802c4-a4d2-4d8b-9148-e3be6c30e623}">
          <xlrd:rvb i="1618"/>
        </ext>
      </extLst>
    </bk>
    <bk>
      <extLst>
        <ext uri="{3e2802c4-a4d2-4d8b-9148-e3be6c30e623}">
          <xlrd:rvb i="1619"/>
        </ext>
      </extLst>
    </bk>
    <bk>
      <extLst>
        <ext uri="{3e2802c4-a4d2-4d8b-9148-e3be6c30e623}">
          <xlrd:rvb i="1620"/>
        </ext>
      </extLst>
    </bk>
    <bk>
      <extLst>
        <ext uri="{3e2802c4-a4d2-4d8b-9148-e3be6c30e623}">
          <xlrd:rvb i="1621"/>
        </ext>
      </extLst>
    </bk>
    <bk>
      <extLst>
        <ext uri="{3e2802c4-a4d2-4d8b-9148-e3be6c30e623}">
          <xlrd:rvb i="1622"/>
        </ext>
      </extLst>
    </bk>
    <bk>
      <extLst>
        <ext uri="{3e2802c4-a4d2-4d8b-9148-e3be6c30e623}">
          <xlrd:rvb i="1623"/>
        </ext>
      </extLst>
    </bk>
    <bk>
      <extLst>
        <ext uri="{3e2802c4-a4d2-4d8b-9148-e3be6c30e623}">
          <xlrd:rvb i="1624"/>
        </ext>
      </extLst>
    </bk>
    <bk>
      <extLst>
        <ext uri="{3e2802c4-a4d2-4d8b-9148-e3be6c30e623}">
          <xlrd:rvb i="1625"/>
        </ext>
      </extLst>
    </bk>
    <bk>
      <extLst>
        <ext uri="{3e2802c4-a4d2-4d8b-9148-e3be6c30e623}">
          <xlrd:rvb i="1626"/>
        </ext>
      </extLst>
    </bk>
    <bk>
      <extLst>
        <ext uri="{3e2802c4-a4d2-4d8b-9148-e3be6c30e623}">
          <xlrd:rvb i="1627"/>
        </ext>
      </extLst>
    </bk>
    <bk>
      <extLst>
        <ext uri="{3e2802c4-a4d2-4d8b-9148-e3be6c30e623}">
          <xlrd:rvb i="1628"/>
        </ext>
      </extLst>
    </bk>
    <bk>
      <extLst>
        <ext uri="{3e2802c4-a4d2-4d8b-9148-e3be6c30e623}">
          <xlrd:rvb i="1629"/>
        </ext>
      </extLst>
    </bk>
    <bk>
      <extLst>
        <ext uri="{3e2802c4-a4d2-4d8b-9148-e3be6c30e623}">
          <xlrd:rvb i="1630"/>
        </ext>
      </extLst>
    </bk>
    <bk>
      <extLst>
        <ext uri="{3e2802c4-a4d2-4d8b-9148-e3be6c30e623}">
          <xlrd:rvb i="1631"/>
        </ext>
      </extLst>
    </bk>
    <bk>
      <extLst>
        <ext uri="{3e2802c4-a4d2-4d8b-9148-e3be6c30e623}">
          <xlrd:rvb i="1632"/>
        </ext>
      </extLst>
    </bk>
    <bk>
      <extLst>
        <ext uri="{3e2802c4-a4d2-4d8b-9148-e3be6c30e623}">
          <xlrd:rvb i="1633"/>
        </ext>
      </extLst>
    </bk>
    <bk>
      <extLst>
        <ext uri="{3e2802c4-a4d2-4d8b-9148-e3be6c30e623}">
          <xlrd:rvb i="1634"/>
        </ext>
      </extLst>
    </bk>
    <bk>
      <extLst>
        <ext uri="{3e2802c4-a4d2-4d8b-9148-e3be6c30e623}">
          <xlrd:rvb i="1635"/>
        </ext>
      </extLst>
    </bk>
    <bk>
      <extLst>
        <ext uri="{3e2802c4-a4d2-4d8b-9148-e3be6c30e623}">
          <xlrd:rvb i="1636"/>
        </ext>
      </extLst>
    </bk>
    <bk>
      <extLst>
        <ext uri="{3e2802c4-a4d2-4d8b-9148-e3be6c30e623}">
          <xlrd:rvb i="1637"/>
        </ext>
      </extLst>
    </bk>
    <bk>
      <extLst>
        <ext uri="{3e2802c4-a4d2-4d8b-9148-e3be6c30e623}">
          <xlrd:rvb i="1638"/>
        </ext>
      </extLst>
    </bk>
    <bk>
      <extLst>
        <ext uri="{3e2802c4-a4d2-4d8b-9148-e3be6c30e623}">
          <xlrd:rvb i="1639"/>
        </ext>
      </extLst>
    </bk>
    <bk>
      <extLst>
        <ext uri="{3e2802c4-a4d2-4d8b-9148-e3be6c30e623}">
          <xlrd:rvb i="1640"/>
        </ext>
      </extLst>
    </bk>
    <bk>
      <extLst>
        <ext uri="{3e2802c4-a4d2-4d8b-9148-e3be6c30e623}">
          <xlrd:rvb i="1641"/>
        </ext>
      </extLst>
    </bk>
    <bk>
      <extLst>
        <ext uri="{3e2802c4-a4d2-4d8b-9148-e3be6c30e623}">
          <xlrd:rvb i="1642"/>
        </ext>
      </extLst>
    </bk>
    <bk>
      <extLst>
        <ext uri="{3e2802c4-a4d2-4d8b-9148-e3be6c30e623}">
          <xlrd:rvb i="1643"/>
        </ext>
      </extLst>
    </bk>
    <bk>
      <extLst>
        <ext uri="{3e2802c4-a4d2-4d8b-9148-e3be6c30e623}">
          <xlrd:rvb i="1644"/>
        </ext>
      </extLst>
    </bk>
    <bk>
      <extLst>
        <ext uri="{3e2802c4-a4d2-4d8b-9148-e3be6c30e623}">
          <xlrd:rvb i="1645"/>
        </ext>
      </extLst>
    </bk>
    <bk>
      <extLst>
        <ext uri="{3e2802c4-a4d2-4d8b-9148-e3be6c30e623}">
          <xlrd:rvb i="1646"/>
        </ext>
      </extLst>
    </bk>
    <bk>
      <extLst>
        <ext uri="{3e2802c4-a4d2-4d8b-9148-e3be6c30e623}">
          <xlrd:rvb i="1647"/>
        </ext>
      </extLst>
    </bk>
    <bk>
      <extLst>
        <ext uri="{3e2802c4-a4d2-4d8b-9148-e3be6c30e623}">
          <xlrd:rvb i="1648"/>
        </ext>
      </extLst>
    </bk>
    <bk>
      <extLst>
        <ext uri="{3e2802c4-a4d2-4d8b-9148-e3be6c30e623}">
          <xlrd:rvb i="1649"/>
        </ext>
      </extLst>
    </bk>
    <bk>
      <extLst>
        <ext uri="{3e2802c4-a4d2-4d8b-9148-e3be6c30e623}">
          <xlrd:rvb i="1650"/>
        </ext>
      </extLst>
    </bk>
    <bk>
      <extLst>
        <ext uri="{3e2802c4-a4d2-4d8b-9148-e3be6c30e623}">
          <xlrd:rvb i="1651"/>
        </ext>
      </extLst>
    </bk>
    <bk>
      <extLst>
        <ext uri="{3e2802c4-a4d2-4d8b-9148-e3be6c30e623}">
          <xlrd:rvb i="1652"/>
        </ext>
      </extLst>
    </bk>
    <bk>
      <extLst>
        <ext uri="{3e2802c4-a4d2-4d8b-9148-e3be6c30e623}">
          <xlrd:rvb i="1653"/>
        </ext>
      </extLst>
    </bk>
    <bk>
      <extLst>
        <ext uri="{3e2802c4-a4d2-4d8b-9148-e3be6c30e623}">
          <xlrd:rvb i="1654"/>
        </ext>
      </extLst>
    </bk>
    <bk>
      <extLst>
        <ext uri="{3e2802c4-a4d2-4d8b-9148-e3be6c30e623}">
          <xlrd:rvb i="1655"/>
        </ext>
      </extLst>
    </bk>
    <bk>
      <extLst>
        <ext uri="{3e2802c4-a4d2-4d8b-9148-e3be6c30e623}">
          <xlrd:rvb i="1656"/>
        </ext>
      </extLst>
    </bk>
    <bk>
      <extLst>
        <ext uri="{3e2802c4-a4d2-4d8b-9148-e3be6c30e623}">
          <xlrd:rvb i="1657"/>
        </ext>
      </extLst>
    </bk>
    <bk>
      <extLst>
        <ext uri="{3e2802c4-a4d2-4d8b-9148-e3be6c30e623}">
          <xlrd:rvb i="1658"/>
        </ext>
      </extLst>
    </bk>
    <bk>
      <extLst>
        <ext uri="{3e2802c4-a4d2-4d8b-9148-e3be6c30e623}">
          <xlrd:rvb i="1659"/>
        </ext>
      </extLst>
    </bk>
    <bk>
      <extLst>
        <ext uri="{3e2802c4-a4d2-4d8b-9148-e3be6c30e623}">
          <xlrd:rvb i="1660"/>
        </ext>
      </extLst>
    </bk>
    <bk>
      <extLst>
        <ext uri="{3e2802c4-a4d2-4d8b-9148-e3be6c30e623}">
          <xlrd:rvb i="1661"/>
        </ext>
      </extLst>
    </bk>
    <bk>
      <extLst>
        <ext uri="{3e2802c4-a4d2-4d8b-9148-e3be6c30e623}">
          <xlrd:rvb i="1662"/>
        </ext>
      </extLst>
    </bk>
    <bk>
      <extLst>
        <ext uri="{3e2802c4-a4d2-4d8b-9148-e3be6c30e623}">
          <xlrd:rvb i="1663"/>
        </ext>
      </extLst>
    </bk>
    <bk>
      <extLst>
        <ext uri="{3e2802c4-a4d2-4d8b-9148-e3be6c30e623}">
          <xlrd:rvb i="1664"/>
        </ext>
      </extLst>
    </bk>
    <bk>
      <extLst>
        <ext uri="{3e2802c4-a4d2-4d8b-9148-e3be6c30e623}">
          <xlrd:rvb i="1665"/>
        </ext>
      </extLst>
    </bk>
    <bk>
      <extLst>
        <ext uri="{3e2802c4-a4d2-4d8b-9148-e3be6c30e623}">
          <xlrd:rvb i="1666"/>
        </ext>
      </extLst>
    </bk>
    <bk>
      <extLst>
        <ext uri="{3e2802c4-a4d2-4d8b-9148-e3be6c30e623}">
          <xlrd:rvb i="1667"/>
        </ext>
      </extLst>
    </bk>
    <bk>
      <extLst>
        <ext uri="{3e2802c4-a4d2-4d8b-9148-e3be6c30e623}">
          <xlrd:rvb i="1668"/>
        </ext>
      </extLst>
    </bk>
    <bk>
      <extLst>
        <ext uri="{3e2802c4-a4d2-4d8b-9148-e3be6c30e623}">
          <xlrd:rvb i="1669"/>
        </ext>
      </extLst>
    </bk>
    <bk>
      <extLst>
        <ext uri="{3e2802c4-a4d2-4d8b-9148-e3be6c30e623}">
          <xlrd:rvb i="1670"/>
        </ext>
      </extLst>
    </bk>
    <bk>
      <extLst>
        <ext uri="{3e2802c4-a4d2-4d8b-9148-e3be6c30e623}">
          <xlrd:rvb i="1671"/>
        </ext>
      </extLst>
    </bk>
    <bk>
      <extLst>
        <ext uri="{3e2802c4-a4d2-4d8b-9148-e3be6c30e623}">
          <xlrd:rvb i="1672"/>
        </ext>
      </extLst>
    </bk>
    <bk>
      <extLst>
        <ext uri="{3e2802c4-a4d2-4d8b-9148-e3be6c30e623}">
          <xlrd:rvb i="1673"/>
        </ext>
      </extLst>
    </bk>
    <bk>
      <extLst>
        <ext uri="{3e2802c4-a4d2-4d8b-9148-e3be6c30e623}">
          <xlrd:rvb i="1674"/>
        </ext>
      </extLst>
    </bk>
    <bk>
      <extLst>
        <ext uri="{3e2802c4-a4d2-4d8b-9148-e3be6c30e623}">
          <xlrd:rvb i="1675"/>
        </ext>
      </extLst>
    </bk>
    <bk>
      <extLst>
        <ext uri="{3e2802c4-a4d2-4d8b-9148-e3be6c30e623}">
          <xlrd:rvb i="1676"/>
        </ext>
      </extLst>
    </bk>
    <bk>
      <extLst>
        <ext uri="{3e2802c4-a4d2-4d8b-9148-e3be6c30e623}">
          <xlrd:rvb i="1677"/>
        </ext>
      </extLst>
    </bk>
    <bk>
      <extLst>
        <ext uri="{3e2802c4-a4d2-4d8b-9148-e3be6c30e623}">
          <xlrd:rvb i="1678"/>
        </ext>
      </extLst>
    </bk>
    <bk>
      <extLst>
        <ext uri="{3e2802c4-a4d2-4d8b-9148-e3be6c30e623}">
          <xlrd:rvb i="1679"/>
        </ext>
      </extLst>
    </bk>
    <bk>
      <extLst>
        <ext uri="{3e2802c4-a4d2-4d8b-9148-e3be6c30e623}">
          <xlrd:rvb i="1680"/>
        </ext>
      </extLst>
    </bk>
    <bk>
      <extLst>
        <ext uri="{3e2802c4-a4d2-4d8b-9148-e3be6c30e623}">
          <xlrd:rvb i="1681"/>
        </ext>
      </extLst>
    </bk>
    <bk>
      <extLst>
        <ext uri="{3e2802c4-a4d2-4d8b-9148-e3be6c30e623}">
          <xlrd:rvb i="1682"/>
        </ext>
      </extLst>
    </bk>
    <bk>
      <extLst>
        <ext uri="{3e2802c4-a4d2-4d8b-9148-e3be6c30e623}">
          <xlrd:rvb i="1683"/>
        </ext>
      </extLst>
    </bk>
    <bk>
      <extLst>
        <ext uri="{3e2802c4-a4d2-4d8b-9148-e3be6c30e623}">
          <xlrd:rvb i="1684"/>
        </ext>
      </extLst>
    </bk>
    <bk>
      <extLst>
        <ext uri="{3e2802c4-a4d2-4d8b-9148-e3be6c30e623}">
          <xlrd:rvb i="1685"/>
        </ext>
      </extLst>
    </bk>
    <bk>
      <extLst>
        <ext uri="{3e2802c4-a4d2-4d8b-9148-e3be6c30e623}">
          <xlrd:rvb i="1686"/>
        </ext>
      </extLst>
    </bk>
    <bk>
      <extLst>
        <ext uri="{3e2802c4-a4d2-4d8b-9148-e3be6c30e623}">
          <xlrd:rvb i="1687"/>
        </ext>
      </extLst>
    </bk>
    <bk>
      <extLst>
        <ext uri="{3e2802c4-a4d2-4d8b-9148-e3be6c30e623}">
          <xlrd:rvb i="1688"/>
        </ext>
      </extLst>
    </bk>
    <bk>
      <extLst>
        <ext uri="{3e2802c4-a4d2-4d8b-9148-e3be6c30e623}">
          <xlrd:rvb i="1689"/>
        </ext>
      </extLst>
    </bk>
    <bk>
      <extLst>
        <ext uri="{3e2802c4-a4d2-4d8b-9148-e3be6c30e623}">
          <xlrd:rvb i="1690"/>
        </ext>
      </extLst>
    </bk>
    <bk>
      <extLst>
        <ext uri="{3e2802c4-a4d2-4d8b-9148-e3be6c30e623}">
          <xlrd:rvb i="1691"/>
        </ext>
      </extLst>
    </bk>
    <bk>
      <extLst>
        <ext uri="{3e2802c4-a4d2-4d8b-9148-e3be6c30e623}">
          <xlrd:rvb i="1692"/>
        </ext>
      </extLst>
    </bk>
    <bk>
      <extLst>
        <ext uri="{3e2802c4-a4d2-4d8b-9148-e3be6c30e623}">
          <xlrd:rvb i="1693"/>
        </ext>
      </extLst>
    </bk>
    <bk>
      <extLst>
        <ext uri="{3e2802c4-a4d2-4d8b-9148-e3be6c30e623}">
          <xlrd:rvb i="1694"/>
        </ext>
      </extLst>
    </bk>
    <bk>
      <extLst>
        <ext uri="{3e2802c4-a4d2-4d8b-9148-e3be6c30e623}">
          <xlrd:rvb i="1695"/>
        </ext>
      </extLst>
    </bk>
    <bk>
      <extLst>
        <ext uri="{3e2802c4-a4d2-4d8b-9148-e3be6c30e623}">
          <xlrd:rvb i="1696"/>
        </ext>
      </extLst>
    </bk>
    <bk>
      <extLst>
        <ext uri="{3e2802c4-a4d2-4d8b-9148-e3be6c30e623}">
          <xlrd:rvb i="1697"/>
        </ext>
      </extLst>
    </bk>
    <bk>
      <extLst>
        <ext uri="{3e2802c4-a4d2-4d8b-9148-e3be6c30e623}">
          <xlrd:rvb i="1698"/>
        </ext>
      </extLst>
    </bk>
    <bk>
      <extLst>
        <ext uri="{3e2802c4-a4d2-4d8b-9148-e3be6c30e623}">
          <xlrd:rvb i="1699"/>
        </ext>
      </extLst>
    </bk>
    <bk>
      <extLst>
        <ext uri="{3e2802c4-a4d2-4d8b-9148-e3be6c30e623}">
          <xlrd:rvb i="1700"/>
        </ext>
      </extLst>
    </bk>
    <bk>
      <extLst>
        <ext uri="{3e2802c4-a4d2-4d8b-9148-e3be6c30e623}">
          <xlrd:rvb i="1701"/>
        </ext>
      </extLst>
    </bk>
    <bk>
      <extLst>
        <ext uri="{3e2802c4-a4d2-4d8b-9148-e3be6c30e623}">
          <xlrd:rvb i="1702"/>
        </ext>
      </extLst>
    </bk>
    <bk>
      <extLst>
        <ext uri="{3e2802c4-a4d2-4d8b-9148-e3be6c30e623}">
          <xlrd:rvb i="1703"/>
        </ext>
      </extLst>
    </bk>
    <bk>
      <extLst>
        <ext uri="{3e2802c4-a4d2-4d8b-9148-e3be6c30e623}">
          <xlrd:rvb i="1704"/>
        </ext>
      </extLst>
    </bk>
    <bk>
      <extLst>
        <ext uri="{3e2802c4-a4d2-4d8b-9148-e3be6c30e623}">
          <xlrd:rvb i="1705"/>
        </ext>
      </extLst>
    </bk>
    <bk>
      <extLst>
        <ext uri="{3e2802c4-a4d2-4d8b-9148-e3be6c30e623}">
          <xlrd:rvb i="1706"/>
        </ext>
      </extLst>
    </bk>
    <bk>
      <extLst>
        <ext uri="{3e2802c4-a4d2-4d8b-9148-e3be6c30e623}">
          <xlrd:rvb i="1707"/>
        </ext>
      </extLst>
    </bk>
    <bk>
      <extLst>
        <ext uri="{3e2802c4-a4d2-4d8b-9148-e3be6c30e623}">
          <xlrd:rvb i="1708"/>
        </ext>
      </extLst>
    </bk>
    <bk>
      <extLst>
        <ext uri="{3e2802c4-a4d2-4d8b-9148-e3be6c30e623}">
          <xlrd:rvb i="1709"/>
        </ext>
      </extLst>
    </bk>
    <bk>
      <extLst>
        <ext uri="{3e2802c4-a4d2-4d8b-9148-e3be6c30e623}">
          <xlrd:rvb i="1710"/>
        </ext>
      </extLst>
    </bk>
    <bk>
      <extLst>
        <ext uri="{3e2802c4-a4d2-4d8b-9148-e3be6c30e623}">
          <xlrd:rvb i="1711"/>
        </ext>
      </extLst>
    </bk>
    <bk>
      <extLst>
        <ext uri="{3e2802c4-a4d2-4d8b-9148-e3be6c30e623}">
          <xlrd:rvb i="1712"/>
        </ext>
      </extLst>
    </bk>
    <bk>
      <extLst>
        <ext uri="{3e2802c4-a4d2-4d8b-9148-e3be6c30e623}">
          <xlrd:rvb i="1713"/>
        </ext>
      </extLst>
    </bk>
    <bk>
      <extLst>
        <ext uri="{3e2802c4-a4d2-4d8b-9148-e3be6c30e623}">
          <xlrd:rvb i="1714"/>
        </ext>
      </extLst>
    </bk>
    <bk>
      <extLst>
        <ext uri="{3e2802c4-a4d2-4d8b-9148-e3be6c30e623}">
          <xlrd:rvb i="1715"/>
        </ext>
      </extLst>
    </bk>
    <bk>
      <extLst>
        <ext uri="{3e2802c4-a4d2-4d8b-9148-e3be6c30e623}">
          <xlrd:rvb i="1716"/>
        </ext>
      </extLst>
    </bk>
    <bk>
      <extLst>
        <ext uri="{3e2802c4-a4d2-4d8b-9148-e3be6c30e623}">
          <xlrd:rvb i="1717"/>
        </ext>
      </extLst>
    </bk>
    <bk>
      <extLst>
        <ext uri="{3e2802c4-a4d2-4d8b-9148-e3be6c30e623}">
          <xlrd:rvb i="1718"/>
        </ext>
      </extLst>
    </bk>
    <bk>
      <extLst>
        <ext uri="{3e2802c4-a4d2-4d8b-9148-e3be6c30e623}">
          <xlrd:rvb i="1719"/>
        </ext>
      </extLst>
    </bk>
    <bk>
      <extLst>
        <ext uri="{3e2802c4-a4d2-4d8b-9148-e3be6c30e623}">
          <xlrd:rvb i="1720"/>
        </ext>
      </extLst>
    </bk>
    <bk>
      <extLst>
        <ext uri="{3e2802c4-a4d2-4d8b-9148-e3be6c30e623}">
          <xlrd:rvb i="1721"/>
        </ext>
      </extLst>
    </bk>
    <bk>
      <extLst>
        <ext uri="{3e2802c4-a4d2-4d8b-9148-e3be6c30e623}">
          <xlrd:rvb i="1722"/>
        </ext>
      </extLst>
    </bk>
    <bk>
      <extLst>
        <ext uri="{3e2802c4-a4d2-4d8b-9148-e3be6c30e623}">
          <xlrd:rvb i="1723"/>
        </ext>
      </extLst>
    </bk>
    <bk>
      <extLst>
        <ext uri="{3e2802c4-a4d2-4d8b-9148-e3be6c30e623}">
          <xlrd:rvb i="1724"/>
        </ext>
      </extLst>
    </bk>
    <bk>
      <extLst>
        <ext uri="{3e2802c4-a4d2-4d8b-9148-e3be6c30e623}">
          <xlrd:rvb i="1725"/>
        </ext>
      </extLst>
    </bk>
    <bk>
      <extLst>
        <ext uri="{3e2802c4-a4d2-4d8b-9148-e3be6c30e623}">
          <xlrd:rvb i="1726"/>
        </ext>
      </extLst>
    </bk>
    <bk>
      <extLst>
        <ext uri="{3e2802c4-a4d2-4d8b-9148-e3be6c30e623}">
          <xlrd:rvb i="1727"/>
        </ext>
      </extLst>
    </bk>
    <bk>
      <extLst>
        <ext uri="{3e2802c4-a4d2-4d8b-9148-e3be6c30e623}">
          <xlrd:rvb i="1728"/>
        </ext>
      </extLst>
    </bk>
    <bk>
      <extLst>
        <ext uri="{3e2802c4-a4d2-4d8b-9148-e3be6c30e623}">
          <xlrd:rvb i="1729"/>
        </ext>
      </extLst>
    </bk>
    <bk>
      <extLst>
        <ext uri="{3e2802c4-a4d2-4d8b-9148-e3be6c30e623}">
          <xlrd:rvb i="1730"/>
        </ext>
      </extLst>
    </bk>
    <bk>
      <extLst>
        <ext uri="{3e2802c4-a4d2-4d8b-9148-e3be6c30e623}">
          <xlrd:rvb i="1731"/>
        </ext>
      </extLst>
    </bk>
    <bk>
      <extLst>
        <ext uri="{3e2802c4-a4d2-4d8b-9148-e3be6c30e623}">
          <xlrd:rvb i="1732"/>
        </ext>
      </extLst>
    </bk>
    <bk>
      <extLst>
        <ext uri="{3e2802c4-a4d2-4d8b-9148-e3be6c30e623}">
          <xlrd:rvb i="1733"/>
        </ext>
      </extLst>
    </bk>
    <bk>
      <extLst>
        <ext uri="{3e2802c4-a4d2-4d8b-9148-e3be6c30e623}">
          <xlrd:rvb i="1734"/>
        </ext>
      </extLst>
    </bk>
    <bk>
      <extLst>
        <ext uri="{3e2802c4-a4d2-4d8b-9148-e3be6c30e623}">
          <xlrd:rvb i="1735"/>
        </ext>
      </extLst>
    </bk>
    <bk>
      <extLst>
        <ext uri="{3e2802c4-a4d2-4d8b-9148-e3be6c30e623}">
          <xlrd:rvb i="1736"/>
        </ext>
      </extLst>
    </bk>
    <bk>
      <extLst>
        <ext uri="{3e2802c4-a4d2-4d8b-9148-e3be6c30e623}">
          <xlrd:rvb i="1737"/>
        </ext>
      </extLst>
    </bk>
    <bk>
      <extLst>
        <ext uri="{3e2802c4-a4d2-4d8b-9148-e3be6c30e623}">
          <xlrd:rvb i="1738"/>
        </ext>
      </extLst>
    </bk>
    <bk>
      <extLst>
        <ext uri="{3e2802c4-a4d2-4d8b-9148-e3be6c30e623}">
          <xlrd:rvb i="1739"/>
        </ext>
      </extLst>
    </bk>
    <bk>
      <extLst>
        <ext uri="{3e2802c4-a4d2-4d8b-9148-e3be6c30e623}">
          <xlrd:rvb i="1740"/>
        </ext>
      </extLst>
    </bk>
    <bk>
      <extLst>
        <ext uri="{3e2802c4-a4d2-4d8b-9148-e3be6c30e623}">
          <xlrd:rvb i="1741"/>
        </ext>
      </extLst>
    </bk>
    <bk>
      <extLst>
        <ext uri="{3e2802c4-a4d2-4d8b-9148-e3be6c30e623}">
          <xlrd:rvb i="1742"/>
        </ext>
      </extLst>
    </bk>
    <bk>
      <extLst>
        <ext uri="{3e2802c4-a4d2-4d8b-9148-e3be6c30e623}">
          <xlrd:rvb i="1743"/>
        </ext>
      </extLst>
    </bk>
    <bk>
      <extLst>
        <ext uri="{3e2802c4-a4d2-4d8b-9148-e3be6c30e623}">
          <xlrd:rvb i="1744"/>
        </ext>
      </extLst>
    </bk>
    <bk>
      <extLst>
        <ext uri="{3e2802c4-a4d2-4d8b-9148-e3be6c30e623}">
          <xlrd:rvb i="1745"/>
        </ext>
      </extLst>
    </bk>
    <bk>
      <extLst>
        <ext uri="{3e2802c4-a4d2-4d8b-9148-e3be6c30e623}">
          <xlrd:rvb i="1746"/>
        </ext>
      </extLst>
    </bk>
    <bk>
      <extLst>
        <ext uri="{3e2802c4-a4d2-4d8b-9148-e3be6c30e623}">
          <xlrd:rvb i="1747"/>
        </ext>
      </extLst>
    </bk>
    <bk>
      <extLst>
        <ext uri="{3e2802c4-a4d2-4d8b-9148-e3be6c30e623}">
          <xlrd:rvb i="1748"/>
        </ext>
      </extLst>
    </bk>
    <bk>
      <extLst>
        <ext uri="{3e2802c4-a4d2-4d8b-9148-e3be6c30e623}">
          <xlrd:rvb i="1749"/>
        </ext>
      </extLst>
    </bk>
    <bk>
      <extLst>
        <ext uri="{3e2802c4-a4d2-4d8b-9148-e3be6c30e623}">
          <xlrd:rvb i="1750"/>
        </ext>
      </extLst>
    </bk>
    <bk>
      <extLst>
        <ext uri="{3e2802c4-a4d2-4d8b-9148-e3be6c30e623}">
          <xlrd:rvb i="1751"/>
        </ext>
      </extLst>
    </bk>
    <bk>
      <extLst>
        <ext uri="{3e2802c4-a4d2-4d8b-9148-e3be6c30e623}">
          <xlrd:rvb i="1752"/>
        </ext>
      </extLst>
    </bk>
    <bk>
      <extLst>
        <ext uri="{3e2802c4-a4d2-4d8b-9148-e3be6c30e623}">
          <xlrd:rvb i="1753"/>
        </ext>
      </extLst>
    </bk>
    <bk>
      <extLst>
        <ext uri="{3e2802c4-a4d2-4d8b-9148-e3be6c30e623}">
          <xlrd:rvb i="1754"/>
        </ext>
      </extLst>
    </bk>
    <bk>
      <extLst>
        <ext uri="{3e2802c4-a4d2-4d8b-9148-e3be6c30e623}">
          <xlrd:rvb i="1755"/>
        </ext>
      </extLst>
    </bk>
    <bk>
      <extLst>
        <ext uri="{3e2802c4-a4d2-4d8b-9148-e3be6c30e623}">
          <xlrd:rvb i="1756"/>
        </ext>
      </extLst>
    </bk>
    <bk>
      <extLst>
        <ext uri="{3e2802c4-a4d2-4d8b-9148-e3be6c30e623}">
          <xlrd:rvb i="1757"/>
        </ext>
      </extLst>
    </bk>
    <bk>
      <extLst>
        <ext uri="{3e2802c4-a4d2-4d8b-9148-e3be6c30e623}">
          <xlrd:rvb i="1758"/>
        </ext>
      </extLst>
    </bk>
    <bk>
      <extLst>
        <ext uri="{3e2802c4-a4d2-4d8b-9148-e3be6c30e623}">
          <xlrd:rvb i="1759"/>
        </ext>
      </extLst>
    </bk>
    <bk>
      <extLst>
        <ext uri="{3e2802c4-a4d2-4d8b-9148-e3be6c30e623}">
          <xlrd:rvb i="1760"/>
        </ext>
      </extLst>
    </bk>
    <bk>
      <extLst>
        <ext uri="{3e2802c4-a4d2-4d8b-9148-e3be6c30e623}">
          <xlrd:rvb i="1761"/>
        </ext>
      </extLst>
    </bk>
    <bk>
      <extLst>
        <ext uri="{3e2802c4-a4d2-4d8b-9148-e3be6c30e623}">
          <xlrd:rvb i="1762"/>
        </ext>
      </extLst>
    </bk>
    <bk>
      <extLst>
        <ext uri="{3e2802c4-a4d2-4d8b-9148-e3be6c30e623}">
          <xlrd:rvb i="1763"/>
        </ext>
      </extLst>
    </bk>
    <bk>
      <extLst>
        <ext uri="{3e2802c4-a4d2-4d8b-9148-e3be6c30e623}">
          <xlrd:rvb i="1764"/>
        </ext>
      </extLst>
    </bk>
    <bk>
      <extLst>
        <ext uri="{3e2802c4-a4d2-4d8b-9148-e3be6c30e623}">
          <xlrd:rvb i="1765"/>
        </ext>
      </extLst>
    </bk>
    <bk>
      <extLst>
        <ext uri="{3e2802c4-a4d2-4d8b-9148-e3be6c30e623}">
          <xlrd:rvb i="1766"/>
        </ext>
      </extLst>
    </bk>
    <bk>
      <extLst>
        <ext uri="{3e2802c4-a4d2-4d8b-9148-e3be6c30e623}">
          <xlrd:rvb i="1767"/>
        </ext>
      </extLst>
    </bk>
    <bk>
      <extLst>
        <ext uri="{3e2802c4-a4d2-4d8b-9148-e3be6c30e623}">
          <xlrd:rvb i="1768"/>
        </ext>
      </extLst>
    </bk>
    <bk>
      <extLst>
        <ext uri="{3e2802c4-a4d2-4d8b-9148-e3be6c30e623}">
          <xlrd:rvb i="1769"/>
        </ext>
      </extLst>
    </bk>
    <bk>
      <extLst>
        <ext uri="{3e2802c4-a4d2-4d8b-9148-e3be6c30e623}">
          <xlrd:rvb i="1770"/>
        </ext>
      </extLst>
    </bk>
    <bk>
      <extLst>
        <ext uri="{3e2802c4-a4d2-4d8b-9148-e3be6c30e623}">
          <xlrd:rvb i="1771"/>
        </ext>
      </extLst>
    </bk>
    <bk>
      <extLst>
        <ext uri="{3e2802c4-a4d2-4d8b-9148-e3be6c30e623}">
          <xlrd:rvb i="1772"/>
        </ext>
      </extLst>
    </bk>
    <bk>
      <extLst>
        <ext uri="{3e2802c4-a4d2-4d8b-9148-e3be6c30e623}">
          <xlrd:rvb i="1773"/>
        </ext>
      </extLst>
    </bk>
    <bk>
      <extLst>
        <ext uri="{3e2802c4-a4d2-4d8b-9148-e3be6c30e623}">
          <xlrd:rvb i="1774"/>
        </ext>
      </extLst>
    </bk>
    <bk>
      <extLst>
        <ext uri="{3e2802c4-a4d2-4d8b-9148-e3be6c30e623}">
          <xlrd:rvb i="1775"/>
        </ext>
      </extLst>
    </bk>
    <bk>
      <extLst>
        <ext uri="{3e2802c4-a4d2-4d8b-9148-e3be6c30e623}">
          <xlrd:rvb i="1776"/>
        </ext>
      </extLst>
    </bk>
    <bk>
      <extLst>
        <ext uri="{3e2802c4-a4d2-4d8b-9148-e3be6c30e623}">
          <xlrd:rvb i="1777"/>
        </ext>
      </extLst>
    </bk>
    <bk>
      <extLst>
        <ext uri="{3e2802c4-a4d2-4d8b-9148-e3be6c30e623}">
          <xlrd:rvb i="1778"/>
        </ext>
      </extLst>
    </bk>
    <bk>
      <extLst>
        <ext uri="{3e2802c4-a4d2-4d8b-9148-e3be6c30e623}">
          <xlrd:rvb i="1779"/>
        </ext>
      </extLst>
    </bk>
    <bk>
      <extLst>
        <ext uri="{3e2802c4-a4d2-4d8b-9148-e3be6c30e623}">
          <xlrd:rvb i="1780"/>
        </ext>
      </extLst>
    </bk>
    <bk>
      <extLst>
        <ext uri="{3e2802c4-a4d2-4d8b-9148-e3be6c30e623}">
          <xlrd:rvb i="1781"/>
        </ext>
      </extLst>
    </bk>
    <bk>
      <extLst>
        <ext uri="{3e2802c4-a4d2-4d8b-9148-e3be6c30e623}">
          <xlrd:rvb i="1782"/>
        </ext>
      </extLst>
    </bk>
    <bk>
      <extLst>
        <ext uri="{3e2802c4-a4d2-4d8b-9148-e3be6c30e623}">
          <xlrd:rvb i="1783"/>
        </ext>
      </extLst>
    </bk>
    <bk>
      <extLst>
        <ext uri="{3e2802c4-a4d2-4d8b-9148-e3be6c30e623}">
          <xlrd:rvb i="1784"/>
        </ext>
      </extLst>
    </bk>
    <bk>
      <extLst>
        <ext uri="{3e2802c4-a4d2-4d8b-9148-e3be6c30e623}">
          <xlrd:rvb i="1785"/>
        </ext>
      </extLst>
    </bk>
    <bk>
      <extLst>
        <ext uri="{3e2802c4-a4d2-4d8b-9148-e3be6c30e623}">
          <xlrd:rvb i="1786"/>
        </ext>
      </extLst>
    </bk>
    <bk>
      <extLst>
        <ext uri="{3e2802c4-a4d2-4d8b-9148-e3be6c30e623}">
          <xlrd:rvb i="1787"/>
        </ext>
      </extLst>
    </bk>
    <bk>
      <extLst>
        <ext uri="{3e2802c4-a4d2-4d8b-9148-e3be6c30e623}">
          <xlrd:rvb i="1788"/>
        </ext>
      </extLst>
    </bk>
    <bk>
      <extLst>
        <ext uri="{3e2802c4-a4d2-4d8b-9148-e3be6c30e623}">
          <xlrd:rvb i="1789"/>
        </ext>
      </extLst>
    </bk>
    <bk>
      <extLst>
        <ext uri="{3e2802c4-a4d2-4d8b-9148-e3be6c30e623}">
          <xlrd:rvb i="1790"/>
        </ext>
      </extLst>
    </bk>
    <bk>
      <extLst>
        <ext uri="{3e2802c4-a4d2-4d8b-9148-e3be6c30e623}">
          <xlrd:rvb i="1791"/>
        </ext>
      </extLst>
    </bk>
    <bk>
      <extLst>
        <ext uri="{3e2802c4-a4d2-4d8b-9148-e3be6c30e623}">
          <xlrd:rvb i="1792"/>
        </ext>
      </extLst>
    </bk>
    <bk>
      <extLst>
        <ext uri="{3e2802c4-a4d2-4d8b-9148-e3be6c30e623}">
          <xlrd:rvb i="1793"/>
        </ext>
      </extLst>
    </bk>
    <bk>
      <extLst>
        <ext uri="{3e2802c4-a4d2-4d8b-9148-e3be6c30e623}">
          <xlrd:rvb i="1794"/>
        </ext>
      </extLst>
    </bk>
    <bk>
      <extLst>
        <ext uri="{3e2802c4-a4d2-4d8b-9148-e3be6c30e623}">
          <xlrd:rvb i="1795"/>
        </ext>
      </extLst>
    </bk>
    <bk>
      <extLst>
        <ext uri="{3e2802c4-a4d2-4d8b-9148-e3be6c30e623}">
          <xlrd:rvb i="1796"/>
        </ext>
      </extLst>
    </bk>
    <bk>
      <extLst>
        <ext uri="{3e2802c4-a4d2-4d8b-9148-e3be6c30e623}">
          <xlrd:rvb i="1797"/>
        </ext>
      </extLst>
    </bk>
    <bk>
      <extLst>
        <ext uri="{3e2802c4-a4d2-4d8b-9148-e3be6c30e623}">
          <xlrd:rvb i="1798"/>
        </ext>
      </extLst>
    </bk>
    <bk>
      <extLst>
        <ext uri="{3e2802c4-a4d2-4d8b-9148-e3be6c30e623}">
          <xlrd:rvb i="1799"/>
        </ext>
      </extLst>
    </bk>
    <bk>
      <extLst>
        <ext uri="{3e2802c4-a4d2-4d8b-9148-e3be6c30e623}">
          <xlrd:rvb i="1800"/>
        </ext>
      </extLst>
    </bk>
    <bk>
      <extLst>
        <ext uri="{3e2802c4-a4d2-4d8b-9148-e3be6c30e623}">
          <xlrd:rvb i="1801"/>
        </ext>
      </extLst>
    </bk>
    <bk>
      <extLst>
        <ext uri="{3e2802c4-a4d2-4d8b-9148-e3be6c30e623}">
          <xlrd:rvb i="1802"/>
        </ext>
      </extLst>
    </bk>
    <bk>
      <extLst>
        <ext uri="{3e2802c4-a4d2-4d8b-9148-e3be6c30e623}">
          <xlrd:rvb i="1803"/>
        </ext>
      </extLst>
    </bk>
    <bk>
      <extLst>
        <ext uri="{3e2802c4-a4d2-4d8b-9148-e3be6c30e623}">
          <xlrd:rvb i="1804"/>
        </ext>
      </extLst>
    </bk>
    <bk>
      <extLst>
        <ext uri="{3e2802c4-a4d2-4d8b-9148-e3be6c30e623}">
          <xlrd:rvb i="1805"/>
        </ext>
      </extLst>
    </bk>
    <bk>
      <extLst>
        <ext uri="{3e2802c4-a4d2-4d8b-9148-e3be6c30e623}">
          <xlrd:rvb i="1806"/>
        </ext>
      </extLst>
    </bk>
    <bk>
      <extLst>
        <ext uri="{3e2802c4-a4d2-4d8b-9148-e3be6c30e623}">
          <xlrd:rvb i="1807"/>
        </ext>
      </extLst>
    </bk>
    <bk>
      <extLst>
        <ext uri="{3e2802c4-a4d2-4d8b-9148-e3be6c30e623}">
          <xlrd:rvb i="1808"/>
        </ext>
      </extLst>
    </bk>
    <bk>
      <extLst>
        <ext uri="{3e2802c4-a4d2-4d8b-9148-e3be6c30e623}">
          <xlrd:rvb i="1809"/>
        </ext>
      </extLst>
    </bk>
    <bk>
      <extLst>
        <ext uri="{3e2802c4-a4d2-4d8b-9148-e3be6c30e623}">
          <xlrd:rvb i="1810"/>
        </ext>
      </extLst>
    </bk>
    <bk>
      <extLst>
        <ext uri="{3e2802c4-a4d2-4d8b-9148-e3be6c30e623}">
          <xlrd:rvb i="1811"/>
        </ext>
      </extLst>
    </bk>
    <bk>
      <extLst>
        <ext uri="{3e2802c4-a4d2-4d8b-9148-e3be6c30e623}">
          <xlrd:rvb i="1812"/>
        </ext>
      </extLst>
    </bk>
    <bk>
      <extLst>
        <ext uri="{3e2802c4-a4d2-4d8b-9148-e3be6c30e623}">
          <xlrd:rvb i="1813"/>
        </ext>
      </extLst>
    </bk>
    <bk>
      <extLst>
        <ext uri="{3e2802c4-a4d2-4d8b-9148-e3be6c30e623}">
          <xlrd:rvb i="1814"/>
        </ext>
      </extLst>
    </bk>
    <bk>
      <extLst>
        <ext uri="{3e2802c4-a4d2-4d8b-9148-e3be6c30e623}">
          <xlrd:rvb i="1815"/>
        </ext>
      </extLst>
    </bk>
    <bk>
      <extLst>
        <ext uri="{3e2802c4-a4d2-4d8b-9148-e3be6c30e623}">
          <xlrd:rvb i="1816"/>
        </ext>
      </extLst>
    </bk>
    <bk>
      <extLst>
        <ext uri="{3e2802c4-a4d2-4d8b-9148-e3be6c30e623}">
          <xlrd:rvb i="1817"/>
        </ext>
      </extLst>
    </bk>
    <bk>
      <extLst>
        <ext uri="{3e2802c4-a4d2-4d8b-9148-e3be6c30e623}">
          <xlrd:rvb i="1818"/>
        </ext>
      </extLst>
    </bk>
    <bk>
      <extLst>
        <ext uri="{3e2802c4-a4d2-4d8b-9148-e3be6c30e623}">
          <xlrd:rvb i="1819"/>
        </ext>
      </extLst>
    </bk>
    <bk>
      <extLst>
        <ext uri="{3e2802c4-a4d2-4d8b-9148-e3be6c30e623}">
          <xlrd:rvb i="1820"/>
        </ext>
      </extLst>
    </bk>
    <bk>
      <extLst>
        <ext uri="{3e2802c4-a4d2-4d8b-9148-e3be6c30e623}">
          <xlrd:rvb i="1821"/>
        </ext>
      </extLst>
    </bk>
    <bk>
      <extLst>
        <ext uri="{3e2802c4-a4d2-4d8b-9148-e3be6c30e623}">
          <xlrd:rvb i="1822"/>
        </ext>
      </extLst>
    </bk>
    <bk>
      <extLst>
        <ext uri="{3e2802c4-a4d2-4d8b-9148-e3be6c30e623}">
          <xlrd:rvb i="1823"/>
        </ext>
      </extLst>
    </bk>
    <bk>
      <extLst>
        <ext uri="{3e2802c4-a4d2-4d8b-9148-e3be6c30e623}">
          <xlrd:rvb i="1824"/>
        </ext>
      </extLst>
    </bk>
    <bk>
      <extLst>
        <ext uri="{3e2802c4-a4d2-4d8b-9148-e3be6c30e623}">
          <xlrd:rvb i="1825"/>
        </ext>
      </extLst>
    </bk>
    <bk>
      <extLst>
        <ext uri="{3e2802c4-a4d2-4d8b-9148-e3be6c30e623}">
          <xlrd:rvb i="1826"/>
        </ext>
      </extLst>
    </bk>
    <bk>
      <extLst>
        <ext uri="{3e2802c4-a4d2-4d8b-9148-e3be6c30e623}">
          <xlrd:rvb i="1827"/>
        </ext>
      </extLst>
    </bk>
    <bk>
      <extLst>
        <ext uri="{3e2802c4-a4d2-4d8b-9148-e3be6c30e623}">
          <xlrd:rvb i="1828"/>
        </ext>
      </extLst>
    </bk>
    <bk>
      <extLst>
        <ext uri="{3e2802c4-a4d2-4d8b-9148-e3be6c30e623}">
          <xlrd:rvb i="1829"/>
        </ext>
      </extLst>
    </bk>
    <bk>
      <extLst>
        <ext uri="{3e2802c4-a4d2-4d8b-9148-e3be6c30e623}">
          <xlrd:rvb i="1830"/>
        </ext>
      </extLst>
    </bk>
    <bk>
      <extLst>
        <ext uri="{3e2802c4-a4d2-4d8b-9148-e3be6c30e623}">
          <xlrd:rvb i="1831"/>
        </ext>
      </extLst>
    </bk>
    <bk>
      <extLst>
        <ext uri="{3e2802c4-a4d2-4d8b-9148-e3be6c30e623}">
          <xlrd:rvb i="1832"/>
        </ext>
      </extLst>
    </bk>
    <bk>
      <extLst>
        <ext uri="{3e2802c4-a4d2-4d8b-9148-e3be6c30e623}">
          <xlrd:rvb i="1833"/>
        </ext>
      </extLst>
    </bk>
    <bk>
      <extLst>
        <ext uri="{3e2802c4-a4d2-4d8b-9148-e3be6c30e623}">
          <xlrd:rvb i="1834"/>
        </ext>
      </extLst>
    </bk>
    <bk>
      <extLst>
        <ext uri="{3e2802c4-a4d2-4d8b-9148-e3be6c30e623}">
          <xlrd:rvb i="1835"/>
        </ext>
      </extLst>
    </bk>
    <bk>
      <extLst>
        <ext uri="{3e2802c4-a4d2-4d8b-9148-e3be6c30e623}">
          <xlrd:rvb i="1836"/>
        </ext>
      </extLst>
    </bk>
    <bk>
      <extLst>
        <ext uri="{3e2802c4-a4d2-4d8b-9148-e3be6c30e623}">
          <xlrd:rvb i="1837"/>
        </ext>
      </extLst>
    </bk>
    <bk>
      <extLst>
        <ext uri="{3e2802c4-a4d2-4d8b-9148-e3be6c30e623}">
          <xlrd:rvb i="1838"/>
        </ext>
      </extLst>
    </bk>
    <bk>
      <extLst>
        <ext uri="{3e2802c4-a4d2-4d8b-9148-e3be6c30e623}">
          <xlrd:rvb i="1839"/>
        </ext>
      </extLst>
    </bk>
    <bk>
      <extLst>
        <ext uri="{3e2802c4-a4d2-4d8b-9148-e3be6c30e623}">
          <xlrd:rvb i="1840"/>
        </ext>
      </extLst>
    </bk>
    <bk>
      <extLst>
        <ext uri="{3e2802c4-a4d2-4d8b-9148-e3be6c30e623}">
          <xlrd:rvb i="1841"/>
        </ext>
      </extLst>
    </bk>
    <bk>
      <extLst>
        <ext uri="{3e2802c4-a4d2-4d8b-9148-e3be6c30e623}">
          <xlrd:rvb i="1842"/>
        </ext>
      </extLst>
    </bk>
    <bk>
      <extLst>
        <ext uri="{3e2802c4-a4d2-4d8b-9148-e3be6c30e623}">
          <xlrd:rvb i="1843"/>
        </ext>
      </extLst>
    </bk>
    <bk>
      <extLst>
        <ext uri="{3e2802c4-a4d2-4d8b-9148-e3be6c30e623}">
          <xlrd:rvb i="1844"/>
        </ext>
      </extLst>
    </bk>
    <bk>
      <extLst>
        <ext uri="{3e2802c4-a4d2-4d8b-9148-e3be6c30e623}">
          <xlrd:rvb i="1845"/>
        </ext>
      </extLst>
    </bk>
    <bk>
      <extLst>
        <ext uri="{3e2802c4-a4d2-4d8b-9148-e3be6c30e623}">
          <xlrd:rvb i="1846"/>
        </ext>
      </extLst>
    </bk>
    <bk>
      <extLst>
        <ext uri="{3e2802c4-a4d2-4d8b-9148-e3be6c30e623}">
          <xlrd:rvb i="1847"/>
        </ext>
      </extLst>
    </bk>
    <bk>
      <extLst>
        <ext uri="{3e2802c4-a4d2-4d8b-9148-e3be6c30e623}">
          <xlrd:rvb i="1848"/>
        </ext>
      </extLst>
    </bk>
    <bk>
      <extLst>
        <ext uri="{3e2802c4-a4d2-4d8b-9148-e3be6c30e623}">
          <xlrd:rvb i="1849"/>
        </ext>
      </extLst>
    </bk>
    <bk>
      <extLst>
        <ext uri="{3e2802c4-a4d2-4d8b-9148-e3be6c30e623}">
          <xlrd:rvb i="1850"/>
        </ext>
      </extLst>
    </bk>
    <bk>
      <extLst>
        <ext uri="{3e2802c4-a4d2-4d8b-9148-e3be6c30e623}">
          <xlrd:rvb i="1851"/>
        </ext>
      </extLst>
    </bk>
    <bk>
      <extLst>
        <ext uri="{3e2802c4-a4d2-4d8b-9148-e3be6c30e623}">
          <xlrd:rvb i="1852"/>
        </ext>
      </extLst>
    </bk>
    <bk>
      <extLst>
        <ext uri="{3e2802c4-a4d2-4d8b-9148-e3be6c30e623}">
          <xlrd:rvb i="1853"/>
        </ext>
      </extLst>
    </bk>
    <bk>
      <extLst>
        <ext uri="{3e2802c4-a4d2-4d8b-9148-e3be6c30e623}">
          <xlrd:rvb i="1854"/>
        </ext>
      </extLst>
    </bk>
    <bk>
      <extLst>
        <ext uri="{3e2802c4-a4d2-4d8b-9148-e3be6c30e623}">
          <xlrd:rvb i="1855"/>
        </ext>
      </extLst>
    </bk>
    <bk>
      <extLst>
        <ext uri="{3e2802c4-a4d2-4d8b-9148-e3be6c30e623}">
          <xlrd:rvb i="1856"/>
        </ext>
      </extLst>
    </bk>
    <bk>
      <extLst>
        <ext uri="{3e2802c4-a4d2-4d8b-9148-e3be6c30e623}">
          <xlrd:rvb i="1857"/>
        </ext>
      </extLst>
    </bk>
    <bk>
      <extLst>
        <ext uri="{3e2802c4-a4d2-4d8b-9148-e3be6c30e623}">
          <xlrd:rvb i="1858"/>
        </ext>
      </extLst>
    </bk>
    <bk>
      <extLst>
        <ext uri="{3e2802c4-a4d2-4d8b-9148-e3be6c30e623}">
          <xlrd:rvb i="1859"/>
        </ext>
      </extLst>
    </bk>
    <bk>
      <extLst>
        <ext uri="{3e2802c4-a4d2-4d8b-9148-e3be6c30e623}">
          <xlrd:rvb i="1860"/>
        </ext>
      </extLst>
    </bk>
    <bk>
      <extLst>
        <ext uri="{3e2802c4-a4d2-4d8b-9148-e3be6c30e623}">
          <xlrd:rvb i="1861"/>
        </ext>
      </extLst>
    </bk>
    <bk>
      <extLst>
        <ext uri="{3e2802c4-a4d2-4d8b-9148-e3be6c30e623}">
          <xlrd:rvb i="1862"/>
        </ext>
      </extLst>
    </bk>
    <bk>
      <extLst>
        <ext uri="{3e2802c4-a4d2-4d8b-9148-e3be6c30e623}">
          <xlrd:rvb i="1863"/>
        </ext>
      </extLst>
    </bk>
    <bk>
      <extLst>
        <ext uri="{3e2802c4-a4d2-4d8b-9148-e3be6c30e623}">
          <xlrd:rvb i="1864"/>
        </ext>
      </extLst>
    </bk>
    <bk>
      <extLst>
        <ext uri="{3e2802c4-a4d2-4d8b-9148-e3be6c30e623}">
          <xlrd:rvb i="1865"/>
        </ext>
      </extLst>
    </bk>
    <bk>
      <extLst>
        <ext uri="{3e2802c4-a4d2-4d8b-9148-e3be6c30e623}">
          <xlrd:rvb i="1866"/>
        </ext>
      </extLst>
    </bk>
    <bk>
      <extLst>
        <ext uri="{3e2802c4-a4d2-4d8b-9148-e3be6c30e623}">
          <xlrd:rvb i="1867"/>
        </ext>
      </extLst>
    </bk>
    <bk>
      <extLst>
        <ext uri="{3e2802c4-a4d2-4d8b-9148-e3be6c30e623}">
          <xlrd:rvb i="1868"/>
        </ext>
      </extLst>
    </bk>
    <bk>
      <extLst>
        <ext uri="{3e2802c4-a4d2-4d8b-9148-e3be6c30e623}">
          <xlrd:rvb i="1869"/>
        </ext>
      </extLst>
    </bk>
    <bk>
      <extLst>
        <ext uri="{3e2802c4-a4d2-4d8b-9148-e3be6c30e623}">
          <xlrd:rvb i="1870"/>
        </ext>
      </extLst>
    </bk>
    <bk>
      <extLst>
        <ext uri="{3e2802c4-a4d2-4d8b-9148-e3be6c30e623}">
          <xlrd:rvb i="1871"/>
        </ext>
      </extLst>
    </bk>
    <bk>
      <extLst>
        <ext uri="{3e2802c4-a4d2-4d8b-9148-e3be6c30e623}">
          <xlrd:rvb i="1872"/>
        </ext>
      </extLst>
    </bk>
    <bk>
      <extLst>
        <ext uri="{3e2802c4-a4d2-4d8b-9148-e3be6c30e623}">
          <xlrd:rvb i="1873"/>
        </ext>
      </extLst>
    </bk>
    <bk>
      <extLst>
        <ext uri="{3e2802c4-a4d2-4d8b-9148-e3be6c30e623}">
          <xlrd:rvb i="1874"/>
        </ext>
      </extLst>
    </bk>
    <bk>
      <extLst>
        <ext uri="{3e2802c4-a4d2-4d8b-9148-e3be6c30e623}">
          <xlrd:rvb i="1875"/>
        </ext>
      </extLst>
    </bk>
    <bk>
      <extLst>
        <ext uri="{3e2802c4-a4d2-4d8b-9148-e3be6c30e623}">
          <xlrd:rvb i="1876"/>
        </ext>
      </extLst>
    </bk>
    <bk>
      <extLst>
        <ext uri="{3e2802c4-a4d2-4d8b-9148-e3be6c30e623}">
          <xlrd:rvb i="1877"/>
        </ext>
      </extLst>
    </bk>
    <bk>
      <extLst>
        <ext uri="{3e2802c4-a4d2-4d8b-9148-e3be6c30e623}">
          <xlrd:rvb i="1878"/>
        </ext>
      </extLst>
    </bk>
    <bk>
      <extLst>
        <ext uri="{3e2802c4-a4d2-4d8b-9148-e3be6c30e623}">
          <xlrd:rvb i="1879"/>
        </ext>
      </extLst>
    </bk>
    <bk>
      <extLst>
        <ext uri="{3e2802c4-a4d2-4d8b-9148-e3be6c30e623}">
          <xlrd:rvb i="1880"/>
        </ext>
      </extLst>
    </bk>
    <bk>
      <extLst>
        <ext uri="{3e2802c4-a4d2-4d8b-9148-e3be6c30e623}">
          <xlrd:rvb i="1881"/>
        </ext>
      </extLst>
    </bk>
    <bk>
      <extLst>
        <ext uri="{3e2802c4-a4d2-4d8b-9148-e3be6c30e623}">
          <xlrd:rvb i="1882"/>
        </ext>
      </extLst>
    </bk>
    <bk>
      <extLst>
        <ext uri="{3e2802c4-a4d2-4d8b-9148-e3be6c30e623}">
          <xlrd:rvb i="1883"/>
        </ext>
      </extLst>
    </bk>
    <bk>
      <extLst>
        <ext uri="{3e2802c4-a4d2-4d8b-9148-e3be6c30e623}">
          <xlrd:rvb i="1884"/>
        </ext>
      </extLst>
    </bk>
    <bk>
      <extLst>
        <ext uri="{3e2802c4-a4d2-4d8b-9148-e3be6c30e623}">
          <xlrd:rvb i="1885"/>
        </ext>
      </extLst>
    </bk>
    <bk>
      <extLst>
        <ext uri="{3e2802c4-a4d2-4d8b-9148-e3be6c30e623}">
          <xlrd:rvb i="1886"/>
        </ext>
      </extLst>
    </bk>
    <bk>
      <extLst>
        <ext uri="{3e2802c4-a4d2-4d8b-9148-e3be6c30e623}">
          <xlrd:rvb i="1887"/>
        </ext>
      </extLst>
    </bk>
    <bk>
      <extLst>
        <ext uri="{3e2802c4-a4d2-4d8b-9148-e3be6c30e623}">
          <xlrd:rvb i="1888"/>
        </ext>
      </extLst>
    </bk>
    <bk>
      <extLst>
        <ext uri="{3e2802c4-a4d2-4d8b-9148-e3be6c30e623}">
          <xlrd:rvb i="1889"/>
        </ext>
      </extLst>
    </bk>
    <bk>
      <extLst>
        <ext uri="{3e2802c4-a4d2-4d8b-9148-e3be6c30e623}">
          <xlrd:rvb i="1890"/>
        </ext>
      </extLst>
    </bk>
    <bk>
      <extLst>
        <ext uri="{3e2802c4-a4d2-4d8b-9148-e3be6c30e623}">
          <xlrd:rvb i="1891"/>
        </ext>
      </extLst>
    </bk>
    <bk>
      <extLst>
        <ext uri="{3e2802c4-a4d2-4d8b-9148-e3be6c30e623}">
          <xlrd:rvb i="1892"/>
        </ext>
      </extLst>
    </bk>
    <bk>
      <extLst>
        <ext uri="{3e2802c4-a4d2-4d8b-9148-e3be6c30e623}">
          <xlrd:rvb i="1893"/>
        </ext>
      </extLst>
    </bk>
    <bk>
      <extLst>
        <ext uri="{3e2802c4-a4d2-4d8b-9148-e3be6c30e623}">
          <xlrd:rvb i="1894"/>
        </ext>
      </extLst>
    </bk>
    <bk>
      <extLst>
        <ext uri="{3e2802c4-a4d2-4d8b-9148-e3be6c30e623}">
          <xlrd:rvb i="1895"/>
        </ext>
      </extLst>
    </bk>
    <bk>
      <extLst>
        <ext uri="{3e2802c4-a4d2-4d8b-9148-e3be6c30e623}">
          <xlrd:rvb i="1896"/>
        </ext>
      </extLst>
    </bk>
    <bk>
      <extLst>
        <ext uri="{3e2802c4-a4d2-4d8b-9148-e3be6c30e623}">
          <xlrd:rvb i="1897"/>
        </ext>
      </extLst>
    </bk>
    <bk>
      <extLst>
        <ext uri="{3e2802c4-a4d2-4d8b-9148-e3be6c30e623}">
          <xlrd:rvb i="1898"/>
        </ext>
      </extLst>
    </bk>
    <bk>
      <extLst>
        <ext uri="{3e2802c4-a4d2-4d8b-9148-e3be6c30e623}">
          <xlrd:rvb i="1899"/>
        </ext>
      </extLst>
    </bk>
    <bk>
      <extLst>
        <ext uri="{3e2802c4-a4d2-4d8b-9148-e3be6c30e623}">
          <xlrd:rvb i="1900"/>
        </ext>
      </extLst>
    </bk>
    <bk>
      <extLst>
        <ext uri="{3e2802c4-a4d2-4d8b-9148-e3be6c30e623}">
          <xlrd:rvb i="1901"/>
        </ext>
      </extLst>
    </bk>
    <bk>
      <extLst>
        <ext uri="{3e2802c4-a4d2-4d8b-9148-e3be6c30e623}">
          <xlrd:rvb i="1902"/>
        </ext>
      </extLst>
    </bk>
    <bk>
      <extLst>
        <ext uri="{3e2802c4-a4d2-4d8b-9148-e3be6c30e623}">
          <xlrd:rvb i="1903"/>
        </ext>
      </extLst>
    </bk>
    <bk>
      <extLst>
        <ext uri="{3e2802c4-a4d2-4d8b-9148-e3be6c30e623}">
          <xlrd:rvb i="1904"/>
        </ext>
      </extLst>
    </bk>
    <bk>
      <extLst>
        <ext uri="{3e2802c4-a4d2-4d8b-9148-e3be6c30e623}">
          <xlrd:rvb i="1905"/>
        </ext>
      </extLst>
    </bk>
    <bk>
      <extLst>
        <ext uri="{3e2802c4-a4d2-4d8b-9148-e3be6c30e623}">
          <xlrd:rvb i="1906"/>
        </ext>
      </extLst>
    </bk>
    <bk>
      <extLst>
        <ext uri="{3e2802c4-a4d2-4d8b-9148-e3be6c30e623}">
          <xlrd:rvb i="1907"/>
        </ext>
      </extLst>
    </bk>
    <bk>
      <extLst>
        <ext uri="{3e2802c4-a4d2-4d8b-9148-e3be6c30e623}">
          <xlrd:rvb i="1908"/>
        </ext>
      </extLst>
    </bk>
    <bk>
      <extLst>
        <ext uri="{3e2802c4-a4d2-4d8b-9148-e3be6c30e623}">
          <xlrd:rvb i="1909"/>
        </ext>
      </extLst>
    </bk>
    <bk>
      <extLst>
        <ext uri="{3e2802c4-a4d2-4d8b-9148-e3be6c30e623}">
          <xlrd:rvb i="1910"/>
        </ext>
      </extLst>
    </bk>
    <bk>
      <extLst>
        <ext uri="{3e2802c4-a4d2-4d8b-9148-e3be6c30e623}">
          <xlrd:rvb i="1911"/>
        </ext>
      </extLst>
    </bk>
    <bk>
      <extLst>
        <ext uri="{3e2802c4-a4d2-4d8b-9148-e3be6c30e623}">
          <xlrd:rvb i="1912"/>
        </ext>
      </extLst>
    </bk>
    <bk>
      <extLst>
        <ext uri="{3e2802c4-a4d2-4d8b-9148-e3be6c30e623}">
          <xlrd:rvb i="1913"/>
        </ext>
      </extLst>
    </bk>
    <bk>
      <extLst>
        <ext uri="{3e2802c4-a4d2-4d8b-9148-e3be6c30e623}">
          <xlrd:rvb i="1914"/>
        </ext>
      </extLst>
    </bk>
    <bk>
      <extLst>
        <ext uri="{3e2802c4-a4d2-4d8b-9148-e3be6c30e623}">
          <xlrd:rvb i="1915"/>
        </ext>
      </extLst>
    </bk>
    <bk>
      <extLst>
        <ext uri="{3e2802c4-a4d2-4d8b-9148-e3be6c30e623}">
          <xlrd:rvb i="1916"/>
        </ext>
      </extLst>
    </bk>
    <bk>
      <extLst>
        <ext uri="{3e2802c4-a4d2-4d8b-9148-e3be6c30e623}">
          <xlrd:rvb i="1917"/>
        </ext>
      </extLst>
    </bk>
    <bk>
      <extLst>
        <ext uri="{3e2802c4-a4d2-4d8b-9148-e3be6c30e623}">
          <xlrd:rvb i="1918"/>
        </ext>
      </extLst>
    </bk>
    <bk>
      <extLst>
        <ext uri="{3e2802c4-a4d2-4d8b-9148-e3be6c30e623}">
          <xlrd:rvb i="1919"/>
        </ext>
      </extLst>
    </bk>
    <bk>
      <extLst>
        <ext uri="{3e2802c4-a4d2-4d8b-9148-e3be6c30e623}">
          <xlrd:rvb i="1920"/>
        </ext>
      </extLst>
    </bk>
    <bk>
      <extLst>
        <ext uri="{3e2802c4-a4d2-4d8b-9148-e3be6c30e623}">
          <xlrd:rvb i="1921"/>
        </ext>
      </extLst>
    </bk>
    <bk>
      <extLst>
        <ext uri="{3e2802c4-a4d2-4d8b-9148-e3be6c30e623}">
          <xlrd:rvb i="1922"/>
        </ext>
      </extLst>
    </bk>
    <bk>
      <extLst>
        <ext uri="{3e2802c4-a4d2-4d8b-9148-e3be6c30e623}">
          <xlrd:rvb i="1923"/>
        </ext>
      </extLst>
    </bk>
    <bk>
      <extLst>
        <ext uri="{3e2802c4-a4d2-4d8b-9148-e3be6c30e623}">
          <xlrd:rvb i="1924"/>
        </ext>
      </extLst>
    </bk>
    <bk>
      <extLst>
        <ext uri="{3e2802c4-a4d2-4d8b-9148-e3be6c30e623}">
          <xlrd:rvb i="1925"/>
        </ext>
      </extLst>
    </bk>
    <bk>
      <extLst>
        <ext uri="{3e2802c4-a4d2-4d8b-9148-e3be6c30e623}">
          <xlrd:rvb i="1926"/>
        </ext>
      </extLst>
    </bk>
    <bk>
      <extLst>
        <ext uri="{3e2802c4-a4d2-4d8b-9148-e3be6c30e623}">
          <xlrd:rvb i="1927"/>
        </ext>
      </extLst>
    </bk>
    <bk>
      <extLst>
        <ext uri="{3e2802c4-a4d2-4d8b-9148-e3be6c30e623}">
          <xlrd:rvb i="1928"/>
        </ext>
      </extLst>
    </bk>
    <bk>
      <extLst>
        <ext uri="{3e2802c4-a4d2-4d8b-9148-e3be6c30e623}">
          <xlrd:rvb i="1929"/>
        </ext>
      </extLst>
    </bk>
    <bk>
      <extLst>
        <ext uri="{3e2802c4-a4d2-4d8b-9148-e3be6c30e623}">
          <xlrd:rvb i="1930"/>
        </ext>
      </extLst>
    </bk>
    <bk>
      <extLst>
        <ext uri="{3e2802c4-a4d2-4d8b-9148-e3be6c30e623}">
          <xlrd:rvb i="1931"/>
        </ext>
      </extLst>
    </bk>
    <bk>
      <extLst>
        <ext uri="{3e2802c4-a4d2-4d8b-9148-e3be6c30e623}">
          <xlrd:rvb i="1932"/>
        </ext>
      </extLst>
    </bk>
    <bk>
      <extLst>
        <ext uri="{3e2802c4-a4d2-4d8b-9148-e3be6c30e623}">
          <xlrd:rvb i="1933"/>
        </ext>
      </extLst>
    </bk>
    <bk>
      <extLst>
        <ext uri="{3e2802c4-a4d2-4d8b-9148-e3be6c30e623}">
          <xlrd:rvb i="1934"/>
        </ext>
      </extLst>
    </bk>
    <bk>
      <extLst>
        <ext uri="{3e2802c4-a4d2-4d8b-9148-e3be6c30e623}">
          <xlrd:rvb i="1935"/>
        </ext>
      </extLst>
    </bk>
    <bk>
      <extLst>
        <ext uri="{3e2802c4-a4d2-4d8b-9148-e3be6c30e623}">
          <xlrd:rvb i="1936"/>
        </ext>
      </extLst>
    </bk>
    <bk>
      <extLst>
        <ext uri="{3e2802c4-a4d2-4d8b-9148-e3be6c30e623}">
          <xlrd:rvb i="1937"/>
        </ext>
      </extLst>
    </bk>
    <bk>
      <extLst>
        <ext uri="{3e2802c4-a4d2-4d8b-9148-e3be6c30e623}">
          <xlrd:rvb i="1938"/>
        </ext>
      </extLst>
    </bk>
    <bk>
      <extLst>
        <ext uri="{3e2802c4-a4d2-4d8b-9148-e3be6c30e623}">
          <xlrd:rvb i="1939"/>
        </ext>
      </extLst>
    </bk>
    <bk>
      <extLst>
        <ext uri="{3e2802c4-a4d2-4d8b-9148-e3be6c30e623}">
          <xlrd:rvb i="1940"/>
        </ext>
      </extLst>
    </bk>
    <bk>
      <extLst>
        <ext uri="{3e2802c4-a4d2-4d8b-9148-e3be6c30e623}">
          <xlrd:rvb i="1941"/>
        </ext>
      </extLst>
    </bk>
    <bk>
      <extLst>
        <ext uri="{3e2802c4-a4d2-4d8b-9148-e3be6c30e623}">
          <xlrd:rvb i="1942"/>
        </ext>
      </extLst>
    </bk>
    <bk>
      <extLst>
        <ext uri="{3e2802c4-a4d2-4d8b-9148-e3be6c30e623}">
          <xlrd:rvb i="1943"/>
        </ext>
      </extLst>
    </bk>
    <bk>
      <extLst>
        <ext uri="{3e2802c4-a4d2-4d8b-9148-e3be6c30e623}">
          <xlrd:rvb i="1944"/>
        </ext>
      </extLst>
    </bk>
    <bk>
      <extLst>
        <ext uri="{3e2802c4-a4d2-4d8b-9148-e3be6c30e623}">
          <xlrd:rvb i="1945"/>
        </ext>
      </extLst>
    </bk>
    <bk>
      <extLst>
        <ext uri="{3e2802c4-a4d2-4d8b-9148-e3be6c30e623}">
          <xlrd:rvb i="1946"/>
        </ext>
      </extLst>
    </bk>
    <bk>
      <extLst>
        <ext uri="{3e2802c4-a4d2-4d8b-9148-e3be6c30e623}">
          <xlrd:rvb i="1947"/>
        </ext>
      </extLst>
    </bk>
    <bk>
      <extLst>
        <ext uri="{3e2802c4-a4d2-4d8b-9148-e3be6c30e623}">
          <xlrd:rvb i="1948"/>
        </ext>
      </extLst>
    </bk>
  </futureMetadata>
  <cellMetadata count="1">
    <bk>
      <rc t="1" v="0"/>
    </bk>
  </cellMetadata>
  <valueMetadata count="1949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  <bk>
      <rc t="2" v="128"/>
    </bk>
    <bk>
      <rc t="2" v="129"/>
    </bk>
    <bk>
      <rc t="2" v="130"/>
    </bk>
    <bk>
      <rc t="2" v="131"/>
    </bk>
    <bk>
      <rc t="2" v="132"/>
    </bk>
    <bk>
      <rc t="2" v="133"/>
    </bk>
    <bk>
      <rc t="2" v="134"/>
    </bk>
    <bk>
      <rc t="2" v="135"/>
    </bk>
    <bk>
      <rc t="2" v="136"/>
    </bk>
    <bk>
      <rc t="2" v="137"/>
    </bk>
    <bk>
      <rc t="2" v="138"/>
    </bk>
    <bk>
      <rc t="2" v="139"/>
    </bk>
    <bk>
      <rc t="2" v="140"/>
    </bk>
    <bk>
      <rc t="2" v="141"/>
    </bk>
    <bk>
      <rc t="2" v="142"/>
    </bk>
    <bk>
      <rc t="2" v="143"/>
    </bk>
    <bk>
      <rc t="2" v="144"/>
    </bk>
    <bk>
      <rc t="2" v="145"/>
    </bk>
    <bk>
      <rc t="2" v="146"/>
    </bk>
    <bk>
      <rc t="2" v="147"/>
    </bk>
    <bk>
      <rc t="2" v="148"/>
    </bk>
    <bk>
      <rc t="2" v="149"/>
    </bk>
    <bk>
      <rc t="2" v="150"/>
    </bk>
    <bk>
      <rc t="2" v="151"/>
    </bk>
    <bk>
      <rc t="2" v="152"/>
    </bk>
    <bk>
      <rc t="2" v="153"/>
    </bk>
    <bk>
      <rc t="2" v="154"/>
    </bk>
    <bk>
      <rc t="2" v="155"/>
    </bk>
    <bk>
      <rc t="2" v="156"/>
    </bk>
    <bk>
      <rc t="2" v="157"/>
    </bk>
    <bk>
      <rc t="2" v="158"/>
    </bk>
    <bk>
      <rc t="2" v="159"/>
    </bk>
    <bk>
      <rc t="2" v="160"/>
    </bk>
    <bk>
      <rc t="2" v="161"/>
    </bk>
    <bk>
      <rc t="2" v="162"/>
    </bk>
    <bk>
      <rc t="2" v="163"/>
    </bk>
    <bk>
      <rc t="2" v="164"/>
    </bk>
    <bk>
      <rc t="2" v="165"/>
    </bk>
    <bk>
      <rc t="2" v="166"/>
    </bk>
    <bk>
      <rc t="2" v="167"/>
    </bk>
    <bk>
      <rc t="2" v="168"/>
    </bk>
    <bk>
      <rc t="2" v="169"/>
    </bk>
    <bk>
      <rc t="2" v="170"/>
    </bk>
    <bk>
      <rc t="2" v="171"/>
    </bk>
    <bk>
      <rc t="2" v="172"/>
    </bk>
    <bk>
      <rc t="2" v="173"/>
    </bk>
    <bk>
      <rc t="2" v="174"/>
    </bk>
    <bk>
      <rc t="2" v="175"/>
    </bk>
    <bk>
      <rc t="2" v="176"/>
    </bk>
    <bk>
      <rc t="2" v="177"/>
    </bk>
    <bk>
      <rc t="2" v="178"/>
    </bk>
    <bk>
      <rc t="2" v="179"/>
    </bk>
    <bk>
      <rc t="2" v="180"/>
    </bk>
    <bk>
      <rc t="2" v="181"/>
    </bk>
    <bk>
      <rc t="2" v="182"/>
    </bk>
    <bk>
      <rc t="2" v="183"/>
    </bk>
    <bk>
      <rc t="2" v="184"/>
    </bk>
    <bk>
      <rc t="2" v="185"/>
    </bk>
    <bk>
      <rc t="2" v="186"/>
    </bk>
    <bk>
      <rc t="2" v="187"/>
    </bk>
    <bk>
      <rc t="2" v="188"/>
    </bk>
    <bk>
      <rc t="2" v="189"/>
    </bk>
    <bk>
      <rc t="2" v="190"/>
    </bk>
    <bk>
      <rc t="2" v="191"/>
    </bk>
    <bk>
      <rc t="2" v="192"/>
    </bk>
    <bk>
      <rc t="2" v="193"/>
    </bk>
    <bk>
      <rc t="2" v="194"/>
    </bk>
    <bk>
      <rc t="2" v="195"/>
    </bk>
    <bk>
      <rc t="2" v="196"/>
    </bk>
    <bk>
      <rc t="2" v="197"/>
    </bk>
    <bk>
      <rc t="2" v="198"/>
    </bk>
    <bk>
      <rc t="2" v="199"/>
    </bk>
    <bk>
      <rc t="2" v="200"/>
    </bk>
    <bk>
      <rc t="2" v="201"/>
    </bk>
    <bk>
      <rc t="2" v="202"/>
    </bk>
    <bk>
      <rc t="2" v="203"/>
    </bk>
    <bk>
      <rc t="2" v="204"/>
    </bk>
    <bk>
      <rc t="2" v="205"/>
    </bk>
    <bk>
      <rc t="2" v="206"/>
    </bk>
    <bk>
      <rc t="2" v="207"/>
    </bk>
    <bk>
      <rc t="2" v="208"/>
    </bk>
    <bk>
      <rc t="2" v="209"/>
    </bk>
    <bk>
      <rc t="2" v="210"/>
    </bk>
    <bk>
      <rc t="2" v="211"/>
    </bk>
    <bk>
      <rc t="2" v="212"/>
    </bk>
    <bk>
      <rc t="2" v="213"/>
    </bk>
    <bk>
      <rc t="2" v="214"/>
    </bk>
    <bk>
      <rc t="2" v="215"/>
    </bk>
    <bk>
      <rc t="2" v="216"/>
    </bk>
    <bk>
      <rc t="2" v="217"/>
    </bk>
    <bk>
      <rc t="2" v="218"/>
    </bk>
    <bk>
      <rc t="2" v="219"/>
    </bk>
    <bk>
      <rc t="2" v="220"/>
    </bk>
    <bk>
      <rc t="2" v="221"/>
    </bk>
    <bk>
      <rc t="2" v="222"/>
    </bk>
    <bk>
      <rc t="2" v="223"/>
    </bk>
    <bk>
      <rc t="2" v="224"/>
    </bk>
    <bk>
      <rc t="2" v="225"/>
    </bk>
    <bk>
      <rc t="2" v="226"/>
    </bk>
    <bk>
      <rc t="2" v="227"/>
    </bk>
    <bk>
      <rc t="2" v="228"/>
    </bk>
    <bk>
      <rc t="2" v="229"/>
    </bk>
    <bk>
      <rc t="2" v="230"/>
    </bk>
    <bk>
      <rc t="2" v="231"/>
    </bk>
    <bk>
      <rc t="2" v="232"/>
    </bk>
    <bk>
      <rc t="2" v="233"/>
    </bk>
    <bk>
      <rc t="2" v="234"/>
    </bk>
    <bk>
      <rc t="2" v="235"/>
    </bk>
    <bk>
      <rc t="2" v="236"/>
    </bk>
    <bk>
      <rc t="2" v="237"/>
    </bk>
    <bk>
      <rc t="2" v="238"/>
    </bk>
    <bk>
      <rc t="2" v="239"/>
    </bk>
    <bk>
      <rc t="2" v="240"/>
    </bk>
    <bk>
      <rc t="2" v="241"/>
    </bk>
    <bk>
      <rc t="2" v="242"/>
    </bk>
    <bk>
      <rc t="2" v="243"/>
    </bk>
    <bk>
      <rc t="2" v="244"/>
    </bk>
    <bk>
      <rc t="2" v="245"/>
    </bk>
    <bk>
      <rc t="2" v="246"/>
    </bk>
    <bk>
      <rc t="2" v="247"/>
    </bk>
    <bk>
      <rc t="2" v="248"/>
    </bk>
    <bk>
      <rc t="2" v="249"/>
    </bk>
    <bk>
      <rc t="2" v="250"/>
    </bk>
    <bk>
      <rc t="2" v="251"/>
    </bk>
    <bk>
      <rc t="2" v="252"/>
    </bk>
    <bk>
      <rc t="2" v="253"/>
    </bk>
    <bk>
      <rc t="2" v="254"/>
    </bk>
    <bk>
      <rc t="2" v="255"/>
    </bk>
    <bk>
      <rc t="2" v="256"/>
    </bk>
    <bk>
      <rc t="2" v="257"/>
    </bk>
    <bk>
      <rc t="2" v="258"/>
    </bk>
    <bk>
      <rc t="2" v="259"/>
    </bk>
    <bk>
      <rc t="2" v="260"/>
    </bk>
    <bk>
      <rc t="2" v="261"/>
    </bk>
    <bk>
      <rc t="2" v="262"/>
    </bk>
    <bk>
      <rc t="2" v="263"/>
    </bk>
    <bk>
      <rc t="2" v="264"/>
    </bk>
    <bk>
      <rc t="2" v="265"/>
    </bk>
    <bk>
      <rc t="2" v="266"/>
    </bk>
    <bk>
      <rc t="2" v="267"/>
    </bk>
    <bk>
      <rc t="2" v="268"/>
    </bk>
    <bk>
      <rc t="2" v="269"/>
    </bk>
    <bk>
      <rc t="2" v="270"/>
    </bk>
    <bk>
      <rc t="2" v="271"/>
    </bk>
    <bk>
      <rc t="2" v="272"/>
    </bk>
    <bk>
      <rc t="2" v="273"/>
    </bk>
    <bk>
      <rc t="2" v="274"/>
    </bk>
    <bk>
      <rc t="2" v="275"/>
    </bk>
    <bk>
      <rc t="2" v="276"/>
    </bk>
    <bk>
      <rc t="2" v="277"/>
    </bk>
    <bk>
      <rc t="2" v="278"/>
    </bk>
    <bk>
      <rc t="2" v="279"/>
    </bk>
    <bk>
      <rc t="2" v="280"/>
    </bk>
    <bk>
      <rc t="2" v="281"/>
    </bk>
    <bk>
      <rc t="2" v="282"/>
    </bk>
    <bk>
      <rc t="2" v="283"/>
    </bk>
    <bk>
      <rc t="2" v="284"/>
    </bk>
    <bk>
      <rc t="2" v="285"/>
    </bk>
    <bk>
      <rc t="2" v="286"/>
    </bk>
    <bk>
      <rc t="2" v="287"/>
    </bk>
    <bk>
      <rc t="2" v="288"/>
    </bk>
    <bk>
      <rc t="2" v="289"/>
    </bk>
    <bk>
      <rc t="2" v="290"/>
    </bk>
    <bk>
      <rc t="2" v="291"/>
    </bk>
    <bk>
      <rc t="2" v="292"/>
    </bk>
    <bk>
      <rc t="2" v="293"/>
    </bk>
    <bk>
      <rc t="2" v="294"/>
    </bk>
    <bk>
      <rc t="2" v="295"/>
    </bk>
    <bk>
      <rc t="2" v="296"/>
    </bk>
    <bk>
      <rc t="2" v="297"/>
    </bk>
    <bk>
      <rc t="2" v="298"/>
    </bk>
    <bk>
      <rc t="2" v="299"/>
    </bk>
    <bk>
      <rc t="2" v="300"/>
    </bk>
    <bk>
      <rc t="2" v="301"/>
    </bk>
    <bk>
      <rc t="2" v="302"/>
    </bk>
    <bk>
      <rc t="2" v="303"/>
    </bk>
    <bk>
      <rc t="2" v="304"/>
    </bk>
    <bk>
      <rc t="2" v="305"/>
    </bk>
    <bk>
      <rc t="2" v="306"/>
    </bk>
    <bk>
      <rc t="2" v="307"/>
    </bk>
    <bk>
      <rc t="2" v="308"/>
    </bk>
    <bk>
      <rc t="2" v="309"/>
    </bk>
    <bk>
      <rc t="2" v="310"/>
    </bk>
    <bk>
      <rc t="2" v="311"/>
    </bk>
    <bk>
      <rc t="2" v="312"/>
    </bk>
    <bk>
      <rc t="2" v="313"/>
    </bk>
    <bk>
      <rc t="2" v="314"/>
    </bk>
    <bk>
      <rc t="2" v="315"/>
    </bk>
    <bk>
      <rc t="2" v="316"/>
    </bk>
    <bk>
      <rc t="2" v="317"/>
    </bk>
    <bk>
      <rc t="2" v="318"/>
    </bk>
    <bk>
      <rc t="2" v="319"/>
    </bk>
    <bk>
      <rc t="2" v="320"/>
    </bk>
    <bk>
      <rc t="2" v="321"/>
    </bk>
    <bk>
      <rc t="2" v="322"/>
    </bk>
    <bk>
      <rc t="2" v="323"/>
    </bk>
    <bk>
      <rc t="2" v="324"/>
    </bk>
    <bk>
      <rc t="2" v="325"/>
    </bk>
    <bk>
      <rc t="2" v="326"/>
    </bk>
    <bk>
      <rc t="2" v="327"/>
    </bk>
    <bk>
      <rc t="2" v="328"/>
    </bk>
    <bk>
      <rc t="2" v="329"/>
    </bk>
    <bk>
      <rc t="2" v="330"/>
    </bk>
    <bk>
      <rc t="2" v="331"/>
    </bk>
    <bk>
      <rc t="2" v="332"/>
    </bk>
    <bk>
      <rc t="2" v="333"/>
    </bk>
    <bk>
      <rc t="2" v="334"/>
    </bk>
    <bk>
      <rc t="2" v="335"/>
    </bk>
    <bk>
      <rc t="2" v="336"/>
    </bk>
    <bk>
      <rc t="2" v="337"/>
    </bk>
    <bk>
      <rc t="2" v="338"/>
    </bk>
    <bk>
      <rc t="2" v="339"/>
    </bk>
    <bk>
      <rc t="2" v="340"/>
    </bk>
    <bk>
      <rc t="2" v="341"/>
    </bk>
    <bk>
      <rc t="2" v="342"/>
    </bk>
    <bk>
      <rc t="2" v="343"/>
    </bk>
    <bk>
      <rc t="2" v="344"/>
    </bk>
    <bk>
      <rc t="2" v="345"/>
    </bk>
    <bk>
      <rc t="2" v="346"/>
    </bk>
    <bk>
      <rc t="2" v="347"/>
    </bk>
    <bk>
      <rc t="2" v="348"/>
    </bk>
    <bk>
      <rc t="2" v="349"/>
    </bk>
    <bk>
      <rc t="2" v="350"/>
    </bk>
    <bk>
      <rc t="2" v="351"/>
    </bk>
    <bk>
      <rc t="2" v="352"/>
    </bk>
    <bk>
      <rc t="2" v="353"/>
    </bk>
    <bk>
      <rc t="2" v="354"/>
    </bk>
    <bk>
      <rc t="2" v="355"/>
    </bk>
    <bk>
      <rc t="2" v="356"/>
    </bk>
    <bk>
      <rc t="2" v="357"/>
    </bk>
    <bk>
      <rc t="2" v="358"/>
    </bk>
    <bk>
      <rc t="2" v="359"/>
    </bk>
    <bk>
      <rc t="2" v="360"/>
    </bk>
    <bk>
      <rc t="2" v="361"/>
    </bk>
    <bk>
      <rc t="2" v="362"/>
    </bk>
    <bk>
      <rc t="2" v="363"/>
    </bk>
    <bk>
      <rc t="2" v="364"/>
    </bk>
    <bk>
      <rc t="2" v="365"/>
    </bk>
    <bk>
      <rc t="2" v="366"/>
    </bk>
    <bk>
      <rc t="2" v="367"/>
    </bk>
    <bk>
      <rc t="2" v="368"/>
    </bk>
    <bk>
      <rc t="2" v="369"/>
    </bk>
    <bk>
      <rc t="2" v="370"/>
    </bk>
    <bk>
      <rc t="2" v="371"/>
    </bk>
    <bk>
      <rc t="2" v="372"/>
    </bk>
    <bk>
      <rc t="2" v="373"/>
    </bk>
    <bk>
      <rc t="2" v="374"/>
    </bk>
    <bk>
      <rc t="2" v="375"/>
    </bk>
    <bk>
      <rc t="2" v="376"/>
    </bk>
    <bk>
      <rc t="2" v="377"/>
    </bk>
    <bk>
      <rc t="2" v="378"/>
    </bk>
    <bk>
      <rc t="2" v="379"/>
    </bk>
    <bk>
      <rc t="2" v="380"/>
    </bk>
    <bk>
      <rc t="2" v="381"/>
    </bk>
    <bk>
      <rc t="2" v="382"/>
    </bk>
    <bk>
      <rc t="2" v="383"/>
    </bk>
    <bk>
      <rc t="2" v="384"/>
    </bk>
    <bk>
      <rc t="2" v="385"/>
    </bk>
    <bk>
      <rc t="2" v="386"/>
    </bk>
    <bk>
      <rc t="2" v="387"/>
    </bk>
    <bk>
      <rc t="2" v="388"/>
    </bk>
    <bk>
      <rc t="2" v="389"/>
    </bk>
    <bk>
      <rc t="2" v="390"/>
    </bk>
    <bk>
      <rc t="2" v="391"/>
    </bk>
    <bk>
      <rc t="2" v="392"/>
    </bk>
    <bk>
      <rc t="2" v="393"/>
    </bk>
    <bk>
      <rc t="2" v="394"/>
    </bk>
    <bk>
      <rc t="2" v="395"/>
    </bk>
    <bk>
      <rc t="2" v="396"/>
    </bk>
    <bk>
      <rc t="2" v="397"/>
    </bk>
    <bk>
      <rc t="2" v="398"/>
    </bk>
    <bk>
      <rc t="2" v="399"/>
    </bk>
    <bk>
      <rc t="2" v="400"/>
    </bk>
    <bk>
      <rc t="2" v="401"/>
    </bk>
    <bk>
      <rc t="2" v="402"/>
    </bk>
    <bk>
      <rc t="2" v="403"/>
    </bk>
    <bk>
      <rc t="2" v="404"/>
    </bk>
    <bk>
      <rc t="2" v="405"/>
    </bk>
    <bk>
      <rc t="2" v="406"/>
    </bk>
    <bk>
      <rc t="2" v="407"/>
    </bk>
    <bk>
      <rc t="2" v="408"/>
    </bk>
    <bk>
      <rc t="2" v="409"/>
    </bk>
    <bk>
      <rc t="2" v="410"/>
    </bk>
    <bk>
      <rc t="2" v="411"/>
    </bk>
    <bk>
      <rc t="2" v="412"/>
    </bk>
    <bk>
      <rc t="2" v="413"/>
    </bk>
    <bk>
      <rc t="2" v="414"/>
    </bk>
    <bk>
      <rc t="2" v="415"/>
    </bk>
    <bk>
      <rc t="2" v="416"/>
    </bk>
    <bk>
      <rc t="2" v="417"/>
    </bk>
    <bk>
      <rc t="2" v="418"/>
    </bk>
    <bk>
      <rc t="2" v="419"/>
    </bk>
    <bk>
      <rc t="2" v="420"/>
    </bk>
    <bk>
      <rc t="2" v="421"/>
    </bk>
    <bk>
      <rc t="2" v="422"/>
    </bk>
    <bk>
      <rc t="2" v="423"/>
    </bk>
    <bk>
      <rc t="2" v="424"/>
    </bk>
    <bk>
      <rc t="2" v="425"/>
    </bk>
    <bk>
      <rc t="2" v="426"/>
    </bk>
    <bk>
      <rc t="2" v="427"/>
    </bk>
    <bk>
      <rc t="2" v="428"/>
    </bk>
    <bk>
      <rc t="2" v="429"/>
    </bk>
    <bk>
      <rc t="2" v="430"/>
    </bk>
    <bk>
      <rc t="2" v="431"/>
    </bk>
    <bk>
      <rc t="2" v="432"/>
    </bk>
    <bk>
      <rc t="2" v="433"/>
    </bk>
    <bk>
      <rc t="2" v="434"/>
    </bk>
    <bk>
      <rc t="2" v="435"/>
    </bk>
    <bk>
      <rc t="2" v="436"/>
    </bk>
    <bk>
      <rc t="2" v="437"/>
    </bk>
    <bk>
      <rc t="2" v="438"/>
    </bk>
    <bk>
      <rc t="2" v="439"/>
    </bk>
    <bk>
      <rc t="2" v="440"/>
    </bk>
    <bk>
      <rc t="2" v="441"/>
    </bk>
    <bk>
      <rc t="2" v="442"/>
    </bk>
    <bk>
      <rc t="2" v="443"/>
    </bk>
    <bk>
      <rc t="2" v="444"/>
    </bk>
    <bk>
      <rc t="2" v="445"/>
    </bk>
    <bk>
      <rc t="2" v="446"/>
    </bk>
    <bk>
      <rc t="2" v="447"/>
    </bk>
    <bk>
      <rc t="2" v="448"/>
    </bk>
    <bk>
      <rc t="2" v="449"/>
    </bk>
    <bk>
      <rc t="2" v="450"/>
    </bk>
    <bk>
      <rc t="2" v="451"/>
    </bk>
    <bk>
      <rc t="2" v="452"/>
    </bk>
    <bk>
      <rc t="2" v="453"/>
    </bk>
    <bk>
      <rc t="2" v="454"/>
    </bk>
    <bk>
      <rc t="2" v="455"/>
    </bk>
    <bk>
      <rc t="2" v="456"/>
    </bk>
    <bk>
      <rc t="2" v="457"/>
    </bk>
    <bk>
      <rc t="2" v="458"/>
    </bk>
    <bk>
      <rc t="2" v="459"/>
    </bk>
    <bk>
      <rc t="2" v="460"/>
    </bk>
    <bk>
      <rc t="2" v="461"/>
    </bk>
    <bk>
      <rc t="2" v="462"/>
    </bk>
    <bk>
      <rc t="2" v="463"/>
    </bk>
    <bk>
      <rc t="2" v="464"/>
    </bk>
    <bk>
      <rc t="2" v="465"/>
    </bk>
    <bk>
      <rc t="2" v="466"/>
    </bk>
    <bk>
      <rc t="2" v="467"/>
    </bk>
    <bk>
      <rc t="2" v="468"/>
    </bk>
    <bk>
      <rc t="2" v="469"/>
    </bk>
    <bk>
      <rc t="2" v="470"/>
    </bk>
    <bk>
      <rc t="2" v="471"/>
    </bk>
    <bk>
      <rc t="2" v="472"/>
    </bk>
    <bk>
      <rc t="2" v="473"/>
    </bk>
    <bk>
      <rc t="2" v="474"/>
    </bk>
    <bk>
      <rc t="2" v="475"/>
    </bk>
    <bk>
      <rc t="2" v="476"/>
    </bk>
    <bk>
      <rc t="2" v="477"/>
    </bk>
    <bk>
      <rc t="2" v="478"/>
    </bk>
    <bk>
      <rc t="2" v="479"/>
    </bk>
    <bk>
      <rc t="2" v="480"/>
    </bk>
    <bk>
      <rc t="2" v="481"/>
    </bk>
    <bk>
      <rc t="2" v="482"/>
    </bk>
    <bk>
      <rc t="2" v="483"/>
    </bk>
    <bk>
      <rc t="2" v="484"/>
    </bk>
    <bk>
      <rc t="2" v="485"/>
    </bk>
    <bk>
      <rc t="2" v="486"/>
    </bk>
    <bk>
      <rc t="2" v="487"/>
    </bk>
    <bk>
      <rc t="2" v="488"/>
    </bk>
    <bk>
      <rc t="2" v="489"/>
    </bk>
    <bk>
      <rc t="2" v="490"/>
    </bk>
    <bk>
      <rc t="2" v="491"/>
    </bk>
    <bk>
      <rc t="2" v="492"/>
    </bk>
    <bk>
      <rc t="2" v="493"/>
    </bk>
    <bk>
      <rc t="2" v="494"/>
    </bk>
    <bk>
      <rc t="2" v="495"/>
    </bk>
    <bk>
      <rc t="2" v="496"/>
    </bk>
    <bk>
      <rc t="2" v="497"/>
    </bk>
    <bk>
      <rc t="2" v="498"/>
    </bk>
    <bk>
      <rc t="2" v="499"/>
    </bk>
    <bk>
      <rc t="2" v="500"/>
    </bk>
    <bk>
      <rc t="2" v="501"/>
    </bk>
    <bk>
      <rc t="2" v="502"/>
    </bk>
    <bk>
      <rc t="2" v="503"/>
    </bk>
    <bk>
      <rc t="2" v="504"/>
    </bk>
    <bk>
      <rc t="2" v="505"/>
    </bk>
    <bk>
      <rc t="2" v="506"/>
    </bk>
    <bk>
      <rc t="2" v="507"/>
    </bk>
    <bk>
      <rc t="2" v="508"/>
    </bk>
    <bk>
      <rc t="2" v="509"/>
    </bk>
    <bk>
      <rc t="2" v="510"/>
    </bk>
    <bk>
      <rc t="2" v="511"/>
    </bk>
    <bk>
      <rc t="2" v="512"/>
    </bk>
    <bk>
      <rc t="2" v="513"/>
    </bk>
    <bk>
      <rc t="2" v="514"/>
    </bk>
    <bk>
      <rc t="2" v="515"/>
    </bk>
    <bk>
      <rc t="2" v="516"/>
    </bk>
    <bk>
      <rc t="2" v="517"/>
    </bk>
    <bk>
      <rc t="2" v="518"/>
    </bk>
    <bk>
      <rc t="2" v="519"/>
    </bk>
    <bk>
      <rc t="2" v="520"/>
    </bk>
    <bk>
      <rc t="2" v="521"/>
    </bk>
    <bk>
      <rc t="2" v="522"/>
    </bk>
    <bk>
      <rc t="2" v="523"/>
    </bk>
    <bk>
      <rc t="2" v="524"/>
    </bk>
    <bk>
      <rc t="2" v="525"/>
    </bk>
    <bk>
      <rc t="2" v="526"/>
    </bk>
    <bk>
      <rc t="2" v="527"/>
    </bk>
    <bk>
      <rc t="2" v="528"/>
    </bk>
    <bk>
      <rc t="2" v="529"/>
    </bk>
    <bk>
      <rc t="2" v="530"/>
    </bk>
    <bk>
      <rc t="2" v="531"/>
    </bk>
    <bk>
      <rc t="2" v="532"/>
    </bk>
    <bk>
      <rc t="2" v="533"/>
    </bk>
    <bk>
      <rc t="2" v="534"/>
    </bk>
    <bk>
      <rc t="2" v="535"/>
    </bk>
    <bk>
      <rc t="2" v="536"/>
    </bk>
    <bk>
      <rc t="2" v="537"/>
    </bk>
    <bk>
      <rc t="2" v="538"/>
    </bk>
    <bk>
      <rc t="2" v="539"/>
    </bk>
    <bk>
      <rc t="2" v="540"/>
    </bk>
    <bk>
      <rc t="2" v="541"/>
    </bk>
    <bk>
      <rc t="2" v="542"/>
    </bk>
    <bk>
      <rc t="2" v="543"/>
    </bk>
    <bk>
      <rc t="2" v="544"/>
    </bk>
    <bk>
      <rc t="2" v="545"/>
    </bk>
    <bk>
      <rc t="2" v="546"/>
    </bk>
    <bk>
      <rc t="2" v="547"/>
    </bk>
    <bk>
      <rc t="2" v="548"/>
    </bk>
    <bk>
      <rc t="2" v="549"/>
    </bk>
    <bk>
      <rc t="2" v="550"/>
    </bk>
    <bk>
      <rc t="2" v="551"/>
    </bk>
    <bk>
      <rc t="2" v="552"/>
    </bk>
    <bk>
      <rc t="2" v="553"/>
    </bk>
    <bk>
      <rc t="2" v="554"/>
    </bk>
    <bk>
      <rc t="2" v="555"/>
    </bk>
    <bk>
      <rc t="2" v="556"/>
    </bk>
    <bk>
      <rc t="2" v="557"/>
    </bk>
    <bk>
      <rc t="2" v="558"/>
    </bk>
    <bk>
      <rc t="2" v="559"/>
    </bk>
    <bk>
      <rc t="2" v="560"/>
    </bk>
    <bk>
      <rc t="2" v="561"/>
    </bk>
    <bk>
      <rc t="2" v="562"/>
    </bk>
    <bk>
      <rc t="2" v="563"/>
    </bk>
    <bk>
      <rc t="2" v="564"/>
    </bk>
    <bk>
      <rc t="2" v="565"/>
    </bk>
    <bk>
      <rc t="2" v="566"/>
    </bk>
    <bk>
      <rc t="2" v="567"/>
    </bk>
    <bk>
      <rc t="2" v="568"/>
    </bk>
    <bk>
      <rc t="2" v="569"/>
    </bk>
    <bk>
      <rc t="2" v="570"/>
    </bk>
    <bk>
      <rc t="2" v="571"/>
    </bk>
    <bk>
      <rc t="2" v="572"/>
    </bk>
    <bk>
      <rc t="2" v="573"/>
    </bk>
    <bk>
      <rc t="2" v="574"/>
    </bk>
    <bk>
      <rc t="2" v="575"/>
    </bk>
    <bk>
      <rc t="2" v="576"/>
    </bk>
    <bk>
      <rc t="2" v="577"/>
    </bk>
    <bk>
      <rc t="2" v="578"/>
    </bk>
    <bk>
      <rc t="2" v="579"/>
    </bk>
    <bk>
      <rc t="2" v="580"/>
    </bk>
    <bk>
      <rc t="2" v="581"/>
    </bk>
    <bk>
      <rc t="2" v="582"/>
    </bk>
    <bk>
      <rc t="2" v="583"/>
    </bk>
    <bk>
      <rc t="2" v="584"/>
    </bk>
    <bk>
      <rc t="2" v="585"/>
    </bk>
    <bk>
      <rc t="2" v="586"/>
    </bk>
    <bk>
      <rc t="2" v="587"/>
    </bk>
    <bk>
      <rc t="2" v="588"/>
    </bk>
    <bk>
      <rc t="2" v="589"/>
    </bk>
    <bk>
      <rc t="2" v="590"/>
    </bk>
    <bk>
      <rc t="2" v="591"/>
    </bk>
    <bk>
      <rc t="2" v="592"/>
    </bk>
    <bk>
      <rc t="2" v="593"/>
    </bk>
    <bk>
      <rc t="2" v="594"/>
    </bk>
    <bk>
      <rc t="2" v="595"/>
    </bk>
    <bk>
      <rc t="2" v="596"/>
    </bk>
    <bk>
      <rc t="2" v="597"/>
    </bk>
    <bk>
      <rc t="2" v="598"/>
    </bk>
    <bk>
      <rc t="2" v="599"/>
    </bk>
    <bk>
      <rc t="2" v="600"/>
    </bk>
    <bk>
      <rc t="2" v="601"/>
    </bk>
    <bk>
      <rc t="2" v="602"/>
    </bk>
    <bk>
      <rc t="2" v="603"/>
    </bk>
    <bk>
      <rc t="2" v="604"/>
    </bk>
    <bk>
      <rc t="2" v="605"/>
    </bk>
    <bk>
      <rc t="2" v="606"/>
    </bk>
    <bk>
      <rc t="2" v="607"/>
    </bk>
    <bk>
      <rc t="2" v="608"/>
    </bk>
    <bk>
      <rc t="2" v="609"/>
    </bk>
    <bk>
      <rc t="2" v="610"/>
    </bk>
    <bk>
      <rc t="2" v="611"/>
    </bk>
    <bk>
      <rc t="2" v="612"/>
    </bk>
    <bk>
      <rc t="2" v="613"/>
    </bk>
    <bk>
      <rc t="2" v="614"/>
    </bk>
    <bk>
      <rc t="2" v="615"/>
    </bk>
    <bk>
      <rc t="2" v="616"/>
    </bk>
    <bk>
      <rc t="2" v="617"/>
    </bk>
    <bk>
      <rc t="2" v="618"/>
    </bk>
    <bk>
      <rc t="2" v="619"/>
    </bk>
    <bk>
      <rc t="2" v="620"/>
    </bk>
    <bk>
      <rc t="2" v="621"/>
    </bk>
    <bk>
      <rc t="2" v="622"/>
    </bk>
    <bk>
      <rc t="2" v="623"/>
    </bk>
    <bk>
      <rc t="2" v="624"/>
    </bk>
    <bk>
      <rc t="2" v="625"/>
    </bk>
    <bk>
      <rc t="2" v="626"/>
    </bk>
    <bk>
      <rc t="2" v="627"/>
    </bk>
    <bk>
      <rc t="2" v="628"/>
    </bk>
    <bk>
      <rc t="2" v="629"/>
    </bk>
    <bk>
      <rc t="2" v="630"/>
    </bk>
    <bk>
      <rc t="2" v="631"/>
    </bk>
    <bk>
      <rc t="2" v="632"/>
    </bk>
    <bk>
      <rc t="2" v="633"/>
    </bk>
    <bk>
      <rc t="2" v="634"/>
    </bk>
    <bk>
      <rc t="2" v="635"/>
    </bk>
    <bk>
      <rc t="2" v="636"/>
    </bk>
    <bk>
      <rc t="2" v="637"/>
    </bk>
    <bk>
      <rc t="2" v="638"/>
    </bk>
    <bk>
      <rc t="2" v="639"/>
    </bk>
    <bk>
      <rc t="2" v="640"/>
    </bk>
    <bk>
      <rc t="2" v="641"/>
    </bk>
    <bk>
      <rc t="2" v="642"/>
    </bk>
    <bk>
      <rc t="2" v="643"/>
    </bk>
    <bk>
      <rc t="2" v="644"/>
    </bk>
    <bk>
      <rc t="2" v="645"/>
    </bk>
    <bk>
      <rc t="2" v="646"/>
    </bk>
    <bk>
      <rc t="2" v="647"/>
    </bk>
    <bk>
      <rc t="2" v="648"/>
    </bk>
    <bk>
      <rc t="2" v="649"/>
    </bk>
    <bk>
      <rc t="2" v="650"/>
    </bk>
    <bk>
      <rc t="2" v="651"/>
    </bk>
    <bk>
      <rc t="2" v="652"/>
    </bk>
    <bk>
      <rc t="2" v="653"/>
    </bk>
    <bk>
      <rc t="2" v="654"/>
    </bk>
    <bk>
      <rc t="2" v="655"/>
    </bk>
    <bk>
      <rc t="2" v="656"/>
    </bk>
    <bk>
      <rc t="2" v="657"/>
    </bk>
    <bk>
      <rc t="2" v="658"/>
    </bk>
    <bk>
      <rc t="2" v="659"/>
    </bk>
    <bk>
      <rc t="2" v="660"/>
    </bk>
    <bk>
      <rc t="2" v="661"/>
    </bk>
    <bk>
      <rc t="2" v="662"/>
    </bk>
    <bk>
      <rc t="2" v="663"/>
    </bk>
    <bk>
      <rc t="2" v="664"/>
    </bk>
    <bk>
      <rc t="2" v="665"/>
    </bk>
    <bk>
      <rc t="2" v="666"/>
    </bk>
    <bk>
      <rc t="2" v="667"/>
    </bk>
    <bk>
      <rc t="2" v="668"/>
    </bk>
    <bk>
      <rc t="2" v="669"/>
    </bk>
    <bk>
      <rc t="2" v="670"/>
    </bk>
    <bk>
      <rc t="2" v="671"/>
    </bk>
    <bk>
      <rc t="2" v="672"/>
    </bk>
    <bk>
      <rc t="2" v="673"/>
    </bk>
    <bk>
      <rc t="2" v="674"/>
    </bk>
    <bk>
      <rc t="2" v="675"/>
    </bk>
    <bk>
      <rc t="2" v="676"/>
    </bk>
    <bk>
      <rc t="2" v="677"/>
    </bk>
    <bk>
      <rc t="2" v="678"/>
    </bk>
    <bk>
      <rc t="2" v="679"/>
    </bk>
    <bk>
      <rc t="2" v="680"/>
    </bk>
    <bk>
      <rc t="2" v="681"/>
    </bk>
    <bk>
      <rc t="2" v="682"/>
    </bk>
    <bk>
      <rc t="2" v="683"/>
    </bk>
    <bk>
      <rc t="2" v="684"/>
    </bk>
    <bk>
      <rc t="2" v="685"/>
    </bk>
    <bk>
      <rc t="2" v="686"/>
    </bk>
    <bk>
      <rc t="2" v="687"/>
    </bk>
    <bk>
      <rc t="2" v="688"/>
    </bk>
    <bk>
      <rc t="2" v="689"/>
    </bk>
    <bk>
      <rc t="2" v="690"/>
    </bk>
    <bk>
      <rc t="2" v="691"/>
    </bk>
    <bk>
      <rc t="2" v="692"/>
    </bk>
    <bk>
      <rc t="2" v="693"/>
    </bk>
    <bk>
      <rc t="2" v="694"/>
    </bk>
    <bk>
      <rc t="2" v="695"/>
    </bk>
    <bk>
      <rc t="2" v="696"/>
    </bk>
    <bk>
      <rc t="2" v="697"/>
    </bk>
    <bk>
      <rc t="2" v="698"/>
    </bk>
    <bk>
      <rc t="2" v="699"/>
    </bk>
    <bk>
      <rc t="2" v="700"/>
    </bk>
    <bk>
      <rc t="2" v="701"/>
    </bk>
    <bk>
      <rc t="2" v="702"/>
    </bk>
    <bk>
      <rc t="2" v="703"/>
    </bk>
    <bk>
      <rc t="2" v="704"/>
    </bk>
    <bk>
      <rc t="2" v="705"/>
    </bk>
    <bk>
      <rc t="2" v="706"/>
    </bk>
    <bk>
      <rc t="2" v="707"/>
    </bk>
    <bk>
      <rc t="2" v="708"/>
    </bk>
    <bk>
      <rc t="2" v="709"/>
    </bk>
    <bk>
      <rc t="2" v="710"/>
    </bk>
    <bk>
      <rc t="2" v="711"/>
    </bk>
    <bk>
      <rc t="2" v="712"/>
    </bk>
    <bk>
      <rc t="2" v="713"/>
    </bk>
    <bk>
      <rc t="2" v="714"/>
    </bk>
    <bk>
      <rc t="2" v="715"/>
    </bk>
    <bk>
      <rc t="2" v="716"/>
    </bk>
    <bk>
      <rc t="2" v="717"/>
    </bk>
    <bk>
      <rc t="2" v="718"/>
    </bk>
    <bk>
      <rc t="2" v="719"/>
    </bk>
    <bk>
      <rc t="2" v="720"/>
    </bk>
    <bk>
      <rc t="2" v="721"/>
    </bk>
    <bk>
      <rc t="2" v="722"/>
    </bk>
    <bk>
      <rc t="2" v="723"/>
    </bk>
    <bk>
      <rc t="2" v="724"/>
    </bk>
    <bk>
      <rc t="2" v="725"/>
    </bk>
    <bk>
      <rc t="2" v="726"/>
    </bk>
    <bk>
      <rc t="2" v="727"/>
    </bk>
    <bk>
      <rc t="2" v="728"/>
    </bk>
    <bk>
      <rc t="2" v="729"/>
    </bk>
    <bk>
      <rc t="2" v="730"/>
    </bk>
    <bk>
      <rc t="2" v="731"/>
    </bk>
    <bk>
      <rc t="2" v="732"/>
    </bk>
    <bk>
      <rc t="2" v="733"/>
    </bk>
    <bk>
      <rc t="2" v="734"/>
    </bk>
    <bk>
      <rc t="2" v="735"/>
    </bk>
    <bk>
      <rc t="2" v="736"/>
    </bk>
    <bk>
      <rc t="2" v="737"/>
    </bk>
    <bk>
      <rc t="2" v="738"/>
    </bk>
    <bk>
      <rc t="2" v="739"/>
    </bk>
    <bk>
      <rc t="2" v="740"/>
    </bk>
    <bk>
      <rc t="2" v="741"/>
    </bk>
    <bk>
      <rc t="2" v="742"/>
    </bk>
    <bk>
      <rc t="2" v="743"/>
    </bk>
    <bk>
      <rc t="2" v="744"/>
    </bk>
    <bk>
      <rc t="2" v="745"/>
    </bk>
    <bk>
      <rc t="2" v="746"/>
    </bk>
    <bk>
      <rc t="2" v="747"/>
    </bk>
    <bk>
      <rc t="2" v="748"/>
    </bk>
    <bk>
      <rc t="2" v="749"/>
    </bk>
    <bk>
      <rc t="2" v="750"/>
    </bk>
    <bk>
      <rc t="2" v="751"/>
    </bk>
    <bk>
      <rc t="2" v="752"/>
    </bk>
    <bk>
      <rc t="2" v="753"/>
    </bk>
    <bk>
      <rc t="2" v="754"/>
    </bk>
    <bk>
      <rc t="2" v="755"/>
    </bk>
    <bk>
      <rc t="2" v="756"/>
    </bk>
    <bk>
      <rc t="2" v="757"/>
    </bk>
    <bk>
      <rc t="2" v="758"/>
    </bk>
    <bk>
      <rc t="2" v="759"/>
    </bk>
    <bk>
      <rc t="2" v="760"/>
    </bk>
    <bk>
      <rc t="2" v="761"/>
    </bk>
    <bk>
      <rc t="2" v="762"/>
    </bk>
    <bk>
      <rc t="2" v="763"/>
    </bk>
    <bk>
      <rc t="2" v="764"/>
    </bk>
    <bk>
      <rc t="2" v="765"/>
    </bk>
    <bk>
      <rc t="2" v="766"/>
    </bk>
    <bk>
      <rc t="2" v="767"/>
    </bk>
    <bk>
      <rc t="2" v="768"/>
    </bk>
    <bk>
      <rc t="2" v="769"/>
    </bk>
    <bk>
      <rc t="2" v="770"/>
    </bk>
    <bk>
      <rc t="2" v="771"/>
    </bk>
    <bk>
      <rc t="2" v="772"/>
    </bk>
    <bk>
      <rc t="2" v="773"/>
    </bk>
    <bk>
      <rc t="2" v="774"/>
    </bk>
    <bk>
      <rc t="2" v="775"/>
    </bk>
    <bk>
      <rc t="2" v="776"/>
    </bk>
    <bk>
      <rc t="2" v="777"/>
    </bk>
    <bk>
      <rc t="2" v="778"/>
    </bk>
    <bk>
      <rc t="2" v="779"/>
    </bk>
    <bk>
      <rc t="2" v="780"/>
    </bk>
    <bk>
      <rc t="2" v="781"/>
    </bk>
    <bk>
      <rc t="2" v="782"/>
    </bk>
    <bk>
      <rc t="2" v="783"/>
    </bk>
    <bk>
      <rc t="2" v="784"/>
    </bk>
    <bk>
      <rc t="2" v="785"/>
    </bk>
    <bk>
      <rc t="2" v="786"/>
    </bk>
    <bk>
      <rc t="2" v="787"/>
    </bk>
    <bk>
      <rc t="2" v="788"/>
    </bk>
    <bk>
      <rc t="2" v="789"/>
    </bk>
    <bk>
      <rc t="2" v="790"/>
    </bk>
    <bk>
      <rc t="2" v="791"/>
    </bk>
    <bk>
      <rc t="2" v="792"/>
    </bk>
    <bk>
      <rc t="2" v="793"/>
    </bk>
    <bk>
      <rc t="2" v="794"/>
    </bk>
    <bk>
      <rc t="2" v="795"/>
    </bk>
    <bk>
      <rc t="2" v="796"/>
    </bk>
    <bk>
      <rc t="2" v="797"/>
    </bk>
    <bk>
      <rc t="2" v="798"/>
    </bk>
    <bk>
      <rc t="2" v="799"/>
    </bk>
    <bk>
      <rc t="2" v="800"/>
    </bk>
    <bk>
      <rc t="2" v="801"/>
    </bk>
    <bk>
      <rc t="2" v="802"/>
    </bk>
    <bk>
      <rc t="2" v="803"/>
    </bk>
    <bk>
      <rc t="2" v="804"/>
    </bk>
    <bk>
      <rc t="2" v="805"/>
    </bk>
    <bk>
      <rc t="2" v="806"/>
    </bk>
    <bk>
      <rc t="2" v="807"/>
    </bk>
    <bk>
      <rc t="2" v="808"/>
    </bk>
    <bk>
      <rc t="2" v="809"/>
    </bk>
    <bk>
      <rc t="2" v="810"/>
    </bk>
    <bk>
      <rc t="2" v="811"/>
    </bk>
    <bk>
      <rc t="2" v="812"/>
    </bk>
    <bk>
      <rc t="2" v="813"/>
    </bk>
    <bk>
      <rc t="2" v="814"/>
    </bk>
    <bk>
      <rc t="2" v="815"/>
    </bk>
    <bk>
      <rc t="2" v="816"/>
    </bk>
    <bk>
      <rc t="2" v="817"/>
    </bk>
    <bk>
      <rc t="2" v="818"/>
    </bk>
    <bk>
      <rc t="2" v="819"/>
    </bk>
    <bk>
      <rc t="2" v="820"/>
    </bk>
    <bk>
      <rc t="2" v="821"/>
    </bk>
    <bk>
      <rc t="2" v="822"/>
    </bk>
    <bk>
      <rc t="2" v="823"/>
    </bk>
    <bk>
      <rc t="2" v="824"/>
    </bk>
    <bk>
      <rc t="2" v="825"/>
    </bk>
    <bk>
      <rc t="2" v="826"/>
    </bk>
    <bk>
      <rc t="2" v="827"/>
    </bk>
    <bk>
      <rc t="2" v="828"/>
    </bk>
    <bk>
      <rc t="2" v="829"/>
    </bk>
    <bk>
      <rc t="2" v="830"/>
    </bk>
    <bk>
      <rc t="2" v="831"/>
    </bk>
    <bk>
      <rc t="2" v="832"/>
    </bk>
    <bk>
      <rc t="2" v="833"/>
    </bk>
    <bk>
      <rc t="2" v="834"/>
    </bk>
    <bk>
      <rc t="2" v="835"/>
    </bk>
    <bk>
      <rc t="2" v="836"/>
    </bk>
    <bk>
      <rc t="2" v="837"/>
    </bk>
    <bk>
      <rc t="2" v="838"/>
    </bk>
    <bk>
      <rc t="2" v="839"/>
    </bk>
    <bk>
      <rc t="2" v="840"/>
    </bk>
    <bk>
      <rc t="2" v="841"/>
    </bk>
    <bk>
      <rc t="2" v="842"/>
    </bk>
    <bk>
      <rc t="2" v="843"/>
    </bk>
    <bk>
      <rc t="2" v="844"/>
    </bk>
    <bk>
      <rc t="2" v="845"/>
    </bk>
    <bk>
      <rc t="2" v="846"/>
    </bk>
    <bk>
      <rc t="2" v="847"/>
    </bk>
    <bk>
      <rc t="2" v="848"/>
    </bk>
    <bk>
      <rc t="2" v="849"/>
    </bk>
    <bk>
      <rc t="2" v="850"/>
    </bk>
    <bk>
      <rc t="2" v="851"/>
    </bk>
    <bk>
      <rc t="2" v="852"/>
    </bk>
    <bk>
      <rc t="2" v="853"/>
    </bk>
    <bk>
      <rc t="2" v="854"/>
    </bk>
    <bk>
      <rc t="2" v="855"/>
    </bk>
    <bk>
      <rc t="2" v="856"/>
    </bk>
    <bk>
      <rc t="2" v="857"/>
    </bk>
    <bk>
      <rc t="2" v="858"/>
    </bk>
    <bk>
      <rc t="2" v="859"/>
    </bk>
    <bk>
      <rc t="2" v="860"/>
    </bk>
    <bk>
      <rc t="2" v="861"/>
    </bk>
    <bk>
      <rc t="2" v="862"/>
    </bk>
    <bk>
      <rc t="2" v="863"/>
    </bk>
    <bk>
      <rc t="2" v="864"/>
    </bk>
    <bk>
      <rc t="2" v="865"/>
    </bk>
    <bk>
      <rc t="2" v="866"/>
    </bk>
    <bk>
      <rc t="2" v="867"/>
    </bk>
    <bk>
      <rc t="2" v="868"/>
    </bk>
    <bk>
      <rc t="2" v="869"/>
    </bk>
    <bk>
      <rc t="2" v="870"/>
    </bk>
    <bk>
      <rc t="2" v="871"/>
    </bk>
    <bk>
      <rc t="2" v="872"/>
    </bk>
    <bk>
      <rc t="2" v="873"/>
    </bk>
    <bk>
      <rc t="2" v="874"/>
    </bk>
    <bk>
      <rc t="2" v="875"/>
    </bk>
    <bk>
      <rc t="2" v="876"/>
    </bk>
    <bk>
      <rc t="2" v="877"/>
    </bk>
    <bk>
      <rc t="2" v="878"/>
    </bk>
    <bk>
      <rc t="2" v="879"/>
    </bk>
    <bk>
      <rc t="2" v="880"/>
    </bk>
    <bk>
      <rc t="2" v="881"/>
    </bk>
    <bk>
      <rc t="2" v="882"/>
    </bk>
    <bk>
      <rc t="2" v="883"/>
    </bk>
    <bk>
      <rc t="2" v="884"/>
    </bk>
    <bk>
      <rc t="2" v="885"/>
    </bk>
    <bk>
      <rc t="2" v="886"/>
    </bk>
    <bk>
      <rc t="2" v="887"/>
    </bk>
    <bk>
      <rc t="2" v="888"/>
    </bk>
    <bk>
      <rc t="2" v="889"/>
    </bk>
    <bk>
      <rc t="2" v="890"/>
    </bk>
    <bk>
      <rc t="2" v="891"/>
    </bk>
    <bk>
      <rc t="2" v="892"/>
    </bk>
    <bk>
      <rc t="2" v="893"/>
    </bk>
    <bk>
      <rc t="2" v="894"/>
    </bk>
    <bk>
      <rc t="2" v="895"/>
    </bk>
    <bk>
      <rc t="2" v="896"/>
    </bk>
    <bk>
      <rc t="2" v="897"/>
    </bk>
    <bk>
      <rc t="2" v="898"/>
    </bk>
    <bk>
      <rc t="2" v="899"/>
    </bk>
    <bk>
      <rc t="2" v="900"/>
    </bk>
    <bk>
      <rc t="2" v="901"/>
    </bk>
    <bk>
      <rc t="2" v="902"/>
    </bk>
    <bk>
      <rc t="2" v="903"/>
    </bk>
    <bk>
      <rc t="2" v="904"/>
    </bk>
    <bk>
      <rc t="2" v="905"/>
    </bk>
    <bk>
      <rc t="2" v="906"/>
    </bk>
    <bk>
      <rc t="2" v="907"/>
    </bk>
    <bk>
      <rc t="2" v="908"/>
    </bk>
    <bk>
      <rc t="2" v="909"/>
    </bk>
    <bk>
      <rc t="2" v="910"/>
    </bk>
    <bk>
      <rc t="2" v="911"/>
    </bk>
    <bk>
      <rc t="2" v="912"/>
    </bk>
    <bk>
      <rc t="2" v="913"/>
    </bk>
    <bk>
      <rc t="2" v="914"/>
    </bk>
    <bk>
      <rc t="2" v="915"/>
    </bk>
    <bk>
      <rc t="2" v="916"/>
    </bk>
    <bk>
      <rc t="2" v="917"/>
    </bk>
    <bk>
      <rc t="2" v="918"/>
    </bk>
    <bk>
      <rc t="2" v="919"/>
    </bk>
    <bk>
      <rc t="2" v="920"/>
    </bk>
    <bk>
      <rc t="2" v="921"/>
    </bk>
    <bk>
      <rc t="2" v="922"/>
    </bk>
    <bk>
      <rc t="2" v="923"/>
    </bk>
    <bk>
      <rc t="2" v="924"/>
    </bk>
    <bk>
      <rc t="2" v="925"/>
    </bk>
    <bk>
      <rc t="2" v="926"/>
    </bk>
    <bk>
      <rc t="2" v="927"/>
    </bk>
    <bk>
      <rc t="2" v="928"/>
    </bk>
    <bk>
      <rc t="2" v="929"/>
    </bk>
    <bk>
      <rc t="2" v="930"/>
    </bk>
    <bk>
      <rc t="2" v="931"/>
    </bk>
    <bk>
      <rc t="2" v="932"/>
    </bk>
    <bk>
      <rc t="2" v="933"/>
    </bk>
    <bk>
      <rc t="2" v="934"/>
    </bk>
    <bk>
      <rc t="2" v="935"/>
    </bk>
    <bk>
      <rc t="2" v="936"/>
    </bk>
    <bk>
      <rc t="2" v="937"/>
    </bk>
    <bk>
      <rc t="2" v="938"/>
    </bk>
    <bk>
      <rc t="2" v="939"/>
    </bk>
    <bk>
      <rc t="2" v="940"/>
    </bk>
    <bk>
      <rc t="2" v="941"/>
    </bk>
    <bk>
      <rc t="2" v="942"/>
    </bk>
    <bk>
      <rc t="2" v="943"/>
    </bk>
    <bk>
      <rc t="2" v="944"/>
    </bk>
    <bk>
      <rc t="2" v="945"/>
    </bk>
    <bk>
      <rc t="2" v="946"/>
    </bk>
    <bk>
      <rc t="2" v="947"/>
    </bk>
    <bk>
      <rc t="2" v="948"/>
    </bk>
    <bk>
      <rc t="2" v="949"/>
    </bk>
    <bk>
      <rc t="2" v="950"/>
    </bk>
    <bk>
      <rc t="2" v="951"/>
    </bk>
    <bk>
      <rc t="2" v="952"/>
    </bk>
    <bk>
      <rc t="2" v="953"/>
    </bk>
    <bk>
      <rc t="2" v="954"/>
    </bk>
    <bk>
      <rc t="2" v="955"/>
    </bk>
    <bk>
      <rc t="2" v="956"/>
    </bk>
    <bk>
      <rc t="2" v="957"/>
    </bk>
    <bk>
      <rc t="2" v="958"/>
    </bk>
    <bk>
      <rc t="2" v="959"/>
    </bk>
    <bk>
      <rc t="2" v="960"/>
    </bk>
    <bk>
      <rc t="2" v="961"/>
    </bk>
    <bk>
      <rc t="2" v="962"/>
    </bk>
    <bk>
      <rc t="2" v="963"/>
    </bk>
    <bk>
      <rc t="2" v="964"/>
    </bk>
    <bk>
      <rc t="2" v="965"/>
    </bk>
    <bk>
      <rc t="2" v="966"/>
    </bk>
    <bk>
      <rc t="2" v="967"/>
    </bk>
    <bk>
      <rc t="2" v="968"/>
    </bk>
    <bk>
      <rc t="2" v="969"/>
    </bk>
    <bk>
      <rc t="2" v="970"/>
    </bk>
    <bk>
      <rc t="2" v="971"/>
    </bk>
    <bk>
      <rc t="2" v="972"/>
    </bk>
    <bk>
      <rc t="2" v="973"/>
    </bk>
    <bk>
      <rc t="2" v="974"/>
    </bk>
    <bk>
      <rc t="2" v="975"/>
    </bk>
    <bk>
      <rc t="2" v="976"/>
    </bk>
    <bk>
      <rc t="2" v="977"/>
    </bk>
    <bk>
      <rc t="2" v="978"/>
    </bk>
    <bk>
      <rc t="2" v="979"/>
    </bk>
    <bk>
      <rc t="2" v="980"/>
    </bk>
    <bk>
      <rc t="2" v="981"/>
    </bk>
    <bk>
      <rc t="2" v="982"/>
    </bk>
    <bk>
      <rc t="2" v="983"/>
    </bk>
    <bk>
      <rc t="2" v="984"/>
    </bk>
    <bk>
      <rc t="2" v="985"/>
    </bk>
    <bk>
      <rc t="2" v="986"/>
    </bk>
    <bk>
      <rc t="2" v="987"/>
    </bk>
    <bk>
      <rc t="2" v="988"/>
    </bk>
    <bk>
      <rc t="2" v="989"/>
    </bk>
    <bk>
      <rc t="2" v="990"/>
    </bk>
    <bk>
      <rc t="2" v="991"/>
    </bk>
    <bk>
      <rc t="2" v="992"/>
    </bk>
    <bk>
      <rc t="2" v="993"/>
    </bk>
    <bk>
      <rc t="2" v="994"/>
    </bk>
    <bk>
      <rc t="2" v="995"/>
    </bk>
    <bk>
      <rc t="2" v="996"/>
    </bk>
    <bk>
      <rc t="2" v="997"/>
    </bk>
    <bk>
      <rc t="2" v="998"/>
    </bk>
    <bk>
      <rc t="2" v="999"/>
    </bk>
    <bk>
      <rc t="2" v="1000"/>
    </bk>
    <bk>
      <rc t="2" v="1001"/>
    </bk>
    <bk>
      <rc t="2" v="1002"/>
    </bk>
    <bk>
      <rc t="2" v="1003"/>
    </bk>
    <bk>
      <rc t="2" v="1004"/>
    </bk>
    <bk>
      <rc t="2" v="1005"/>
    </bk>
    <bk>
      <rc t="2" v="1006"/>
    </bk>
    <bk>
      <rc t="2" v="1007"/>
    </bk>
    <bk>
      <rc t="2" v="1008"/>
    </bk>
    <bk>
      <rc t="2" v="1009"/>
    </bk>
    <bk>
      <rc t="2" v="1010"/>
    </bk>
    <bk>
      <rc t="2" v="1011"/>
    </bk>
    <bk>
      <rc t="2" v="1012"/>
    </bk>
    <bk>
      <rc t="2" v="1013"/>
    </bk>
    <bk>
      <rc t="2" v="1014"/>
    </bk>
    <bk>
      <rc t="2" v="1015"/>
    </bk>
    <bk>
      <rc t="2" v="1016"/>
    </bk>
    <bk>
      <rc t="2" v="1017"/>
    </bk>
    <bk>
      <rc t="2" v="1018"/>
    </bk>
    <bk>
      <rc t="2" v="1019"/>
    </bk>
    <bk>
      <rc t="2" v="1020"/>
    </bk>
    <bk>
      <rc t="2" v="1021"/>
    </bk>
    <bk>
      <rc t="2" v="1022"/>
    </bk>
    <bk>
      <rc t="2" v="1023"/>
    </bk>
    <bk>
      <rc t="2" v="1024"/>
    </bk>
    <bk>
      <rc t="2" v="1025"/>
    </bk>
    <bk>
      <rc t="2" v="1026"/>
    </bk>
    <bk>
      <rc t="2" v="1027"/>
    </bk>
    <bk>
      <rc t="2" v="1028"/>
    </bk>
    <bk>
      <rc t="2" v="1029"/>
    </bk>
    <bk>
      <rc t="2" v="1030"/>
    </bk>
    <bk>
      <rc t="2" v="1031"/>
    </bk>
    <bk>
      <rc t="2" v="1032"/>
    </bk>
    <bk>
      <rc t="2" v="1033"/>
    </bk>
    <bk>
      <rc t="2" v="1034"/>
    </bk>
    <bk>
      <rc t="2" v="1035"/>
    </bk>
    <bk>
      <rc t="2" v="1036"/>
    </bk>
    <bk>
      <rc t="2" v="1037"/>
    </bk>
    <bk>
      <rc t="2" v="1038"/>
    </bk>
    <bk>
      <rc t="2" v="1039"/>
    </bk>
    <bk>
      <rc t="2" v="1040"/>
    </bk>
    <bk>
      <rc t="2" v="1041"/>
    </bk>
    <bk>
      <rc t="2" v="1042"/>
    </bk>
    <bk>
      <rc t="2" v="1043"/>
    </bk>
    <bk>
      <rc t="2" v="1044"/>
    </bk>
    <bk>
      <rc t="2" v="1045"/>
    </bk>
    <bk>
      <rc t="2" v="1046"/>
    </bk>
    <bk>
      <rc t="2" v="1047"/>
    </bk>
    <bk>
      <rc t="2" v="1048"/>
    </bk>
    <bk>
      <rc t="2" v="1049"/>
    </bk>
    <bk>
      <rc t="2" v="1050"/>
    </bk>
    <bk>
      <rc t="2" v="1051"/>
    </bk>
    <bk>
      <rc t="2" v="1052"/>
    </bk>
    <bk>
      <rc t="2" v="1053"/>
    </bk>
    <bk>
      <rc t="2" v="1054"/>
    </bk>
    <bk>
      <rc t="2" v="1055"/>
    </bk>
    <bk>
      <rc t="2" v="1056"/>
    </bk>
    <bk>
      <rc t="2" v="1057"/>
    </bk>
    <bk>
      <rc t="2" v="1058"/>
    </bk>
    <bk>
      <rc t="2" v="1059"/>
    </bk>
    <bk>
      <rc t="2" v="1060"/>
    </bk>
    <bk>
      <rc t="2" v="1061"/>
    </bk>
    <bk>
      <rc t="2" v="1062"/>
    </bk>
    <bk>
      <rc t="2" v="1063"/>
    </bk>
    <bk>
      <rc t="2" v="1064"/>
    </bk>
    <bk>
      <rc t="2" v="1065"/>
    </bk>
    <bk>
      <rc t="2" v="1066"/>
    </bk>
    <bk>
      <rc t="2" v="1067"/>
    </bk>
    <bk>
      <rc t="2" v="1068"/>
    </bk>
    <bk>
      <rc t="2" v="1069"/>
    </bk>
    <bk>
      <rc t="2" v="1070"/>
    </bk>
    <bk>
      <rc t="2" v="1071"/>
    </bk>
    <bk>
      <rc t="2" v="1072"/>
    </bk>
    <bk>
      <rc t="2" v="1073"/>
    </bk>
    <bk>
      <rc t="2" v="1074"/>
    </bk>
    <bk>
      <rc t="2" v="1075"/>
    </bk>
    <bk>
      <rc t="2" v="1076"/>
    </bk>
    <bk>
      <rc t="2" v="1077"/>
    </bk>
    <bk>
      <rc t="2" v="1078"/>
    </bk>
    <bk>
      <rc t="2" v="1079"/>
    </bk>
    <bk>
      <rc t="2" v="1080"/>
    </bk>
    <bk>
      <rc t="2" v="1081"/>
    </bk>
    <bk>
      <rc t="2" v="1082"/>
    </bk>
    <bk>
      <rc t="2" v="1083"/>
    </bk>
    <bk>
      <rc t="2" v="1084"/>
    </bk>
    <bk>
      <rc t="2" v="1085"/>
    </bk>
    <bk>
      <rc t="2" v="1086"/>
    </bk>
    <bk>
      <rc t="2" v="1087"/>
    </bk>
    <bk>
      <rc t="2" v="1088"/>
    </bk>
    <bk>
      <rc t="2" v="1089"/>
    </bk>
    <bk>
      <rc t="2" v="1090"/>
    </bk>
    <bk>
      <rc t="2" v="1091"/>
    </bk>
    <bk>
      <rc t="2" v="1092"/>
    </bk>
    <bk>
      <rc t="2" v="1093"/>
    </bk>
    <bk>
      <rc t="2" v="1094"/>
    </bk>
    <bk>
      <rc t="2" v="1095"/>
    </bk>
    <bk>
      <rc t="2" v="1096"/>
    </bk>
    <bk>
      <rc t="2" v="1097"/>
    </bk>
    <bk>
      <rc t="2" v="1098"/>
    </bk>
    <bk>
      <rc t="2" v="1099"/>
    </bk>
    <bk>
      <rc t="2" v="1100"/>
    </bk>
    <bk>
      <rc t="2" v="1101"/>
    </bk>
    <bk>
      <rc t="2" v="1102"/>
    </bk>
    <bk>
      <rc t="2" v="1103"/>
    </bk>
    <bk>
      <rc t="2" v="1104"/>
    </bk>
    <bk>
      <rc t="2" v="1105"/>
    </bk>
    <bk>
      <rc t="2" v="1106"/>
    </bk>
    <bk>
      <rc t="2" v="1107"/>
    </bk>
    <bk>
      <rc t="2" v="1108"/>
    </bk>
    <bk>
      <rc t="2" v="1109"/>
    </bk>
    <bk>
      <rc t="2" v="1110"/>
    </bk>
    <bk>
      <rc t="2" v="1111"/>
    </bk>
    <bk>
      <rc t="2" v="1112"/>
    </bk>
    <bk>
      <rc t="2" v="1113"/>
    </bk>
    <bk>
      <rc t="2" v="1114"/>
    </bk>
    <bk>
      <rc t="2" v="1115"/>
    </bk>
    <bk>
      <rc t="2" v="1116"/>
    </bk>
    <bk>
      <rc t="2" v="1117"/>
    </bk>
    <bk>
      <rc t="2" v="1118"/>
    </bk>
    <bk>
      <rc t="2" v="1119"/>
    </bk>
    <bk>
      <rc t="2" v="1120"/>
    </bk>
    <bk>
      <rc t="2" v="1121"/>
    </bk>
    <bk>
      <rc t="2" v="1122"/>
    </bk>
    <bk>
      <rc t="2" v="1123"/>
    </bk>
    <bk>
      <rc t="2" v="1124"/>
    </bk>
    <bk>
      <rc t="2" v="1125"/>
    </bk>
    <bk>
      <rc t="2" v="1126"/>
    </bk>
    <bk>
      <rc t="2" v="1127"/>
    </bk>
    <bk>
      <rc t="2" v="1128"/>
    </bk>
    <bk>
      <rc t="2" v="1129"/>
    </bk>
    <bk>
      <rc t="2" v="1130"/>
    </bk>
    <bk>
      <rc t="2" v="1131"/>
    </bk>
    <bk>
      <rc t="2" v="1132"/>
    </bk>
    <bk>
      <rc t="2" v="1133"/>
    </bk>
    <bk>
      <rc t="2" v="1134"/>
    </bk>
    <bk>
      <rc t="2" v="1135"/>
    </bk>
    <bk>
      <rc t="2" v="1136"/>
    </bk>
    <bk>
      <rc t="2" v="1137"/>
    </bk>
    <bk>
      <rc t="2" v="1138"/>
    </bk>
    <bk>
      <rc t="2" v="1139"/>
    </bk>
    <bk>
      <rc t="2" v="1140"/>
    </bk>
    <bk>
      <rc t="2" v="1141"/>
    </bk>
    <bk>
      <rc t="2" v="1142"/>
    </bk>
    <bk>
      <rc t="2" v="1143"/>
    </bk>
    <bk>
      <rc t="2" v="1144"/>
    </bk>
    <bk>
      <rc t="2" v="1145"/>
    </bk>
    <bk>
      <rc t="2" v="1146"/>
    </bk>
    <bk>
      <rc t="2" v="1147"/>
    </bk>
    <bk>
      <rc t="2" v="1148"/>
    </bk>
    <bk>
      <rc t="2" v="1149"/>
    </bk>
    <bk>
      <rc t="2" v="1150"/>
    </bk>
    <bk>
      <rc t="2" v="1151"/>
    </bk>
    <bk>
      <rc t="2" v="1152"/>
    </bk>
    <bk>
      <rc t="2" v="1153"/>
    </bk>
    <bk>
      <rc t="2" v="1154"/>
    </bk>
    <bk>
      <rc t="2" v="1155"/>
    </bk>
    <bk>
      <rc t="2" v="1156"/>
    </bk>
    <bk>
      <rc t="2" v="1157"/>
    </bk>
    <bk>
      <rc t="2" v="1158"/>
    </bk>
    <bk>
      <rc t="2" v="1159"/>
    </bk>
    <bk>
      <rc t="2" v="1160"/>
    </bk>
    <bk>
      <rc t="2" v="1161"/>
    </bk>
    <bk>
      <rc t="2" v="1162"/>
    </bk>
    <bk>
      <rc t="2" v="1163"/>
    </bk>
    <bk>
      <rc t="2" v="1164"/>
    </bk>
    <bk>
      <rc t="2" v="1165"/>
    </bk>
    <bk>
      <rc t="2" v="1166"/>
    </bk>
    <bk>
      <rc t="2" v="1167"/>
    </bk>
    <bk>
      <rc t="2" v="1168"/>
    </bk>
    <bk>
      <rc t="2" v="1169"/>
    </bk>
    <bk>
      <rc t="2" v="1170"/>
    </bk>
    <bk>
      <rc t="2" v="1171"/>
    </bk>
    <bk>
      <rc t="2" v="1172"/>
    </bk>
    <bk>
      <rc t="2" v="1173"/>
    </bk>
    <bk>
      <rc t="2" v="1174"/>
    </bk>
    <bk>
      <rc t="2" v="1175"/>
    </bk>
    <bk>
      <rc t="2" v="1176"/>
    </bk>
    <bk>
      <rc t="2" v="1177"/>
    </bk>
    <bk>
      <rc t="2" v="1178"/>
    </bk>
    <bk>
      <rc t="2" v="1179"/>
    </bk>
    <bk>
      <rc t="2" v="1180"/>
    </bk>
    <bk>
      <rc t="2" v="1181"/>
    </bk>
    <bk>
      <rc t="2" v="1182"/>
    </bk>
    <bk>
      <rc t="2" v="1183"/>
    </bk>
    <bk>
      <rc t="2" v="1184"/>
    </bk>
    <bk>
      <rc t="2" v="1185"/>
    </bk>
    <bk>
      <rc t="2" v="1186"/>
    </bk>
    <bk>
      <rc t="2" v="1187"/>
    </bk>
    <bk>
      <rc t="2" v="1188"/>
    </bk>
    <bk>
      <rc t="2" v="1189"/>
    </bk>
    <bk>
      <rc t="2" v="1190"/>
    </bk>
    <bk>
      <rc t="2" v="1191"/>
    </bk>
    <bk>
      <rc t="2" v="1192"/>
    </bk>
    <bk>
      <rc t="2" v="1193"/>
    </bk>
    <bk>
      <rc t="2" v="1194"/>
    </bk>
    <bk>
      <rc t="2" v="1195"/>
    </bk>
    <bk>
      <rc t="2" v="1196"/>
    </bk>
    <bk>
      <rc t="2" v="1197"/>
    </bk>
    <bk>
      <rc t="2" v="1198"/>
    </bk>
    <bk>
      <rc t="2" v="1199"/>
    </bk>
    <bk>
      <rc t="2" v="1200"/>
    </bk>
    <bk>
      <rc t="2" v="1201"/>
    </bk>
    <bk>
      <rc t="2" v="1202"/>
    </bk>
    <bk>
      <rc t="2" v="1203"/>
    </bk>
    <bk>
      <rc t="2" v="1204"/>
    </bk>
    <bk>
      <rc t="2" v="1205"/>
    </bk>
    <bk>
      <rc t="2" v="1206"/>
    </bk>
    <bk>
      <rc t="2" v="1207"/>
    </bk>
    <bk>
      <rc t="2" v="1208"/>
    </bk>
    <bk>
      <rc t="2" v="1209"/>
    </bk>
    <bk>
      <rc t="2" v="1210"/>
    </bk>
    <bk>
      <rc t="2" v="1211"/>
    </bk>
    <bk>
      <rc t="2" v="1212"/>
    </bk>
    <bk>
      <rc t="2" v="1213"/>
    </bk>
    <bk>
      <rc t="2" v="1214"/>
    </bk>
    <bk>
      <rc t="2" v="1215"/>
    </bk>
    <bk>
      <rc t="2" v="1216"/>
    </bk>
    <bk>
      <rc t="2" v="1217"/>
    </bk>
    <bk>
      <rc t="2" v="1218"/>
    </bk>
    <bk>
      <rc t="2" v="1219"/>
    </bk>
    <bk>
      <rc t="2" v="1220"/>
    </bk>
    <bk>
      <rc t="2" v="1221"/>
    </bk>
    <bk>
      <rc t="2" v="1222"/>
    </bk>
    <bk>
      <rc t="2" v="1223"/>
    </bk>
    <bk>
      <rc t="2" v="1224"/>
    </bk>
    <bk>
      <rc t="2" v="1225"/>
    </bk>
    <bk>
      <rc t="2" v="1226"/>
    </bk>
    <bk>
      <rc t="2" v="1227"/>
    </bk>
    <bk>
      <rc t="2" v="1228"/>
    </bk>
    <bk>
      <rc t="2" v="1229"/>
    </bk>
    <bk>
      <rc t="2" v="1230"/>
    </bk>
    <bk>
      <rc t="2" v="1231"/>
    </bk>
    <bk>
      <rc t="2" v="1232"/>
    </bk>
    <bk>
      <rc t="2" v="1233"/>
    </bk>
    <bk>
      <rc t="2" v="1234"/>
    </bk>
    <bk>
      <rc t="2" v="1235"/>
    </bk>
    <bk>
      <rc t="2" v="1236"/>
    </bk>
    <bk>
      <rc t="2" v="1237"/>
    </bk>
    <bk>
      <rc t="2" v="1238"/>
    </bk>
    <bk>
      <rc t="2" v="1239"/>
    </bk>
    <bk>
      <rc t="2" v="1240"/>
    </bk>
    <bk>
      <rc t="2" v="1241"/>
    </bk>
    <bk>
      <rc t="2" v="1242"/>
    </bk>
    <bk>
      <rc t="2" v="1243"/>
    </bk>
    <bk>
      <rc t="2" v="1244"/>
    </bk>
    <bk>
      <rc t="2" v="1245"/>
    </bk>
    <bk>
      <rc t="2" v="1246"/>
    </bk>
    <bk>
      <rc t="2" v="1247"/>
    </bk>
    <bk>
      <rc t="2" v="1248"/>
    </bk>
    <bk>
      <rc t="2" v="1249"/>
    </bk>
    <bk>
      <rc t="2" v="1250"/>
    </bk>
    <bk>
      <rc t="2" v="1251"/>
    </bk>
    <bk>
      <rc t="2" v="1252"/>
    </bk>
    <bk>
      <rc t="2" v="1253"/>
    </bk>
    <bk>
      <rc t="2" v="1254"/>
    </bk>
    <bk>
      <rc t="2" v="1255"/>
    </bk>
    <bk>
      <rc t="2" v="1256"/>
    </bk>
    <bk>
      <rc t="2" v="1257"/>
    </bk>
    <bk>
      <rc t="2" v="1258"/>
    </bk>
    <bk>
      <rc t="2" v="1259"/>
    </bk>
    <bk>
      <rc t="2" v="1260"/>
    </bk>
    <bk>
      <rc t="2" v="1261"/>
    </bk>
    <bk>
      <rc t="2" v="1262"/>
    </bk>
    <bk>
      <rc t="2" v="1263"/>
    </bk>
    <bk>
      <rc t="2" v="1264"/>
    </bk>
    <bk>
      <rc t="2" v="1265"/>
    </bk>
    <bk>
      <rc t="2" v="1266"/>
    </bk>
    <bk>
      <rc t="2" v="1267"/>
    </bk>
    <bk>
      <rc t="2" v="1268"/>
    </bk>
    <bk>
      <rc t="2" v="1269"/>
    </bk>
    <bk>
      <rc t="2" v="1270"/>
    </bk>
    <bk>
      <rc t="2" v="1271"/>
    </bk>
    <bk>
      <rc t="2" v="1272"/>
    </bk>
    <bk>
      <rc t="2" v="1273"/>
    </bk>
    <bk>
      <rc t="2" v="1274"/>
    </bk>
    <bk>
      <rc t="2" v="1275"/>
    </bk>
    <bk>
      <rc t="2" v="1276"/>
    </bk>
    <bk>
      <rc t="2" v="1277"/>
    </bk>
    <bk>
      <rc t="2" v="1278"/>
    </bk>
    <bk>
      <rc t="2" v="1279"/>
    </bk>
    <bk>
      <rc t="2" v="1280"/>
    </bk>
    <bk>
      <rc t="2" v="1281"/>
    </bk>
    <bk>
      <rc t="2" v="1282"/>
    </bk>
    <bk>
      <rc t="2" v="1283"/>
    </bk>
    <bk>
      <rc t="2" v="1284"/>
    </bk>
    <bk>
      <rc t="2" v="1285"/>
    </bk>
    <bk>
      <rc t="2" v="1286"/>
    </bk>
    <bk>
      <rc t="2" v="1287"/>
    </bk>
    <bk>
      <rc t="2" v="1288"/>
    </bk>
    <bk>
      <rc t="2" v="1289"/>
    </bk>
    <bk>
      <rc t="2" v="1290"/>
    </bk>
    <bk>
      <rc t="2" v="1291"/>
    </bk>
    <bk>
      <rc t="2" v="1292"/>
    </bk>
    <bk>
      <rc t="2" v="1293"/>
    </bk>
    <bk>
      <rc t="2" v="1294"/>
    </bk>
    <bk>
      <rc t="2" v="1295"/>
    </bk>
    <bk>
      <rc t="2" v="1296"/>
    </bk>
    <bk>
      <rc t="2" v="1297"/>
    </bk>
    <bk>
      <rc t="2" v="1298"/>
    </bk>
    <bk>
      <rc t="2" v="1299"/>
    </bk>
    <bk>
      <rc t="2" v="1300"/>
    </bk>
    <bk>
      <rc t="2" v="1301"/>
    </bk>
    <bk>
      <rc t="2" v="1302"/>
    </bk>
    <bk>
      <rc t="2" v="1303"/>
    </bk>
    <bk>
      <rc t="2" v="1304"/>
    </bk>
    <bk>
      <rc t="2" v="1305"/>
    </bk>
    <bk>
      <rc t="2" v="1306"/>
    </bk>
    <bk>
      <rc t="2" v="1307"/>
    </bk>
    <bk>
      <rc t="2" v="1308"/>
    </bk>
    <bk>
      <rc t="2" v="1309"/>
    </bk>
    <bk>
      <rc t="2" v="1310"/>
    </bk>
    <bk>
      <rc t="2" v="1311"/>
    </bk>
    <bk>
      <rc t="2" v="1312"/>
    </bk>
    <bk>
      <rc t="2" v="1313"/>
    </bk>
    <bk>
      <rc t="2" v="1314"/>
    </bk>
    <bk>
      <rc t="2" v="1315"/>
    </bk>
    <bk>
      <rc t="2" v="1316"/>
    </bk>
    <bk>
      <rc t="2" v="1317"/>
    </bk>
    <bk>
      <rc t="2" v="1318"/>
    </bk>
    <bk>
      <rc t="2" v="1319"/>
    </bk>
    <bk>
      <rc t="2" v="1320"/>
    </bk>
    <bk>
      <rc t="2" v="1321"/>
    </bk>
    <bk>
      <rc t="2" v="1322"/>
    </bk>
    <bk>
      <rc t="2" v="1323"/>
    </bk>
    <bk>
      <rc t="2" v="1324"/>
    </bk>
    <bk>
      <rc t="2" v="1325"/>
    </bk>
    <bk>
      <rc t="2" v="1326"/>
    </bk>
    <bk>
      <rc t="2" v="1327"/>
    </bk>
    <bk>
      <rc t="2" v="1328"/>
    </bk>
    <bk>
      <rc t="2" v="1329"/>
    </bk>
    <bk>
      <rc t="2" v="1330"/>
    </bk>
    <bk>
      <rc t="2" v="1331"/>
    </bk>
    <bk>
      <rc t="2" v="1332"/>
    </bk>
    <bk>
      <rc t="2" v="1333"/>
    </bk>
    <bk>
      <rc t="2" v="1334"/>
    </bk>
    <bk>
      <rc t="2" v="1335"/>
    </bk>
    <bk>
      <rc t="2" v="1336"/>
    </bk>
    <bk>
      <rc t="2" v="1337"/>
    </bk>
    <bk>
      <rc t="2" v="1338"/>
    </bk>
    <bk>
      <rc t="2" v="1339"/>
    </bk>
    <bk>
      <rc t="2" v="1340"/>
    </bk>
    <bk>
      <rc t="2" v="1341"/>
    </bk>
    <bk>
      <rc t="2" v="1342"/>
    </bk>
    <bk>
      <rc t="2" v="1343"/>
    </bk>
    <bk>
      <rc t="2" v="1344"/>
    </bk>
    <bk>
      <rc t="2" v="1345"/>
    </bk>
    <bk>
      <rc t="2" v="1346"/>
    </bk>
    <bk>
      <rc t="2" v="1347"/>
    </bk>
    <bk>
      <rc t="2" v="1348"/>
    </bk>
    <bk>
      <rc t="2" v="1349"/>
    </bk>
    <bk>
      <rc t="2" v="1350"/>
    </bk>
    <bk>
      <rc t="2" v="1351"/>
    </bk>
    <bk>
      <rc t="2" v="1352"/>
    </bk>
    <bk>
      <rc t="2" v="1353"/>
    </bk>
    <bk>
      <rc t="2" v="1354"/>
    </bk>
    <bk>
      <rc t="2" v="1355"/>
    </bk>
    <bk>
      <rc t="2" v="1356"/>
    </bk>
    <bk>
      <rc t="2" v="1357"/>
    </bk>
    <bk>
      <rc t="2" v="1358"/>
    </bk>
    <bk>
      <rc t="2" v="1359"/>
    </bk>
    <bk>
      <rc t="2" v="1360"/>
    </bk>
    <bk>
      <rc t="2" v="1361"/>
    </bk>
    <bk>
      <rc t="2" v="1362"/>
    </bk>
    <bk>
      <rc t="2" v="1363"/>
    </bk>
    <bk>
      <rc t="2" v="1364"/>
    </bk>
    <bk>
      <rc t="2" v="1365"/>
    </bk>
    <bk>
      <rc t="2" v="1366"/>
    </bk>
    <bk>
      <rc t="2" v="1367"/>
    </bk>
    <bk>
      <rc t="2" v="1368"/>
    </bk>
    <bk>
      <rc t="2" v="1369"/>
    </bk>
    <bk>
      <rc t="2" v="1370"/>
    </bk>
    <bk>
      <rc t="2" v="1371"/>
    </bk>
    <bk>
      <rc t="2" v="1372"/>
    </bk>
    <bk>
      <rc t="2" v="1373"/>
    </bk>
    <bk>
      <rc t="2" v="1374"/>
    </bk>
    <bk>
      <rc t="2" v="1375"/>
    </bk>
    <bk>
      <rc t="2" v="1376"/>
    </bk>
    <bk>
      <rc t="2" v="1377"/>
    </bk>
    <bk>
      <rc t="2" v="1378"/>
    </bk>
    <bk>
      <rc t="2" v="1379"/>
    </bk>
    <bk>
      <rc t="2" v="1380"/>
    </bk>
    <bk>
      <rc t="2" v="1381"/>
    </bk>
    <bk>
      <rc t="2" v="1382"/>
    </bk>
    <bk>
      <rc t="2" v="1383"/>
    </bk>
    <bk>
      <rc t="2" v="1384"/>
    </bk>
    <bk>
      <rc t="2" v="1385"/>
    </bk>
    <bk>
      <rc t="2" v="1386"/>
    </bk>
    <bk>
      <rc t="2" v="1387"/>
    </bk>
    <bk>
      <rc t="2" v="1388"/>
    </bk>
    <bk>
      <rc t="2" v="1389"/>
    </bk>
    <bk>
      <rc t="2" v="1390"/>
    </bk>
    <bk>
      <rc t="2" v="1391"/>
    </bk>
    <bk>
      <rc t="2" v="1392"/>
    </bk>
    <bk>
      <rc t="2" v="1393"/>
    </bk>
    <bk>
      <rc t="2" v="1394"/>
    </bk>
    <bk>
      <rc t="2" v="1395"/>
    </bk>
    <bk>
      <rc t="2" v="1396"/>
    </bk>
    <bk>
      <rc t="2" v="1397"/>
    </bk>
    <bk>
      <rc t="2" v="1398"/>
    </bk>
    <bk>
      <rc t="2" v="1399"/>
    </bk>
    <bk>
      <rc t="2" v="1400"/>
    </bk>
    <bk>
      <rc t="2" v="1401"/>
    </bk>
    <bk>
      <rc t="2" v="1402"/>
    </bk>
    <bk>
      <rc t="2" v="1403"/>
    </bk>
    <bk>
      <rc t="2" v="1404"/>
    </bk>
    <bk>
      <rc t="2" v="1405"/>
    </bk>
    <bk>
      <rc t="2" v="1406"/>
    </bk>
    <bk>
      <rc t="2" v="1407"/>
    </bk>
    <bk>
      <rc t="2" v="1408"/>
    </bk>
    <bk>
      <rc t="2" v="1409"/>
    </bk>
    <bk>
      <rc t="2" v="1410"/>
    </bk>
    <bk>
      <rc t="2" v="1411"/>
    </bk>
    <bk>
      <rc t="2" v="1412"/>
    </bk>
    <bk>
      <rc t="2" v="1413"/>
    </bk>
    <bk>
      <rc t="2" v="1414"/>
    </bk>
    <bk>
      <rc t="2" v="1415"/>
    </bk>
    <bk>
      <rc t="2" v="1416"/>
    </bk>
    <bk>
      <rc t="2" v="1417"/>
    </bk>
    <bk>
      <rc t="2" v="1418"/>
    </bk>
    <bk>
      <rc t="2" v="1419"/>
    </bk>
    <bk>
      <rc t="2" v="1420"/>
    </bk>
    <bk>
      <rc t="2" v="1421"/>
    </bk>
    <bk>
      <rc t="2" v="1422"/>
    </bk>
    <bk>
      <rc t="2" v="1423"/>
    </bk>
    <bk>
      <rc t="2" v="1424"/>
    </bk>
    <bk>
      <rc t="2" v="1425"/>
    </bk>
    <bk>
      <rc t="2" v="1426"/>
    </bk>
    <bk>
      <rc t="2" v="1427"/>
    </bk>
    <bk>
      <rc t="2" v="1428"/>
    </bk>
    <bk>
      <rc t="2" v="1429"/>
    </bk>
    <bk>
      <rc t="2" v="1430"/>
    </bk>
    <bk>
      <rc t="2" v="1431"/>
    </bk>
    <bk>
      <rc t="2" v="1432"/>
    </bk>
    <bk>
      <rc t="2" v="1433"/>
    </bk>
    <bk>
      <rc t="2" v="1434"/>
    </bk>
    <bk>
      <rc t="2" v="1435"/>
    </bk>
    <bk>
      <rc t="2" v="1436"/>
    </bk>
    <bk>
      <rc t="2" v="1437"/>
    </bk>
    <bk>
      <rc t="2" v="1438"/>
    </bk>
    <bk>
      <rc t="2" v="1439"/>
    </bk>
    <bk>
      <rc t="2" v="1440"/>
    </bk>
    <bk>
      <rc t="2" v="1441"/>
    </bk>
    <bk>
      <rc t="2" v="1442"/>
    </bk>
    <bk>
      <rc t="2" v="1443"/>
    </bk>
    <bk>
      <rc t="2" v="1444"/>
    </bk>
    <bk>
      <rc t="2" v="1445"/>
    </bk>
    <bk>
      <rc t="2" v="1446"/>
    </bk>
    <bk>
      <rc t="2" v="1447"/>
    </bk>
    <bk>
      <rc t="2" v="1448"/>
    </bk>
    <bk>
      <rc t="2" v="1449"/>
    </bk>
    <bk>
      <rc t="2" v="1450"/>
    </bk>
    <bk>
      <rc t="2" v="1451"/>
    </bk>
    <bk>
      <rc t="2" v="1452"/>
    </bk>
    <bk>
      <rc t="2" v="1453"/>
    </bk>
    <bk>
      <rc t="2" v="1454"/>
    </bk>
    <bk>
      <rc t="2" v="1455"/>
    </bk>
    <bk>
      <rc t="2" v="1456"/>
    </bk>
    <bk>
      <rc t="2" v="1457"/>
    </bk>
    <bk>
      <rc t="2" v="1458"/>
    </bk>
    <bk>
      <rc t="2" v="1459"/>
    </bk>
    <bk>
      <rc t="2" v="1460"/>
    </bk>
    <bk>
      <rc t="2" v="1461"/>
    </bk>
    <bk>
      <rc t="2" v="1462"/>
    </bk>
    <bk>
      <rc t="2" v="1463"/>
    </bk>
    <bk>
      <rc t="2" v="1464"/>
    </bk>
    <bk>
      <rc t="2" v="1465"/>
    </bk>
    <bk>
      <rc t="2" v="1466"/>
    </bk>
    <bk>
      <rc t="2" v="1467"/>
    </bk>
    <bk>
      <rc t="2" v="1468"/>
    </bk>
    <bk>
      <rc t="2" v="1469"/>
    </bk>
    <bk>
      <rc t="2" v="1470"/>
    </bk>
    <bk>
      <rc t="2" v="1471"/>
    </bk>
    <bk>
      <rc t="2" v="1472"/>
    </bk>
    <bk>
      <rc t="2" v="1473"/>
    </bk>
    <bk>
      <rc t="2" v="1474"/>
    </bk>
    <bk>
      <rc t="2" v="1475"/>
    </bk>
    <bk>
      <rc t="2" v="1476"/>
    </bk>
    <bk>
      <rc t="2" v="1477"/>
    </bk>
    <bk>
      <rc t="2" v="1478"/>
    </bk>
    <bk>
      <rc t="2" v="1479"/>
    </bk>
    <bk>
      <rc t="2" v="1480"/>
    </bk>
    <bk>
      <rc t="2" v="1481"/>
    </bk>
    <bk>
      <rc t="2" v="1482"/>
    </bk>
    <bk>
      <rc t="2" v="1483"/>
    </bk>
    <bk>
      <rc t="2" v="1484"/>
    </bk>
    <bk>
      <rc t="2" v="1485"/>
    </bk>
    <bk>
      <rc t="2" v="1486"/>
    </bk>
    <bk>
      <rc t="2" v="1487"/>
    </bk>
    <bk>
      <rc t="2" v="1488"/>
    </bk>
    <bk>
      <rc t="2" v="1489"/>
    </bk>
    <bk>
      <rc t="2" v="1490"/>
    </bk>
    <bk>
      <rc t="2" v="1491"/>
    </bk>
    <bk>
      <rc t="2" v="1492"/>
    </bk>
    <bk>
      <rc t="2" v="1493"/>
    </bk>
    <bk>
      <rc t="2" v="1494"/>
    </bk>
    <bk>
      <rc t="2" v="1495"/>
    </bk>
    <bk>
      <rc t="2" v="1496"/>
    </bk>
    <bk>
      <rc t="2" v="1497"/>
    </bk>
    <bk>
      <rc t="2" v="1498"/>
    </bk>
    <bk>
      <rc t="2" v="1499"/>
    </bk>
    <bk>
      <rc t="2" v="1500"/>
    </bk>
    <bk>
      <rc t="2" v="1501"/>
    </bk>
    <bk>
      <rc t="2" v="1502"/>
    </bk>
    <bk>
      <rc t="2" v="1503"/>
    </bk>
    <bk>
      <rc t="2" v="1504"/>
    </bk>
    <bk>
      <rc t="2" v="1505"/>
    </bk>
    <bk>
      <rc t="2" v="1506"/>
    </bk>
    <bk>
      <rc t="2" v="1507"/>
    </bk>
    <bk>
      <rc t="2" v="1508"/>
    </bk>
    <bk>
      <rc t="2" v="1509"/>
    </bk>
    <bk>
      <rc t="2" v="1510"/>
    </bk>
    <bk>
      <rc t="2" v="1511"/>
    </bk>
    <bk>
      <rc t="2" v="1512"/>
    </bk>
    <bk>
      <rc t="2" v="1513"/>
    </bk>
    <bk>
      <rc t="2" v="1514"/>
    </bk>
    <bk>
      <rc t="2" v="1515"/>
    </bk>
    <bk>
      <rc t="2" v="1516"/>
    </bk>
    <bk>
      <rc t="2" v="1517"/>
    </bk>
    <bk>
      <rc t="2" v="1518"/>
    </bk>
    <bk>
      <rc t="2" v="1519"/>
    </bk>
    <bk>
      <rc t="2" v="1520"/>
    </bk>
    <bk>
      <rc t="2" v="1521"/>
    </bk>
    <bk>
      <rc t="2" v="1522"/>
    </bk>
    <bk>
      <rc t="2" v="1523"/>
    </bk>
    <bk>
      <rc t="2" v="1524"/>
    </bk>
    <bk>
      <rc t="2" v="1525"/>
    </bk>
    <bk>
      <rc t="2" v="1526"/>
    </bk>
    <bk>
      <rc t="2" v="1527"/>
    </bk>
    <bk>
      <rc t="2" v="1528"/>
    </bk>
    <bk>
      <rc t="2" v="1529"/>
    </bk>
    <bk>
      <rc t="2" v="1530"/>
    </bk>
    <bk>
      <rc t="2" v="1531"/>
    </bk>
    <bk>
      <rc t="2" v="1532"/>
    </bk>
    <bk>
      <rc t="2" v="1533"/>
    </bk>
    <bk>
      <rc t="2" v="1534"/>
    </bk>
    <bk>
      <rc t="2" v="1535"/>
    </bk>
    <bk>
      <rc t="2" v="1536"/>
    </bk>
    <bk>
      <rc t="2" v="1537"/>
    </bk>
    <bk>
      <rc t="2" v="1538"/>
    </bk>
    <bk>
      <rc t="2" v="1539"/>
    </bk>
    <bk>
      <rc t="2" v="1540"/>
    </bk>
    <bk>
      <rc t="2" v="1541"/>
    </bk>
    <bk>
      <rc t="2" v="1542"/>
    </bk>
    <bk>
      <rc t="2" v="1543"/>
    </bk>
    <bk>
      <rc t="2" v="1544"/>
    </bk>
    <bk>
      <rc t="2" v="1545"/>
    </bk>
    <bk>
      <rc t="2" v="1546"/>
    </bk>
    <bk>
      <rc t="2" v="1547"/>
    </bk>
    <bk>
      <rc t="2" v="1548"/>
    </bk>
    <bk>
      <rc t="2" v="1549"/>
    </bk>
    <bk>
      <rc t="2" v="1550"/>
    </bk>
    <bk>
      <rc t="2" v="1551"/>
    </bk>
    <bk>
      <rc t="2" v="1552"/>
    </bk>
    <bk>
      <rc t="2" v="1553"/>
    </bk>
    <bk>
      <rc t="2" v="1554"/>
    </bk>
    <bk>
      <rc t="2" v="1555"/>
    </bk>
    <bk>
      <rc t="2" v="1556"/>
    </bk>
    <bk>
      <rc t="2" v="1557"/>
    </bk>
    <bk>
      <rc t="2" v="1558"/>
    </bk>
    <bk>
      <rc t="2" v="1559"/>
    </bk>
    <bk>
      <rc t="2" v="1560"/>
    </bk>
    <bk>
      <rc t="2" v="1561"/>
    </bk>
    <bk>
      <rc t="2" v="1562"/>
    </bk>
    <bk>
      <rc t="2" v="1563"/>
    </bk>
    <bk>
      <rc t="2" v="1564"/>
    </bk>
    <bk>
      <rc t="2" v="1565"/>
    </bk>
    <bk>
      <rc t="2" v="1566"/>
    </bk>
    <bk>
      <rc t="2" v="1567"/>
    </bk>
    <bk>
      <rc t="2" v="1568"/>
    </bk>
    <bk>
      <rc t="2" v="1569"/>
    </bk>
    <bk>
      <rc t="2" v="1570"/>
    </bk>
    <bk>
      <rc t="2" v="1571"/>
    </bk>
    <bk>
      <rc t="2" v="1572"/>
    </bk>
    <bk>
      <rc t="2" v="1573"/>
    </bk>
    <bk>
      <rc t="2" v="1574"/>
    </bk>
    <bk>
      <rc t="2" v="1575"/>
    </bk>
    <bk>
      <rc t="2" v="1576"/>
    </bk>
    <bk>
      <rc t="2" v="1577"/>
    </bk>
    <bk>
      <rc t="2" v="1578"/>
    </bk>
    <bk>
      <rc t="2" v="1579"/>
    </bk>
    <bk>
      <rc t="2" v="1580"/>
    </bk>
    <bk>
      <rc t="2" v="1581"/>
    </bk>
    <bk>
      <rc t="2" v="1582"/>
    </bk>
    <bk>
      <rc t="2" v="1583"/>
    </bk>
    <bk>
      <rc t="2" v="1584"/>
    </bk>
    <bk>
      <rc t="2" v="1585"/>
    </bk>
    <bk>
      <rc t="2" v="1586"/>
    </bk>
    <bk>
      <rc t="2" v="1587"/>
    </bk>
    <bk>
      <rc t="2" v="1588"/>
    </bk>
    <bk>
      <rc t="2" v="1589"/>
    </bk>
    <bk>
      <rc t="2" v="1590"/>
    </bk>
    <bk>
      <rc t="2" v="1591"/>
    </bk>
    <bk>
      <rc t="2" v="1592"/>
    </bk>
    <bk>
      <rc t="2" v="1593"/>
    </bk>
    <bk>
      <rc t="2" v="1594"/>
    </bk>
    <bk>
      <rc t="2" v="1595"/>
    </bk>
    <bk>
      <rc t="2" v="1596"/>
    </bk>
    <bk>
      <rc t="2" v="1597"/>
    </bk>
    <bk>
      <rc t="2" v="1598"/>
    </bk>
    <bk>
      <rc t="2" v="1599"/>
    </bk>
    <bk>
      <rc t="2" v="1600"/>
    </bk>
    <bk>
      <rc t="2" v="1601"/>
    </bk>
    <bk>
      <rc t="2" v="1602"/>
    </bk>
    <bk>
      <rc t="2" v="1603"/>
    </bk>
    <bk>
      <rc t="2" v="1604"/>
    </bk>
    <bk>
      <rc t="2" v="1605"/>
    </bk>
    <bk>
      <rc t="2" v="1606"/>
    </bk>
    <bk>
      <rc t="2" v="1607"/>
    </bk>
    <bk>
      <rc t="2" v="1608"/>
    </bk>
    <bk>
      <rc t="2" v="1609"/>
    </bk>
    <bk>
      <rc t="2" v="1610"/>
    </bk>
    <bk>
      <rc t="2" v="1611"/>
    </bk>
    <bk>
      <rc t="2" v="1612"/>
    </bk>
    <bk>
      <rc t="2" v="1613"/>
    </bk>
    <bk>
      <rc t="2" v="1614"/>
    </bk>
    <bk>
      <rc t="2" v="1615"/>
    </bk>
    <bk>
      <rc t="2" v="1616"/>
    </bk>
    <bk>
      <rc t="2" v="1617"/>
    </bk>
    <bk>
      <rc t="2" v="1618"/>
    </bk>
    <bk>
      <rc t="2" v="1619"/>
    </bk>
    <bk>
      <rc t="2" v="1620"/>
    </bk>
    <bk>
      <rc t="2" v="1621"/>
    </bk>
    <bk>
      <rc t="2" v="1622"/>
    </bk>
    <bk>
      <rc t="2" v="1623"/>
    </bk>
    <bk>
      <rc t="2" v="1624"/>
    </bk>
    <bk>
      <rc t="2" v="1625"/>
    </bk>
    <bk>
      <rc t="2" v="1626"/>
    </bk>
    <bk>
      <rc t="2" v="1627"/>
    </bk>
    <bk>
      <rc t="2" v="1628"/>
    </bk>
    <bk>
      <rc t="2" v="1629"/>
    </bk>
    <bk>
      <rc t="2" v="1630"/>
    </bk>
    <bk>
      <rc t="2" v="1631"/>
    </bk>
    <bk>
      <rc t="2" v="1632"/>
    </bk>
    <bk>
      <rc t="2" v="1633"/>
    </bk>
    <bk>
      <rc t="2" v="1634"/>
    </bk>
    <bk>
      <rc t="2" v="1635"/>
    </bk>
    <bk>
      <rc t="2" v="1636"/>
    </bk>
    <bk>
      <rc t="2" v="1637"/>
    </bk>
    <bk>
      <rc t="2" v="1638"/>
    </bk>
    <bk>
      <rc t="2" v="1639"/>
    </bk>
    <bk>
      <rc t="2" v="1640"/>
    </bk>
    <bk>
      <rc t="2" v="1641"/>
    </bk>
    <bk>
      <rc t="2" v="1642"/>
    </bk>
    <bk>
      <rc t="2" v="1643"/>
    </bk>
    <bk>
      <rc t="2" v="1644"/>
    </bk>
    <bk>
      <rc t="2" v="1645"/>
    </bk>
    <bk>
      <rc t="2" v="1646"/>
    </bk>
    <bk>
      <rc t="2" v="1647"/>
    </bk>
    <bk>
      <rc t="2" v="1648"/>
    </bk>
    <bk>
      <rc t="2" v="1649"/>
    </bk>
    <bk>
      <rc t="2" v="1650"/>
    </bk>
    <bk>
      <rc t="2" v="1651"/>
    </bk>
    <bk>
      <rc t="2" v="1652"/>
    </bk>
    <bk>
      <rc t="2" v="1653"/>
    </bk>
    <bk>
      <rc t="2" v="1654"/>
    </bk>
    <bk>
      <rc t="2" v="1655"/>
    </bk>
    <bk>
      <rc t="2" v="1656"/>
    </bk>
    <bk>
      <rc t="2" v="1657"/>
    </bk>
    <bk>
      <rc t="2" v="1658"/>
    </bk>
    <bk>
      <rc t="2" v="1659"/>
    </bk>
    <bk>
      <rc t="2" v="1660"/>
    </bk>
    <bk>
      <rc t="2" v="1661"/>
    </bk>
    <bk>
      <rc t="2" v="1662"/>
    </bk>
    <bk>
      <rc t="2" v="1663"/>
    </bk>
    <bk>
      <rc t="2" v="1664"/>
    </bk>
    <bk>
      <rc t="2" v="1665"/>
    </bk>
    <bk>
      <rc t="2" v="1666"/>
    </bk>
    <bk>
      <rc t="2" v="1667"/>
    </bk>
    <bk>
      <rc t="2" v="1668"/>
    </bk>
    <bk>
      <rc t="2" v="1669"/>
    </bk>
    <bk>
      <rc t="2" v="1670"/>
    </bk>
    <bk>
      <rc t="2" v="1671"/>
    </bk>
    <bk>
      <rc t="2" v="1672"/>
    </bk>
    <bk>
      <rc t="2" v="1673"/>
    </bk>
    <bk>
      <rc t="2" v="1674"/>
    </bk>
    <bk>
      <rc t="2" v="1675"/>
    </bk>
    <bk>
      <rc t="2" v="1676"/>
    </bk>
    <bk>
      <rc t="2" v="1677"/>
    </bk>
    <bk>
      <rc t="2" v="1678"/>
    </bk>
    <bk>
      <rc t="2" v="1679"/>
    </bk>
    <bk>
      <rc t="2" v="1680"/>
    </bk>
    <bk>
      <rc t="2" v="1681"/>
    </bk>
    <bk>
      <rc t="2" v="1682"/>
    </bk>
    <bk>
      <rc t="2" v="1683"/>
    </bk>
    <bk>
      <rc t="2" v="1684"/>
    </bk>
    <bk>
      <rc t="2" v="1685"/>
    </bk>
    <bk>
      <rc t="2" v="1686"/>
    </bk>
    <bk>
      <rc t="2" v="1687"/>
    </bk>
    <bk>
      <rc t="2" v="1688"/>
    </bk>
    <bk>
      <rc t="2" v="1689"/>
    </bk>
    <bk>
      <rc t="2" v="1690"/>
    </bk>
    <bk>
      <rc t="2" v="1691"/>
    </bk>
    <bk>
      <rc t="2" v="1692"/>
    </bk>
    <bk>
      <rc t="2" v="1693"/>
    </bk>
    <bk>
      <rc t="2" v="1694"/>
    </bk>
    <bk>
      <rc t="2" v="1695"/>
    </bk>
    <bk>
      <rc t="2" v="1696"/>
    </bk>
    <bk>
      <rc t="2" v="1697"/>
    </bk>
    <bk>
      <rc t="2" v="1698"/>
    </bk>
    <bk>
      <rc t="2" v="1699"/>
    </bk>
    <bk>
      <rc t="2" v="1700"/>
    </bk>
    <bk>
      <rc t="2" v="1701"/>
    </bk>
    <bk>
      <rc t="2" v="1702"/>
    </bk>
    <bk>
      <rc t="2" v="1703"/>
    </bk>
    <bk>
      <rc t="2" v="1704"/>
    </bk>
    <bk>
      <rc t="2" v="1705"/>
    </bk>
    <bk>
      <rc t="2" v="1706"/>
    </bk>
    <bk>
      <rc t="2" v="1707"/>
    </bk>
    <bk>
      <rc t="2" v="1708"/>
    </bk>
    <bk>
      <rc t="2" v="1709"/>
    </bk>
    <bk>
      <rc t="2" v="1710"/>
    </bk>
    <bk>
      <rc t="2" v="1711"/>
    </bk>
    <bk>
      <rc t="2" v="1712"/>
    </bk>
    <bk>
      <rc t="2" v="1713"/>
    </bk>
    <bk>
      <rc t="2" v="1714"/>
    </bk>
    <bk>
      <rc t="2" v="1715"/>
    </bk>
    <bk>
      <rc t="2" v="1716"/>
    </bk>
    <bk>
      <rc t="2" v="1717"/>
    </bk>
    <bk>
      <rc t="2" v="1718"/>
    </bk>
    <bk>
      <rc t="2" v="1719"/>
    </bk>
    <bk>
      <rc t="2" v="1720"/>
    </bk>
    <bk>
      <rc t="2" v="1721"/>
    </bk>
    <bk>
      <rc t="2" v="1722"/>
    </bk>
    <bk>
      <rc t="2" v="1723"/>
    </bk>
    <bk>
      <rc t="2" v="1724"/>
    </bk>
    <bk>
      <rc t="2" v="1725"/>
    </bk>
    <bk>
      <rc t="2" v="1726"/>
    </bk>
    <bk>
      <rc t="2" v="1727"/>
    </bk>
    <bk>
      <rc t="2" v="1728"/>
    </bk>
    <bk>
      <rc t="2" v="1729"/>
    </bk>
    <bk>
      <rc t="2" v="1730"/>
    </bk>
    <bk>
      <rc t="2" v="1731"/>
    </bk>
    <bk>
      <rc t="2" v="1732"/>
    </bk>
    <bk>
      <rc t="2" v="1733"/>
    </bk>
    <bk>
      <rc t="2" v="1734"/>
    </bk>
    <bk>
      <rc t="2" v="1735"/>
    </bk>
    <bk>
      <rc t="2" v="1736"/>
    </bk>
    <bk>
      <rc t="2" v="1737"/>
    </bk>
    <bk>
      <rc t="2" v="1738"/>
    </bk>
    <bk>
      <rc t="2" v="1739"/>
    </bk>
    <bk>
      <rc t="2" v="1740"/>
    </bk>
    <bk>
      <rc t="2" v="1741"/>
    </bk>
    <bk>
      <rc t="2" v="1742"/>
    </bk>
    <bk>
      <rc t="2" v="1743"/>
    </bk>
    <bk>
      <rc t="2" v="1744"/>
    </bk>
    <bk>
      <rc t="2" v="1745"/>
    </bk>
    <bk>
      <rc t="2" v="1746"/>
    </bk>
    <bk>
      <rc t="2" v="1747"/>
    </bk>
    <bk>
      <rc t="2" v="1748"/>
    </bk>
    <bk>
      <rc t="2" v="1749"/>
    </bk>
    <bk>
      <rc t="2" v="1750"/>
    </bk>
    <bk>
      <rc t="2" v="1751"/>
    </bk>
    <bk>
      <rc t="2" v="1752"/>
    </bk>
    <bk>
      <rc t="2" v="1753"/>
    </bk>
    <bk>
      <rc t="2" v="1754"/>
    </bk>
    <bk>
      <rc t="2" v="1755"/>
    </bk>
    <bk>
      <rc t="2" v="1756"/>
    </bk>
    <bk>
      <rc t="2" v="1757"/>
    </bk>
    <bk>
      <rc t="2" v="1758"/>
    </bk>
    <bk>
      <rc t="2" v="1759"/>
    </bk>
    <bk>
      <rc t="2" v="1760"/>
    </bk>
    <bk>
      <rc t="2" v="1761"/>
    </bk>
    <bk>
      <rc t="2" v="1762"/>
    </bk>
    <bk>
      <rc t="2" v="1763"/>
    </bk>
    <bk>
      <rc t="2" v="1764"/>
    </bk>
    <bk>
      <rc t="2" v="1765"/>
    </bk>
    <bk>
      <rc t="2" v="1766"/>
    </bk>
    <bk>
      <rc t="2" v="1767"/>
    </bk>
    <bk>
      <rc t="2" v="1768"/>
    </bk>
    <bk>
      <rc t="2" v="1769"/>
    </bk>
    <bk>
      <rc t="2" v="1770"/>
    </bk>
    <bk>
      <rc t="2" v="1771"/>
    </bk>
    <bk>
      <rc t="2" v="1772"/>
    </bk>
    <bk>
      <rc t="2" v="1773"/>
    </bk>
    <bk>
      <rc t="2" v="1774"/>
    </bk>
    <bk>
      <rc t="2" v="1775"/>
    </bk>
    <bk>
      <rc t="2" v="1776"/>
    </bk>
    <bk>
      <rc t="2" v="1777"/>
    </bk>
    <bk>
      <rc t="2" v="1778"/>
    </bk>
    <bk>
      <rc t="2" v="1779"/>
    </bk>
    <bk>
      <rc t="2" v="1780"/>
    </bk>
    <bk>
      <rc t="2" v="1781"/>
    </bk>
    <bk>
      <rc t="2" v="1782"/>
    </bk>
    <bk>
      <rc t="2" v="1783"/>
    </bk>
    <bk>
      <rc t="2" v="1784"/>
    </bk>
    <bk>
      <rc t="2" v="1785"/>
    </bk>
    <bk>
      <rc t="2" v="1786"/>
    </bk>
    <bk>
      <rc t="2" v="1787"/>
    </bk>
    <bk>
      <rc t="2" v="1788"/>
    </bk>
    <bk>
      <rc t="2" v="1789"/>
    </bk>
    <bk>
      <rc t="2" v="1790"/>
    </bk>
    <bk>
      <rc t="2" v="1791"/>
    </bk>
    <bk>
      <rc t="2" v="1792"/>
    </bk>
    <bk>
      <rc t="2" v="1793"/>
    </bk>
    <bk>
      <rc t="2" v="1794"/>
    </bk>
    <bk>
      <rc t="2" v="1795"/>
    </bk>
    <bk>
      <rc t="2" v="1796"/>
    </bk>
    <bk>
      <rc t="2" v="1797"/>
    </bk>
    <bk>
      <rc t="2" v="1798"/>
    </bk>
    <bk>
      <rc t="2" v="1799"/>
    </bk>
    <bk>
      <rc t="2" v="1800"/>
    </bk>
    <bk>
      <rc t="2" v="1801"/>
    </bk>
    <bk>
      <rc t="2" v="1802"/>
    </bk>
    <bk>
      <rc t="2" v="1803"/>
    </bk>
    <bk>
      <rc t="2" v="1804"/>
    </bk>
    <bk>
      <rc t="2" v="1805"/>
    </bk>
    <bk>
      <rc t="2" v="1806"/>
    </bk>
    <bk>
      <rc t="2" v="1807"/>
    </bk>
    <bk>
      <rc t="2" v="1808"/>
    </bk>
    <bk>
      <rc t="2" v="1809"/>
    </bk>
    <bk>
      <rc t="2" v="1810"/>
    </bk>
    <bk>
      <rc t="2" v="1811"/>
    </bk>
    <bk>
      <rc t="2" v="1812"/>
    </bk>
    <bk>
      <rc t="2" v="1813"/>
    </bk>
    <bk>
      <rc t="2" v="1814"/>
    </bk>
    <bk>
      <rc t="2" v="1815"/>
    </bk>
    <bk>
      <rc t="2" v="1816"/>
    </bk>
    <bk>
      <rc t="2" v="1817"/>
    </bk>
    <bk>
      <rc t="2" v="1818"/>
    </bk>
    <bk>
      <rc t="2" v="1819"/>
    </bk>
    <bk>
      <rc t="2" v="1820"/>
    </bk>
    <bk>
      <rc t="2" v="1821"/>
    </bk>
    <bk>
      <rc t="2" v="1822"/>
    </bk>
    <bk>
      <rc t="2" v="1823"/>
    </bk>
    <bk>
      <rc t="2" v="1824"/>
    </bk>
    <bk>
      <rc t="2" v="1825"/>
    </bk>
    <bk>
      <rc t="2" v="1826"/>
    </bk>
    <bk>
      <rc t="2" v="1827"/>
    </bk>
    <bk>
      <rc t="2" v="1828"/>
    </bk>
    <bk>
      <rc t="2" v="1829"/>
    </bk>
    <bk>
      <rc t="2" v="1830"/>
    </bk>
    <bk>
      <rc t="2" v="1831"/>
    </bk>
    <bk>
      <rc t="2" v="1832"/>
    </bk>
    <bk>
      <rc t="2" v="1833"/>
    </bk>
    <bk>
      <rc t="2" v="1834"/>
    </bk>
    <bk>
      <rc t="2" v="1835"/>
    </bk>
    <bk>
      <rc t="2" v="1836"/>
    </bk>
    <bk>
      <rc t="2" v="1837"/>
    </bk>
    <bk>
      <rc t="2" v="1838"/>
    </bk>
    <bk>
      <rc t="2" v="1839"/>
    </bk>
    <bk>
      <rc t="2" v="1840"/>
    </bk>
    <bk>
      <rc t="2" v="1841"/>
    </bk>
    <bk>
      <rc t="2" v="1842"/>
    </bk>
    <bk>
      <rc t="2" v="1843"/>
    </bk>
    <bk>
      <rc t="2" v="1844"/>
    </bk>
    <bk>
      <rc t="2" v="1845"/>
    </bk>
    <bk>
      <rc t="2" v="1846"/>
    </bk>
    <bk>
      <rc t="2" v="1847"/>
    </bk>
    <bk>
      <rc t="2" v="1848"/>
    </bk>
    <bk>
      <rc t="2" v="1849"/>
    </bk>
    <bk>
      <rc t="2" v="1850"/>
    </bk>
    <bk>
      <rc t="2" v="1851"/>
    </bk>
    <bk>
      <rc t="2" v="1852"/>
    </bk>
    <bk>
      <rc t="2" v="1853"/>
    </bk>
    <bk>
      <rc t="2" v="1854"/>
    </bk>
    <bk>
      <rc t="2" v="1855"/>
    </bk>
    <bk>
      <rc t="2" v="1856"/>
    </bk>
    <bk>
      <rc t="2" v="1857"/>
    </bk>
    <bk>
      <rc t="2" v="1858"/>
    </bk>
    <bk>
      <rc t="2" v="1859"/>
    </bk>
    <bk>
      <rc t="2" v="1860"/>
    </bk>
    <bk>
      <rc t="2" v="1861"/>
    </bk>
    <bk>
      <rc t="2" v="1862"/>
    </bk>
    <bk>
      <rc t="2" v="1863"/>
    </bk>
    <bk>
      <rc t="2" v="1864"/>
    </bk>
    <bk>
      <rc t="2" v="1865"/>
    </bk>
    <bk>
      <rc t="2" v="1866"/>
    </bk>
    <bk>
      <rc t="2" v="1867"/>
    </bk>
    <bk>
      <rc t="2" v="1868"/>
    </bk>
    <bk>
      <rc t="2" v="1869"/>
    </bk>
    <bk>
      <rc t="2" v="1870"/>
    </bk>
    <bk>
      <rc t="2" v="1871"/>
    </bk>
    <bk>
      <rc t="2" v="1872"/>
    </bk>
    <bk>
      <rc t="2" v="1873"/>
    </bk>
    <bk>
      <rc t="2" v="1874"/>
    </bk>
    <bk>
      <rc t="2" v="1875"/>
    </bk>
    <bk>
      <rc t="2" v="1876"/>
    </bk>
    <bk>
      <rc t="2" v="1877"/>
    </bk>
    <bk>
      <rc t="2" v="1878"/>
    </bk>
    <bk>
      <rc t="2" v="1879"/>
    </bk>
    <bk>
      <rc t="2" v="1880"/>
    </bk>
    <bk>
      <rc t="2" v="1881"/>
    </bk>
    <bk>
      <rc t="2" v="1882"/>
    </bk>
    <bk>
      <rc t="2" v="1883"/>
    </bk>
    <bk>
      <rc t="2" v="1884"/>
    </bk>
    <bk>
      <rc t="2" v="1885"/>
    </bk>
    <bk>
      <rc t="2" v="1886"/>
    </bk>
    <bk>
      <rc t="2" v="1887"/>
    </bk>
    <bk>
      <rc t="2" v="1888"/>
    </bk>
    <bk>
      <rc t="2" v="1889"/>
    </bk>
    <bk>
      <rc t="2" v="1890"/>
    </bk>
    <bk>
      <rc t="2" v="1891"/>
    </bk>
    <bk>
      <rc t="2" v="1892"/>
    </bk>
    <bk>
      <rc t="2" v="1893"/>
    </bk>
    <bk>
      <rc t="2" v="1894"/>
    </bk>
    <bk>
      <rc t="2" v="1895"/>
    </bk>
    <bk>
      <rc t="2" v="1896"/>
    </bk>
    <bk>
      <rc t="2" v="1897"/>
    </bk>
    <bk>
      <rc t="2" v="1898"/>
    </bk>
    <bk>
      <rc t="2" v="1899"/>
    </bk>
    <bk>
      <rc t="2" v="1900"/>
    </bk>
    <bk>
      <rc t="2" v="1901"/>
    </bk>
    <bk>
      <rc t="2" v="1902"/>
    </bk>
    <bk>
      <rc t="2" v="1903"/>
    </bk>
    <bk>
      <rc t="2" v="1904"/>
    </bk>
    <bk>
      <rc t="2" v="1905"/>
    </bk>
    <bk>
      <rc t="2" v="1906"/>
    </bk>
    <bk>
      <rc t="2" v="1907"/>
    </bk>
    <bk>
      <rc t="2" v="1908"/>
    </bk>
    <bk>
      <rc t="2" v="1909"/>
    </bk>
    <bk>
      <rc t="2" v="1910"/>
    </bk>
    <bk>
      <rc t="2" v="1911"/>
    </bk>
    <bk>
      <rc t="2" v="1912"/>
    </bk>
    <bk>
      <rc t="2" v="1913"/>
    </bk>
    <bk>
      <rc t="2" v="1914"/>
    </bk>
    <bk>
      <rc t="2" v="1915"/>
    </bk>
    <bk>
      <rc t="2" v="1916"/>
    </bk>
    <bk>
      <rc t="2" v="1917"/>
    </bk>
    <bk>
      <rc t="2" v="1918"/>
    </bk>
    <bk>
      <rc t="2" v="1919"/>
    </bk>
    <bk>
      <rc t="2" v="1920"/>
    </bk>
    <bk>
      <rc t="2" v="1921"/>
    </bk>
    <bk>
      <rc t="2" v="1922"/>
    </bk>
    <bk>
      <rc t="2" v="1923"/>
    </bk>
    <bk>
      <rc t="2" v="1924"/>
    </bk>
    <bk>
      <rc t="2" v="1925"/>
    </bk>
    <bk>
      <rc t="2" v="1926"/>
    </bk>
    <bk>
      <rc t="2" v="1927"/>
    </bk>
    <bk>
      <rc t="2" v="1928"/>
    </bk>
    <bk>
      <rc t="2" v="1929"/>
    </bk>
    <bk>
      <rc t="2" v="1930"/>
    </bk>
    <bk>
      <rc t="2" v="1931"/>
    </bk>
    <bk>
      <rc t="2" v="1932"/>
    </bk>
    <bk>
      <rc t="2" v="1933"/>
    </bk>
    <bk>
      <rc t="2" v="1934"/>
    </bk>
    <bk>
      <rc t="2" v="1935"/>
    </bk>
    <bk>
      <rc t="2" v="1936"/>
    </bk>
    <bk>
      <rc t="2" v="1937"/>
    </bk>
    <bk>
      <rc t="2" v="1938"/>
    </bk>
    <bk>
      <rc t="2" v="1939"/>
    </bk>
    <bk>
      <rc t="2" v="1940"/>
    </bk>
    <bk>
      <rc t="2" v="1941"/>
    </bk>
    <bk>
      <rc t="2" v="1942"/>
    </bk>
    <bk>
      <rc t="2" v="1943"/>
    </bk>
    <bk>
      <rc t="2" v="1944"/>
    </bk>
    <bk>
      <rc t="2" v="1945"/>
    </bk>
    <bk>
      <rc t="2" v="1946"/>
    </bk>
    <bk>
      <rc t="2" v="1947"/>
    </bk>
    <bk>
      <rc t="2" v="1948"/>
    </bk>
  </valueMetadata>
</metadata>
</file>

<file path=xl/sharedStrings.xml><?xml version="1.0" encoding="utf-8"?>
<sst xmlns="http://schemas.openxmlformats.org/spreadsheetml/2006/main" count="45" uniqueCount="38">
  <si>
    <t>Ticker</t>
  </si>
  <si>
    <t>Company Name</t>
  </si>
  <si>
    <t>CRGY</t>
  </si>
  <si>
    <t>Crescent Energy Company</t>
  </si>
  <si>
    <t>LFST</t>
  </si>
  <si>
    <t>LifeStance Health Group, Inc.</t>
  </si>
  <si>
    <t>VNET</t>
  </si>
  <si>
    <t>VNET Group, Inc.</t>
  </si>
  <si>
    <t>IBRX</t>
  </si>
  <si>
    <t>ImmunityBio, Inc.</t>
  </si>
  <si>
    <t>PAYO</t>
  </si>
  <si>
    <t>Payoneer Global Inc.</t>
  </si>
  <si>
    <t>BULL</t>
  </si>
  <si>
    <t>Webull Corporation</t>
  </si>
  <si>
    <t>IEP</t>
  </si>
  <si>
    <t>Icahn Enterprises L.P.</t>
  </si>
  <si>
    <t>GBTG</t>
  </si>
  <si>
    <t>Global Business Travel Group</t>
  </si>
  <si>
    <t>BGC</t>
  </si>
  <si>
    <t>BGC Group, Inc.</t>
  </si>
  <si>
    <t>NG</t>
  </si>
  <si>
    <t>Novagold Resources Inc.</t>
  </si>
  <si>
    <t>ONDS</t>
  </si>
  <si>
    <t>Ondas Holdings Inc.</t>
  </si>
  <si>
    <t>TMC</t>
  </si>
  <si>
    <t>TMC the metals company Inc.</t>
  </si>
  <si>
    <t>FOLD</t>
  </si>
  <si>
    <t>Amicus Therapeutics, Inc.</t>
  </si>
  <si>
    <t>NUVB</t>
  </si>
  <si>
    <t>Nuvation Bio Inc.</t>
  </si>
  <si>
    <t>Loess 20</t>
  </si>
  <si>
    <t>STD</t>
  </si>
  <si>
    <t>50d Low SMA</t>
  </si>
  <si>
    <t>50d High SMA</t>
  </si>
  <si>
    <t>Date</t>
  </si>
  <si>
    <t>Close</t>
  </si>
  <si>
    <t>High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</si>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</sst>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3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26" Type="http://schemas.microsoft.com/office/2017/06/relationships/rdSupportingPropertyBag" Target="richData/rdsupportingpropertybag.xml"/><Relationship Id="rId3" Type="http://schemas.openxmlformats.org/officeDocument/2006/relationships/worksheet" Target="worksheets/sheet3.xml"/><Relationship Id="rId21" Type="http://schemas.microsoft.com/office/2017/06/relationships/rdRichValue" Target="richData/rdrichvalu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microsoft.com/office/2017/06/relationships/rdSupportingPropertyBagStructure" Target="richData/rdsupportingpropertybagstructure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ichStyles" Target="richData/rich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Array" Target="richData/rdarray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Structure" Target="richData/rdrichvaluestructure.xml"/><Relationship Id="rId27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1600" b="0" i="0" u="none" strike="noStrike" baseline="0">
                <a:effectLst/>
              </a:rPr>
              <a:t>Crescent Energy Company</a:t>
            </a:r>
            <a:r>
              <a:rPr lang="en-US" sz="1600" b="1" i="0" u="none" strike="noStrike" baseline="0">
                <a:effectLst/>
              </a:rPr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CRGY!$J$1</c:f>
              <c:strCache>
                <c:ptCount val="1"/>
                <c:pt idx="0">
                  <c:v>Close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CRGY!$I$2:$I$236</c:f>
              <c:numCache>
                <c:formatCode>m/d/yyyy</c:formatCode>
                <c:ptCount val="235"/>
                <c:pt idx="0">
                  <c:v>45856</c:v>
                </c:pt>
                <c:pt idx="1">
                  <c:v>45859</c:v>
                </c:pt>
                <c:pt idx="2">
                  <c:v>45860</c:v>
                </c:pt>
                <c:pt idx="3">
                  <c:v>45861</c:v>
                </c:pt>
                <c:pt idx="4">
                  <c:v>45862</c:v>
                </c:pt>
                <c:pt idx="5">
                  <c:v>45863</c:v>
                </c:pt>
                <c:pt idx="6">
                  <c:v>45866</c:v>
                </c:pt>
                <c:pt idx="7">
                  <c:v>45867</c:v>
                </c:pt>
                <c:pt idx="8">
                  <c:v>45868</c:v>
                </c:pt>
                <c:pt idx="9">
                  <c:v>45869</c:v>
                </c:pt>
                <c:pt idx="10">
                  <c:v>45870</c:v>
                </c:pt>
                <c:pt idx="11">
                  <c:v>45873</c:v>
                </c:pt>
                <c:pt idx="12">
                  <c:v>45874</c:v>
                </c:pt>
                <c:pt idx="13">
                  <c:v>45875</c:v>
                </c:pt>
                <c:pt idx="14">
                  <c:v>45876</c:v>
                </c:pt>
                <c:pt idx="15">
                  <c:v>45877</c:v>
                </c:pt>
                <c:pt idx="16">
                  <c:v>45880</c:v>
                </c:pt>
                <c:pt idx="17">
                  <c:v>45881</c:v>
                </c:pt>
                <c:pt idx="18">
                  <c:v>45882</c:v>
                </c:pt>
                <c:pt idx="19">
                  <c:v>45883</c:v>
                </c:pt>
                <c:pt idx="20">
                  <c:v>45884</c:v>
                </c:pt>
                <c:pt idx="21">
                  <c:v>45887</c:v>
                </c:pt>
                <c:pt idx="22">
                  <c:v>45888</c:v>
                </c:pt>
                <c:pt idx="23">
                  <c:v>45889</c:v>
                </c:pt>
                <c:pt idx="24">
                  <c:v>45890</c:v>
                </c:pt>
                <c:pt idx="25">
                  <c:v>45891</c:v>
                </c:pt>
                <c:pt idx="26">
                  <c:v>45894</c:v>
                </c:pt>
                <c:pt idx="27">
                  <c:v>45895</c:v>
                </c:pt>
                <c:pt idx="28">
                  <c:v>45896</c:v>
                </c:pt>
                <c:pt idx="29">
                  <c:v>45897</c:v>
                </c:pt>
                <c:pt idx="30">
                  <c:v>45898</c:v>
                </c:pt>
                <c:pt idx="31">
                  <c:v>45902</c:v>
                </c:pt>
                <c:pt idx="32">
                  <c:v>45903</c:v>
                </c:pt>
                <c:pt idx="33">
                  <c:v>45904</c:v>
                </c:pt>
                <c:pt idx="34">
                  <c:v>45905</c:v>
                </c:pt>
                <c:pt idx="35">
                  <c:v>45908</c:v>
                </c:pt>
                <c:pt idx="36">
                  <c:v>45909</c:v>
                </c:pt>
                <c:pt idx="37">
                  <c:v>45910</c:v>
                </c:pt>
                <c:pt idx="38">
                  <c:v>45911</c:v>
                </c:pt>
                <c:pt idx="39">
                  <c:v>45912</c:v>
                </c:pt>
                <c:pt idx="40">
                  <c:v>45915</c:v>
                </c:pt>
                <c:pt idx="41">
                  <c:v>45916</c:v>
                </c:pt>
                <c:pt idx="42">
                  <c:v>45917</c:v>
                </c:pt>
                <c:pt idx="43">
                  <c:v>45918</c:v>
                </c:pt>
                <c:pt idx="44">
                  <c:v>45919</c:v>
                </c:pt>
                <c:pt idx="45">
                  <c:v>45922</c:v>
                </c:pt>
                <c:pt idx="46">
                  <c:v>45923</c:v>
                </c:pt>
                <c:pt idx="47">
                  <c:v>45924</c:v>
                </c:pt>
                <c:pt idx="48">
                  <c:v>45925</c:v>
                </c:pt>
                <c:pt idx="49">
                  <c:v>45926</c:v>
                </c:pt>
                <c:pt idx="50">
                  <c:v>45929</c:v>
                </c:pt>
                <c:pt idx="51">
                  <c:v>45930</c:v>
                </c:pt>
                <c:pt idx="52">
                  <c:v>45931</c:v>
                </c:pt>
                <c:pt idx="53">
                  <c:v>45932</c:v>
                </c:pt>
                <c:pt idx="54">
                  <c:v>45933</c:v>
                </c:pt>
                <c:pt idx="55">
                  <c:v>45936</c:v>
                </c:pt>
                <c:pt idx="56">
                  <c:v>45937</c:v>
                </c:pt>
                <c:pt idx="57">
                  <c:v>45938</c:v>
                </c:pt>
                <c:pt idx="58">
                  <c:v>45939</c:v>
                </c:pt>
                <c:pt idx="59">
                  <c:v>45940</c:v>
                </c:pt>
                <c:pt idx="60">
                  <c:v>45943</c:v>
                </c:pt>
                <c:pt idx="61">
                  <c:v>45944</c:v>
                </c:pt>
                <c:pt idx="62">
                  <c:v>45945</c:v>
                </c:pt>
                <c:pt idx="63">
                  <c:v>45946</c:v>
                </c:pt>
                <c:pt idx="64">
                  <c:v>45947</c:v>
                </c:pt>
                <c:pt idx="65">
                  <c:v>45950</c:v>
                </c:pt>
                <c:pt idx="66">
                  <c:v>45951</c:v>
                </c:pt>
                <c:pt idx="67">
                  <c:v>45952</c:v>
                </c:pt>
                <c:pt idx="68">
                  <c:v>45953</c:v>
                </c:pt>
                <c:pt idx="69">
                  <c:v>45954</c:v>
                </c:pt>
                <c:pt idx="70">
                  <c:v>45957</c:v>
                </c:pt>
                <c:pt idx="71">
                  <c:v>45958</c:v>
                </c:pt>
                <c:pt idx="72">
                  <c:v>45959</c:v>
                </c:pt>
                <c:pt idx="73">
                  <c:v>45960</c:v>
                </c:pt>
                <c:pt idx="74">
                  <c:v>45961</c:v>
                </c:pt>
                <c:pt idx="75">
                  <c:v>45964</c:v>
                </c:pt>
                <c:pt idx="76">
                  <c:v>45965</c:v>
                </c:pt>
                <c:pt idx="77">
                  <c:v>45966</c:v>
                </c:pt>
                <c:pt idx="78">
                  <c:v>45967</c:v>
                </c:pt>
                <c:pt idx="79">
                  <c:v>45968</c:v>
                </c:pt>
                <c:pt idx="80">
                  <c:v>45971</c:v>
                </c:pt>
                <c:pt idx="81">
                  <c:v>45972</c:v>
                </c:pt>
                <c:pt idx="82">
                  <c:v>45973</c:v>
                </c:pt>
                <c:pt idx="83">
                  <c:v>45974</c:v>
                </c:pt>
                <c:pt idx="84">
                  <c:v>45975</c:v>
                </c:pt>
                <c:pt idx="85">
                  <c:v>45978</c:v>
                </c:pt>
                <c:pt idx="86">
                  <c:v>45979</c:v>
                </c:pt>
                <c:pt idx="87">
                  <c:v>45980</c:v>
                </c:pt>
                <c:pt idx="88">
                  <c:v>45981</c:v>
                </c:pt>
                <c:pt idx="89">
                  <c:v>45982</c:v>
                </c:pt>
                <c:pt idx="90">
                  <c:v>45985</c:v>
                </c:pt>
                <c:pt idx="91">
                  <c:v>45986</c:v>
                </c:pt>
                <c:pt idx="92">
                  <c:v>45987</c:v>
                </c:pt>
                <c:pt idx="93">
                  <c:v>45989</c:v>
                </c:pt>
                <c:pt idx="94">
                  <c:v>45992</c:v>
                </c:pt>
                <c:pt idx="95">
                  <c:v>45993</c:v>
                </c:pt>
                <c:pt idx="96">
                  <c:v>45994</c:v>
                </c:pt>
                <c:pt idx="97">
                  <c:v>45995</c:v>
                </c:pt>
                <c:pt idx="98">
                  <c:v>45996</c:v>
                </c:pt>
                <c:pt idx="99">
                  <c:v>45999</c:v>
                </c:pt>
              </c:numCache>
            </c:numRef>
          </c:cat>
          <c:val>
            <c:numRef>
              <c:f>CRGY!$J$2:$J$236</c:f>
              <c:numCache>
                <c:formatCode>_([$$-409]* #,##0.00_);_([$$-409]* \(#,##0.00\);_([$$-409]* "-"??_);_(@_)</c:formatCode>
                <c:ptCount val="235"/>
                <c:pt idx="0">
                  <c:v>8.73</c:v>
                </c:pt>
                <c:pt idx="1">
                  <c:v>8.4499999999999993</c:v>
                </c:pt>
                <c:pt idx="2">
                  <c:v>8.64</c:v>
                </c:pt>
                <c:pt idx="3">
                  <c:v>8.92</c:v>
                </c:pt>
                <c:pt idx="4">
                  <c:v>9.2799999999999994</c:v>
                </c:pt>
                <c:pt idx="5">
                  <c:v>9.1999999999999993</c:v>
                </c:pt>
                <c:pt idx="6">
                  <c:v>9.5299999999999994</c:v>
                </c:pt>
                <c:pt idx="7">
                  <c:v>9.65</c:v>
                </c:pt>
                <c:pt idx="8">
                  <c:v>9.4499999999999993</c:v>
                </c:pt>
                <c:pt idx="9">
                  <c:v>9.24</c:v>
                </c:pt>
                <c:pt idx="10">
                  <c:v>8.9600000000000009</c:v>
                </c:pt>
                <c:pt idx="11">
                  <c:v>8.8800000000000008</c:v>
                </c:pt>
                <c:pt idx="12">
                  <c:v>9.36</c:v>
                </c:pt>
                <c:pt idx="13">
                  <c:v>9.23</c:v>
                </c:pt>
                <c:pt idx="14">
                  <c:v>9.1999999999999993</c:v>
                </c:pt>
                <c:pt idx="15">
                  <c:v>9.23</c:v>
                </c:pt>
                <c:pt idx="16">
                  <c:v>8.99</c:v>
                </c:pt>
                <c:pt idx="17">
                  <c:v>9.34</c:v>
                </c:pt>
                <c:pt idx="18">
                  <c:v>9.56</c:v>
                </c:pt>
                <c:pt idx="19">
                  <c:v>9.65</c:v>
                </c:pt>
                <c:pt idx="20">
                  <c:v>9.42</c:v>
                </c:pt>
                <c:pt idx="21">
                  <c:v>9.32</c:v>
                </c:pt>
                <c:pt idx="22">
                  <c:v>9.2200000000000006</c:v>
                </c:pt>
                <c:pt idx="23">
                  <c:v>9.2799999999999994</c:v>
                </c:pt>
                <c:pt idx="24">
                  <c:v>9.3800000000000008</c:v>
                </c:pt>
                <c:pt idx="25">
                  <c:v>9.94</c:v>
                </c:pt>
                <c:pt idx="26">
                  <c:v>9.5399999999999991</c:v>
                </c:pt>
                <c:pt idx="27">
                  <c:v>9.02</c:v>
                </c:pt>
                <c:pt idx="28">
                  <c:v>9.3000000000000007</c:v>
                </c:pt>
                <c:pt idx="29">
                  <c:v>9.61</c:v>
                </c:pt>
                <c:pt idx="30">
                  <c:v>9.5399999999999991</c:v>
                </c:pt>
                <c:pt idx="31">
                  <c:v>9.9</c:v>
                </c:pt>
                <c:pt idx="32">
                  <c:v>9.43</c:v>
                </c:pt>
                <c:pt idx="33">
                  <c:v>9.24</c:v>
                </c:pt>
                <c:pt idx="34">
                  <c:v>8.76</c:v>
                </c:pt>
                <c:pt idx="35">
                  <c:v>8.34</c:v>
                </c:pt>
                <c:pt idx="36">
                  <c:v>8.2200000000000006</c:v>
                </c:pt>
                <c:pt idx="37">
                  <c:v>8.6999999999999993</c:v>
                </c:pt>
                <c:pt idx="38">
                  <c:v>8.8000000000000007</c:v>
                </c:pt>
                <c:pt idx="39">
                  <c:v>8.67</c:v>
                </c:pt>
                <c:pt idx="40">
                  <c:v>8.42</c:v>
                </c:pt>
                <c:pt idx="41">
                  <c:v>8.76</c:v>
                </c:pt>
                <c:pt idx="42">
                  <c:v>8.76</c:v>
                </c:pt>
                <c:pt idx="43">
                  <c:v>8.7799999999999994</c:v>
                </c:pt>
                <c:pt idx="44">
                  <c:v>8.41</c:v>
                </c:pt>
                <c:pt idx="45">
                  <c:v>8.5</c:v>
                </c:pt>
                <c:pt idx="46">
                  <c:v>9.09</c:v>
                </c:pt>
                <c:pt idx="47">
                  <c:v>9.58</c:v>
                </c:pt>
                <c:pt idx="48">
                  <c:v>9.4600000000000009</c:v>
                </c:pt>
                <c:pt idx="49">
                  <c:v>9.77</c:v>
                </c:pt>
                <c:pt idx="50">
                  <c:v>9.06</c:v>
                </c:pt>
                <c:pt idx="51">
                  <c:v>8.92</c:v>
                </c:pt>
                <c:pt idx="52">
                  <c:v>9.01</c:v>
                </c:pt>
                <c:pt idx="53">
                  <c:v>8.68</c:v>
                </c:pt>
                <c:pt idx="54">
                  <c:v>9.0399999999999991</c:v>
                </c:pt>
                <c:pt idx="55">
                  <c:v>9.17</c:v>
                </c:pt>
                <c:pt idx="56">
                  <c:v>9.1199999999999992</c:v>
                </c:pt>
                <c:pt idx="57">
                  <c:v>9.16</c:v>
                </c:pt>
                <c:pt idx="58">
                  <c:v>8.9600000000000009</c:v>
                </c:pt>
                <c:pt idx="59">
                  <c:v>8.08</c:v>
                </c:pt>
                <c:pt idx="60">
                  <c:v>8.6</c:v>
                </c:pt>
                <c:pt idx="61">
                  <c:v>8.36</c:v>
                </c:pt>
                <c:pt idx="62">
                  <c:v>8.3699999999999992</c:v>
                </c:pt>
                <c:pt idx="63">
                  <c:v>8.41</c:v>
                </c:pt>
                <c:pt idx="64">
                  <c:v>8.25</c:v>
                </c:pt>
                <c:pt idx="65">
                  <c:v>8.1</c:v>
                </c:pt>
                <c:pt idx="66">
                  <c:v>7.99</c:v>
                </c:pt>
                <c:pt idx="67">
                  <c:v>8.06</c:v>
                </c:pt>
                <c:pt idx="68">
                  <c:v>8.5299999999999994</c:v>
                </c:pt>
                <c:pt idx="69">
                  <c:v>8.3800000000000008</c:v>
                </c:pt>
                <c:pt idx="70">
                  <c:v>8.42</c:v>
                </c:pt>
                <c:pt idx="71">
                  <c:v>8.09</c:v>
                </c:pt>
                <c:pt idx="72">
                  <c:v>8.14</c:v>
                </c:pt>
                <c:pt idx="73">
                  <c:v>8.15</c:v>
                </c:pt>
                <c:pt idx="74">
                  <c:v>8.43</c:v>
                </c:pt>
                <c:pt idx="75">
                  <c:v>8.5399999999999991</c:v>
                </c:pt>
                <c:pt idx="76">
                  <c:v>8.0500000000000007</c:v>
                </c:pt>
                <c:pt idx="77">
                  <c:v>8.08</c:v>
                </c:pt>
                <c:pt idx="78">
                  <c:v>8.48</c:v>
                </c:pt>
                <c:pt idx="79">
                  <c:v>8.86</c:v>
                </c:pt>
                <c:pt idx="80">
                  <c:v>8.9600000000000009</c:v>
                </c:pt>
                <c:pt idx="81">
                  <c:v>9.69</c:v>
                </c:pt>
                <c:pt idx="82">
                  <c:v>9.1199999999999992</c:v>
                </c:pt>
                <c:pt idx="83">
                  <c:v>9.16</c:v>
                </c:pt>
                <c:pt idx="84">
                  <c:v>9.33</c:v>
                </c:pt>
                <c:pt idx="85">
                  <c:v>8.8699999999999992</c:v>
                </c:pt>
                <c:pt idx="86">
                  <c:v>8.98</c:v>
                </c:pt>
                <c:pt idx="87">
                  <c:v>9.01</c:v>
                </c:pt>
                <c:pt idx="88">
                  <c:v>8.74</c:v>
                </c:pt>
                <c:pt idx="89">
                  <c:v>8.83</c:v>
                </c:pt>
                <c:pt idx="90">
                  <c:v>9.16</c:v>
                </c:pt>
                <c:pt idx="91">
                  <c:v>9.19</c:v>
                </c:pt>
                <c:pt idx="92">
                  <c:v>9.25</c:v>
                </c:pt>
                <c:pt idx="93">
                  <c:v>9.43</c:v>
                </c:pt>
                <c:pt idx="94">
                  <c:v>9.35</c:v>
                </c:pt>
                <c:pt idx="95">
                  <c:v>9.35</c:v>
                </c:pt>
                <c:pt idx="96">
                  <c:v>9.6999999999999993</c:v>
                </c:pt>
                <c:pt idx="97">
                  <c:v>9.77</c:v>
                </c:pt>
                <c:pt idx="98">
                  <c:v>9.98</c:v>
                </c:pt>
                <c:pt idx="99">
                  <c:v>9.91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47-4C94-AAC8-DB592828618D}"/>
            </c:ext>
          </c:extLst>
        </c:ser>
        <c:ser>
          <c:idx val="1"/>
          <c:order val="1"/>
          <c:tx>
            <c:strRef>
              <c:f>CRGY!$M$1</c:f>
              <c:strCache>
                <c:ptCount val="1"/>
                <c:pt idx="0">
                  <c:v>50d High SMA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CRGY!$I$2:$I$236</c:f>
              <c:numCache>
                <c:formatCode>m/d/yyyy</c:formatCode>
                <c:ptCount val="235"/>
                <c:pt idx="0">
                  <c:v>45856</c:v>
                </c:pt>
                <c:pt idx="1">
                  <c:v>45859</c:v>
                </c:pt>
                <c:pt idx="2">
                  <c:v>45860</c:v>
                </c:pt>
                <c:pt idx="3">
                  <c:v>45861</c:v>
                </c:pt>
                <c:pt idx="4">
                  <c:v>45862</c:v>
                </c:pt>
                <c:pt idx="5">
                  <c:v>45863</c:v>
                </c:pt>
                <c:pt idx="6">
                  <c:v>45866</c:v>
                </c:pt>
                <c:pt idx="7">
                  <c:v>45867</c:v>
                </c:pt>
                <c:pt idx="8">
                  <c:v>45868</c:v>
                </c:pt>
                <c:pt idx="9">
                  <c:v>45869</c:v>
                </c:pt>
                <c:pt idx="10">
                  <c:v>45870</c:v>
                </c:pt>
                <c:pt idx="11">
                  <c:v>45873</c:v>
                </c:pt>
                <c:pt idx="12">
                  <c:v>45874</c:v>
                </c:pt>
                <c:pt idx="13">
                  <c:v>45875</c:v>
                </c:pt>
                <c:pt idx="14">
                  <c:v>45876</c:v>
                </c:pt>
                <c:pt idx="15">
                  <c:v>45877</c:v>
                </c:pt>
                <c:pt idx="16">
                  <c:v>45880</c:v>
                </c:pt>
                <c:pt idx="17">
                  <c:v>45881</c:v>
                </c:pt>
                <c:pt idx="18">
                  <c:v>45882</c:v>
                </c:pt>
                <c:pt idx="19">
                  <c:v>45883</c:v>
                </c:pt>
                <c:pt idx="20">
                  <c:v>45884</c:v>
                </c:pt>
                <c:pt idx="21">
                  <c:v>45887</c:v>
                </c:pt>
                <c:pt idx="22">
                  <c:v>45888</c:v>
                </c:pt>
                <c:pt idx="23">
                  <c:v>45889</c:v>
                </c:pt>
                <c:pt idx="24">
                  <c:v>45890</c:v>
                </c:pt>
                <c:pt idx="25">
                  <c:v>45891</c:v>
                </c:pt>
                <c:pt idx="26">
                  <c:v>45894</c:v>
                </c:pt>
                <c:pt idx="27">
                  <c:v>45895</c:v>
                </c:pt>
                <c:pt idx="28">
                  <c:v>45896</c:v>
                </c:pt>
                <c:pt idx="29">
                  <c:v>45897</c:v>
                </c:pt>
                <c:pt idx="30">
                  <c:v>45898</c:v>
                </c:pt>
                <c:pt idx="31">
                  <c:v>45902</c:v>
                </c:pt>
                <c:pt idx="32">
                  <c:v>45903</c:v>
                </c:pt>
                <c:pt idx="33">
                  <c:v>45904</c:v>
                </c:pt>
                <c:pt idx="34">
                  <c:v>45905</c:v>
                </c:pt>
                <c:pt idx="35">
                  <c:v>45908</c:v>
                </c:pt>
                <c:pt idx="36">
                  <c:v>45909</c:v>
                </c:pt>
                <c:pt idx="37">
                  <c:v>45910</c:v>
                </c:pt>
                <c:pt idx="38">
                  <c:v>45911</c:v>
                </c:pt>
                <c:pt idx="39">
                  <c:v>45912</c:v>
                </c:pt>
                <c:pt idx="40">
                  <c:v>45915</c:v>
                </c:pt>
                <c:pt idx="41">
                  <c:v>45916</c:v>
                </c:pt>
                <c:pt idx="42">
                  <c:v>45917</c:v>
                </c:pt>
                <c:pt idx="43">
                  <c:v>45918</c:v>
                </c:pt>
                <c:pt idx="44">
                  <c:v>45919</c:v>
                </c:pt>
                <c:pt idx="45">
                  <c:v>45922</c:v>
                </c:pt>
                <c:pt idx="46">
                  <c:v>45923</c:v>
                </c:pt>
                <c:pt idx="47">
                  <c:v>45924</c:v>
                </c:pt>
                <c:pt idx="48">
                  <c:v>45925</c:v>
                </c:pt>
                <c:pt idx="49">
                  <c:v>45926</c:v>
                </c:pt>
                <c:pt idx="50">
                  <c:v>45929</c:v>
                </c:pt>
                <c:pt idx="51">
                  <c:v>45930</c:v>
                </c:pt>
                <c:pt idx="52">
                  <c:v>45931</c:v>
                </c:pt>
                <c:pt idx="53">
                  <c:v>45932</c:v>
                </c:pt>
                <c:pt idx="54">
                  <c:v>45933</c:v>
                </c:pt>
                <c:pt idx="55">
                  <c:v>45936</c:v>
                </c:pt>
                <c:pt idx="56">
                  <c:v>45937</c:v>
                </c:pt>
                <c:pt idx="57">
                  <c:v>45938</c:v>
                </c:pt>
                <c:pt idx="58">
                  <c:v>45939</c:v>
                </c:pt>
                <c:pt idx="59">
                  <c:v>45940</c:v>
                </c:pt>
                <c:pt idx="60">
                  <c:v>45943</c:v>
                </c:pt>
                <c:pt idx="61">
                  <c:v>45944</c:v>
                </c:pt>
                <c:pt idx="62">
                  <c:v>45945</c:v>
                </c:pt>
                <c:pt idx="63">
                  <c:v>45946</c:v>
                </c:pt>
                <c:pt idx="64">
                  <c:v>45947</c:v>
                </c:pt>
                <c:pt idx="65">
                  <c:v>45950</c:v>
                </c:pt>
                <c:pt idx="66">
                  <c:v>45951</c:v>
                </c:pt>
                <c:pt idx="67">
                  <c:v>45952</c:v>
                </c:pt>
                <c:pt idx="68">
                  <c:v>45953</c:v>
                </c:pt>
                <c:pt idx="69">
                  <c:v>45954</c:v>
                </c:pt>
                <c:pt idx="70">
                  <c:v>45957</c:v>
                </c:pt>
                <c:pt idx="71">
                  <c:v>45958</c:v>
                </c:pt>
                <c:pt idx="72">
                  <c:v>45959</c:v>
                </c:pt>
                <c:pt idx="73">
                  <c:v>45960</c:v>
                </c:pt>
                <c:pt idx="74">
                  <c:v>45961</c:v>
                </c:pt>
                <c:pt idx="75">
                  <c:v>45964</c:v>
                </c:pt>
                <c:pt idx="76">
                  <c:v>45965</c:v>
                </c:pt>
                <c:pt idx="77">
                  <c:v>45966</c:v>
                </c:pt>
                <c:pt idx="78">
                  <c:v>45967</c:v>
                </c:pt>
                <c:pt idx="79">
                  <c:v>45968</c:v>
                </c:pt>
                <c:pt idx="80">
                  <c:v>45971</c:v>
                </c:pt>
                <c:pt idx="81">
                  <c:v>45972</c:v>
                </c:pt>
                <c:pt idx="82">
                  <c:v>45973</c:v>
                </c:pt>
                <c:pt idx="83">
                  <c:v>45974</c:v>
                </c:pt>
                <c:pt idx="84">
                  <c:v>45975</c:v>
                </c:pt>
                <c:pt idx="85">
                  <c:v>45978</c:v>
                </c:pt>
                <c:pt idx="86">
                  <c:v>45979</c:v>
                </c:pt>
                <c:pt idx="87">
                  <c:v>45980</c:v>
                </c:pt>
                <c:pt idx="88">
                  <c:v>45981</c:v>
                </c:pt>
                <c:pt idx="89">
                  <c:v>45982</c:v>
                </c:pt>
                <c:pt idx="90">
                  <c:v>45985</c:v>
                </c:pt>
                <c:pt idx="91">
                  <c:v>45986</c:v>
                </c:pt>
                <c:pt idx="92">
                  <c:v>45987</c:v>
                </c:pt>
                <c:pt idx="93">
                  <c:v>45989</c:v>
                </c:pt>
                <c:pt idx="94">
                  <c:v>45992</c:v>
                </c:pt>
                <c:pt idx="95">
                  <c:v>45993</c:v>
                </c:pt>
                <c:pt idx="96">
                  <c:v>45994</c:v>
                </c:pt>
                <c:pt idx="97">
                  <c:v>45995</c:v>
                </c:pt>
                <c:pt idx="98">
                  <c:v>45996</c:v>
                </c:pt>
                <c:pt idx="99">
                  <c:v>45999</c:v>
                </c:pt>
              </c:numCache>
            </c:numRef>
          </c:cat>
          <c:val>
            <c:numRef>
              <c:f>CRGY!$M$2:$M$236</c:f>
              <c:numCache>
                <c:formatCode>General</c:formatCode>
                <c:ptCount val="235"/>
                <c:pt idx="0">
                  <c:v>9.1286640000000041</c:v>
                </c:pt>
                <c:pt idx="1">
                  <c:v>9.1420400000000033</c:v>
                </c:pt>
                <c:pt idx="2">
                  <c:v>9.1470400000000023</c:v>
                </c:pt>
                <c:pt idx="3">
                  <c:v>9.1543400000000013</c:v>
                </c:pt>
                <c:pt idx="4">
                  <c:v>9.1527399999999997</c:v>
                </c:pt>
                <c:pt idx="5">
                  <c:v>9.146452</c:v>
                </c:pt>
                <c:pt idx="6">
                  <c:v>9.1468520000000009</c:v>
                </c:pt>
                <c:pt idx="7">
                  <c:v>9.1542519999999996</c:v>
                </c:pt>
                <c:pt idx="8">
                  <c:v>9.1616519999999984</c:v>
                </c:pt>
                <c:pt idx="9">
                  <c:v>9.1710519999999978</c:v>
                </c:pt>
                <c:pt idx="10">
                  <c:v>9.1703519999999994</c:v>
                </c:pt>
                <c:pt idx="11">
                  <c:v>9.1707519999999985</c:v>
                </c:pt>
                <c:pt idx="12">
                  <c:v>9.188051999999999</c:v>
                </c:pt>
                <c:pt idx="13">
                  <c:v>9.2116519999999973</c:v>
                </c:pt>
                <c:pt idx="14">
                  <c:v>9.2289519999999978</c:v>
                </c:pt>
                <c:pt idx="15">
                  <c:v>9.2412879999999991</c:v>
                </c:pt>
                <c:pt idx="16">
                  <c:v>9.2551939999999977</c:v>
                </c:pt>
                <c:pt idx="17">
                  <c:v>9.2696939999999977</c:v>
                </c:pt>
                <c:pt idx="18">
                  <c:v>9.2865939999999974</c:v>
                </c:pt>
                <c:pt idx="19">
                  <c:v>9.2966939999999987</c:v>
                </c:pt>
                <c:pt idx="20">
                  <c:v>9.3052699999999984</c:v>
                </c:pt>
                <c:pt idx="21">
                  <c:v>9.3157700000000006</c:v>
                </c:pt>
                <c:pt idx="22">
                  <c:v>9.3223699999999994</c:v>
                </c:pt>
                <c:pt idx="23">
                  <c:v>9.3250700000000002</c:v>
                </c:pt>
                <c:pt idx="24">
                  <c:v>9.3257699999999986</c:v>
                </c:pt>
                <c:pt idx="25">
                  <c:v>9.3335699999999999</c:v>
                </c:pt>
                <c:pt idx="26">
                  <c:v>9.33507</c:v>
                </c:pt>
                <c:pt idx="27">
                  <c:v>9.3253699999999995</c:v>
                </c:pt>
                <c:pt idx="28">
                  <c:v>9.3220700000000001</c:v>
                </c:pt>
                <c:pt idx="29">
                  <c:v>9.3168700000000015</c:v>
                </c:pt>
                <c:pt idx="30">
                  <c:v>9.314070000000001</c:v>
                </c:pt>
                <c:pt idx="31">
                  <c:v>9.3202700000000007</c:v>
                </c:pt>
                <c:pt idx="32">
                  <c:v>9.3269700000000011</c:v>
                </c:pt>
                <c:pt idx="33">
                  <c:v>9.3372700000000002</c:v>
                </c:pt>
                <c:pt idx="34">
                  <c:v>9.3464700000000001</c:v>
                </c:pt>
                <c:pt idx="35">
                  <c:v>9.343869999999999</c:v>
                </c:pt>
                <c:pt idx="36">
                  <c:v>9.3332700000000006</c:v>
                </c:pt>
                <c:pt idx="37">
                  <c:v>9.3292700000000011</c:v>
                </c:pt>
                <c:pt idx="38">
                  <c:v>9.3252699999999997</c:v>
                </c:pt>
                <c:pt idx="39">
                  <c:v>9.3204700000000003</c:v>
                </c:pt>
                <c:pt idx="40">
                  <c:v>9.3098700000000019</c:v>
                </c:pt>
                <c:pt idx="41">
                  <c:v>9.302480000000001</c:v>
                </c:pt>
                <c:pt idx="42">
                  <c:v>9.2933800000000009</c:v>
                </c:pt>
                <c:pt idx="43">
                  <c:v>9.2811800000000009</c:v>
                </c:pt>
                <c:pt idx="44">
                  <c:v>9.2690799999999989</c:v>
                </c:pt>
                <c:pt idx="45">
                  <c:v>9.2538799999999988</c:v>
                </c:pt>
                <c:pt idx="46">
                  <c:v>9.2538799999999988</c:v>
                </c:pt>
                <c:pt idx="47">
                  <c:v>9.2718739999999986</c:v>
                </c:pt>
                <c:pt idx="48">
                  <c:v>9.2983740000000008</c:v>
                </c:pt>
                <c:pt idx="49">
                  <c:v>9.326474000000001</c:v>
                </c:pt>
                <c:pt idx="50">
                  <c:v>9.3398740000000018</c:v>
                </c:pt>
                <c:pt idx="51">
                  <c:v>9.3434980000000003</c:v>
                </c:pt>
                <c:pt idx="52">
                  <c:v>9.3514979999999994</c:v>
                </c:pt>
                <c:pt idx="53">
                  <c:v>9.3525979999999986</c:v>
                </c:pt>
                <c:pt idx="54">
                  <c:v>9.3491979999999995</c:v>
                </c:pt>
                <c:pt idx="55">
                  <c:v>9.3506859999999996</c:v>
                </c:pt>
                <c:pt idx="56">
                  <c:v>9.3426819999999999</c:v>
                </c:pt>
                <c:pt idx="57">
                  <c:v>9.3326820000000001</c:v>
                </c:pt>
                <c:pt idx="58">
                  <c:v>9.3278820000000024</c:v>
                </c:pt>
                <c:pt idx="59">
                  <c:v>9.3154819999999994</c:v>
                </c:pt>
                <c:pt idx="60">
                  <c:v>9.3052820000000001</c:v>
                </c:pt>
                <c:pt idx="61">
                  <c:v>9.2968820000000001</c:v>
                </c:pt>
                <c:pt idx="62">
                  <c:v>9.2807819999999985</c:v>
                </c:pt>
                <c:pt idx="63">
                  <c:v>9.2615819999999989</c:v>
                </c:pt>
                <c:pt idx="64">
                  <c:v>9.2399819999999995</c:v>
                </c:pt>
                <c:pt idx="65">
                  <c:v>9.2200819999999979</c:v>
                </c:pt>
                <c:pt idx="66">
                  <c:v>9.1948819999999998</c:v>
                </c:pt>
                <c:pt idx="67">
                  <c:v>9.1718820000000001</c:v>
                </c:pt>
                <c:pt idx="68">
                  <c:v>9.1531819999999993</c:v>
                </c:pt>
                <c:pt idx="69">
                  <c:v>9.1335820000000005</c:v>
                </c:pt>
                <c:pt idx="70">
                  <c:v>9.1122060000000005</c:v>
                </c:pt>
                <c:pt idx="71">
                  <c:v>9.0919059999999998</c:v>
                </c:pt>
                <c:pt idx="72">
                  <c:v>9.0680699999999987</c:v>
                </c:pt>
                <c:pt idx="73">
                  <c:v>9.0478699999999996</c:v>
                </c:pt>
                <c:pt idx="74">
                  <c:v>9.0273700000000012</c:v>
                </c:pt>
                <c:pt idx="75">
                  <c:v>9.0017700000000005</c:v>
                </c:pt>
                <c:pt idx="76">
                  <c:v>8.9799699999999998</c:v>
                </c:pt>
                <c:pt idx="77">
                  <c:v>8.9569700000000001</c:v>
                </c:pt>
                <c:pt idx="78">
                  <c:v>8.9364340000000002</c:v>
                </c:pt>
                <c:pt idx="79">
                  <c:v>8.922034</c:v>
                </c:pt>
                <c:pt idx="80">
                  <c:v>8.9106339999999982</c:v>
                </c:pt>
                <c:pt idx="81">
                  <c:v>8.908733999999999</c:v>
                </c:pt>
                <c:pt idx="82">
                  <c:v>8.9039339999999978</c:v>
                </c:pt>
                <c:pt idx="83">
                  <c:v>8.9016339999999996</c:v>
                </c:pt>
                <c:pt idx="84">
                  <c:v>8.9062339999999995</c:v>
                </c:pt>
                <c:pt idx="85">
                  <c:v>8.9159339999999982</c:v>
                </c:pt>
                <c:pt idx="86">
                  <c:v>8.9267339999999997</c:v>
                </c:pt>
                <c:pt idx="87">
                  <c:v>8.9331340000000008</c:v>
                </c:pt>
                <c:pt idx="88">
                  <c:v>8.9449339999999982</c:v>
                </c:pt>
                <c:pt idx="89">
                  <c:v>8.9435339999999979</c:v>
                </c:pt>
                <c:pt idx="90">
                  <c:v>8.9533339999999981</c:v>
                </c:pt>
                <c:pt idx="91">
                  <c:v>8.9614239999999992</c:v>
                </c:pt>
                <c:pt idx="92">
                  <c:v>8.9686239999999984</c:v>
                </c:pt>
                <c:pt idx="93">
                  <c:v>8.9812239999999992</c:v>
                </c:pt>
                <c:pt idx="94">
                  <c:v>8.9990239999999986</c:v>
                </c:pt>
                <c:pt idx="95">
                  <c:v>9.0164239999999989</c:v>
                </c:pt>
                <c:pt idx="96">
                  <c:v>9.0276239999999994</c:v>
                </c:pt>
                <c:pt idx="97">
                  <c:v>9.0299239999999994</c:v>
                </c:pt>
                <c:pt idx="98">
                  <c:v>9.0406239999999993</c:v>
                </c:pt>
                <c:pt idx="99">
                  <c:v>9.0422239999999992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47-4C94-AAC8-DB592828618D}"/>
            </c:ext>
          </c:extLst>
        </c:ser>
        <c:ser>
          <c:idx val="2"/>
          <c:order val="2"/>
          <c:tx>
            <c:strRef>
              <c:f>CRGY!$N$1</c:f>
              <c:strCache>
                <c:ptCount val="1"/>
                <c:pt idx="0">
                  <c:v>50d Low SMA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CRGY!$I$2:$I$236</c:f>
              <c:numCache>
                <c:formatCode>m/d/yyyy</c:formatCode>
                <c:ptCount val="235"/>
                <c:pt idx="0">
                  <c:v>45856</c:v>
                </c:pt>
                <c:pt idx="1">
                  <c:v>45859</c:v>
                </c:pt>
                <c:pt idx="2">
                  <c:v>45860</c:v>
                </c:pt>
                <c:pt idx="3">
                  <c:v>45861</c:v>
                </c:pt>
                <c:pt idx="4">
                  <c:v>45862</c:v>
                </c:pt>
                <c:pt idx="5">
                  <c:v>45863</c:v>
                </c:pt>
                <c:pt idx="6">
                  <c:v>45866</c:v>
                </c:pt>
                <c:pt idx="7">
                  <c:v>45867</c:v>
                </c:pt>
                <c:pt idx="8">
                  <c:v>45868</c:v>
                </c:pt>
                <c:pt idx="9">
                  <c:v>45869</c:v>
                </c:pt>
                <c:pt idx="10">
                  <c:v>45870</c:v>
                </c:pt>
                <c:pt idx="11">
                  <c:v>45873</c:v>
                </c:pt>
                <c:pt idx="12">
                  <c:v>45874</c:v>
                </c:pt>
                <c:pt idx="13">
                  <c:v>45875</c:v>
                </c:pt>
                <c:pt idx="14">
                  <c:v>45876</c:v>
                </c:pt>
                <c:pt idx="15">
                  <c:v>45877</c:v>
                </c:pt>
                <c:pt idx="16">
                  <c:v>45880</c:v>
                </c:pt>
                <c:pt idx="17">
                  <c:v>45881</c:v>
                </c:pt>
                <c:pt idx="18">
                  <c:v>45882</c:v>
                </c:pt>
                <c:pt idx="19">
                  <c:v>45883</c:v>
                </c:pt>
                <c:pt idx="20">
                  <c:v>45884</c:v>
                </c:pt>
                <c:pt idx="21">
                  <c:v>45887</c:v>
                </c:pt>
                <c:pt idx="22">
                  <c:v>45888</c:v>
                </c:pt>
                <c:pt idx="23">
                  <c:v>45889</c:v>
                </c:pt>
                <c:pt idx="24">
                  <c:v>45890</c:v>
                </c:pt>
                <c:pt idx="25">
                  <c:v>45891</c:v>
                </c:pt>
                <c:pt idx="26">
                  <c:v>45894</c:v>
                </c:pt>
                <c:pt idx="27">
                  <c:v>45895</c:v>
                </c:pt>
                <c:pt idx="28">
                  <c:v>45896</c:v>
                </c:pt>
                <c:pt idx="29">
                  <c:v>45897</c:v>
                </c:pt>
                <c:pt idx="30">
                  <c:v>45898</c:v>
                </c:pt>
                <c:pt idx="31">
                  <c:v>45902</c:v>
                </c:pt>
                <c:pt idx="32">
                  <c:v>45903</c:v>
                </c:pt>
                <c:pt idx="33">
                  <c:v>45904</c:v>
                </c:pt>
                <c:pt idx="34">
                  <c:v>45905</c:v>
                </c:pt>
                <c:pt idx="35">
                  <c:v>45908</c:v>
                </c:pt>
                <c:pt idx="36">
                  <c:v>45909</c:v>
                </c:pt>
                <c:pt idx="37">
                  <c:v>45910</c:v>
                </c:pt>
                <c:pt idx="38">
                  <c:v>45911</c:v>
                </c:pt>
                <c:pt idx="39">
                  <c:v>45912</c:v>
                </c:pt>
                <c:pt idx="40">
                  <c:v>45915</c:v>
                </c:pt>
                <c:pt idx="41">
                  <c:v>45916</c:v>
                </c:pt>
                <c:pt idx="42">
                  <c:v>45917</c:v>
                </c:pt>
                <c:pt idx="43">
                  <c:v>45918</c:v>
                </c:pt>
                <c:pt idx="44">
                  <c:v>45919</c:v>
                </c:pt>
                <c:pt idx="45">
                  <c:v>45922</c:v>
                </c:pt>
                <c:pt idx="46">
                  <c:v>45923</c:v>
                </c:pt>
                <c:pt idx="47">
                  <c:v>45924</c:v>
                </c:pt>
                <c:pt idx="48">
                  <c:v>45925</c:v>
                </c:pt>
                <c:pt idx="49">
                  <c:v>45926</c:v>
                </c:pt>
                <c:pt idx="50">
                  <c:v>45929</c:v>
                </c:pt>
                <c:pt idx="51">
                  <c:v>45930</c:v>
                </c:pt>
                <c:pt idx="52">
                  <c:v>45931</c:v>
                </c:pt>
                <c:pt idx="53">
                  <c:v>45932</c:v>
                </c:pt>
                <c:pt idx="54">
                  <c:v>45933</c:v>
                </c:pt>
                <c:pt idx="55">
                  <c:v>45936</c:v>
                </c:pt>
                <c:pt idx="56">
                  <c:v>45937</c:v>
                </c:pt>
                <c:pt idx="57">
                  <c:v>45938</c:v>
                </c:pt>
                <c:pt idx="58">
                  <c:v>45939</c:v>
                </c:pt>
                <c:pt idx="59">
                  <c:v>45940</c:v>
                </c:pt>
                <c:pt idx="60">
                  <c:v>45943</c:v>
                </c:pt>
                <c:pt idx="61">
                  <c:v>45944</c:v>
                </c:pt>
                <c:pt idx="62">
                  <c:v>45945</c:v>
                </c:pt>
                <c:pt idx="63">
                  <c:v>45946</c:v>
                </c:pt>
                <c:pt idx="64">
                  <c:v>45947</c:v>
                </c:pt>
                <c:pt idx="65">
                  <c:v>45950</c:v>
                </c:pt>
                <c:pt idx="66">
                  <c:v>45951</c:v>
                </c:pt>
                <c:pt idx="67">
                  <c:v>45952</c:v>
                </c:pt>
                <c:pt idx="68">
                  <c:v>45953</c:v>
                </c:pt>
                <c:pt idx="69">
                  <c:v>45954</c:v>
                </c:pt>
                <c:pt idx="70">
                  <c:v>45957</c:v>
                </c:pt>
                <c:pt idx="71">
                  <c:v>45958</c:v>
                </c:pt>
                <c:pt idx="72">
                  <c:v>45959</c:v>
                </c:pt>
                <c:pt idx="73">
                  <c:v>45960</c:v>
                </c:pt>
                <c:pt idx="74">
                  <c:v>45961</c:v>
                </c:pt>
                <c:pt idx="75">
                  <c:v>45964</c:v>
                </c:pt>
                <c:pt idx="76">
                  <c:v>45965</c:v>
                </c:pt>
                <c:pt idx="77">
                  <c:v>45966</c:v>
                </c:pt>
                <c:pt idx="78">
                  <c:v>45967</c:v>
                </c:pt>
                <c:pt idx="79">
                  <c:v>45968</c:v>
                </c:pt>
                <c:pt idx="80">
                  <c:v>45971</c:v>
                </c:pt>
                <c:pt idx="81">
                  <c:v>45972</c:v>
                </c:pt>
                <c:pt idx="82">
                  <c:v>45973</c:v>
                </c:pt>
                <c:pt idx="83">
                  <c:v>45974</c:v>
                </c:pt>
                <c:pt idx="84">
                  <c:v>45975</c:v>
                </c:pt>
                <c:pt idx="85">
                  <c:v>45978</c:v>
                </c:pt>
                <c:pt idx="86">
                  <c:v>45979</c:v>
                </c:pt>
                <c:pt idx="87">
                  <c:v>45980</c:v>
                </c:pt>
                <c:pt idx="88">
                  <c:v>45981</c:v>
                </c:pt>
                <c:pt idx="89">
                  <c:v>45982</c:v>
                </c:pt>
                <c:pt idx="90">
                  <c:v>45985</c:v>
                </c:pt>
                <c:pt idx="91">
                  <c:v>45986</c:v>
                </c:pt>
                <c:pt idx="92">
                  <c:v>45987</c:v>
                </c:pt>
                <c:pt idx="93">
                  <c:v>45989</c:v>
                </c:pt>
                <c:pt idx="94">
                  <c:v>45992</c:v>
                </c:pt>
                <c:pt idx="95">
                  <c:v>45993</c:v>
                </c:pt>
                <c:pt idx="96">
                  <c:v>45994</c:v>
                </c:pt>
                <c:pt idx="97">
                  <c:v>45995</c:v>
                </c:pt>
                <c:pt idx="98">
                  <c:v>45996</c:v>
                </c:pt>
                <c:pt idx="99">
                  <c:v>45999</c:v>
                </c:pt>
              </c:numCache>
            </c:numRef>
          </c:cat>
          <c:val>
            <c:numRef>
              <c:f>CRGY!$N$2:$N$236</c:f>
              <c:numCache>
                <c:formatCode>General</c:formatCode>
                <c:ptCount val="235"/>
                <c:pt idx="0">
                  <c:v>8.7699339999999992</c:v>
                </c:pt>
                <c:pt idx="1">
                  <c:v>8.7829340000000009</c:v>
                </c:pt>
                <c:pt idx="2">
                  <c:v>8.7919339999999995</c:v>
                </c:pt>
                <c:pt idx="3">
                  <c:v>8.7966660000000001</c:v>
                </c:pt>
                <c:pt idx="4">
                  <c:v>8.7937660000000015</c:v>
                </c:pt>
                <c:pt idx="5">
                  <c:v>8.7938660000000013</c:v>
                </c:pt>
                <c:pt idx="6">
                  <c:v>8.7930659999999996</c:v>
                </c:pt>
                <c:pt idx="7">
                  <c:v>8.7996660000000002</c:v>
                </c:pt>
                <c:pt idx="8">
                  <c:v>8.8081659999999982</c:v>
                </c:pt>
                <c:pt idx="9">
                  <c:v>8.815766</c:v>
                </c:pt>
                <c:pt idx="10">
                  <c:v>8.8124660000000006</c:v>
                </c:pt>
                <c:pt idx="11">
                  <c:v>8.8138660000000009</c:v>
                </c:pt>
                <c:pt idx="12">
                  <c:v>8.8268660000000008</c:v>
                </c:pt>
                <c:pt idx="13">
                  <c:v>8.8445660000000004</c:v>
                </c:pt>
                <c:pt idx="14">
                  <c:v>8.8593659999999996</c:v>
                </c:pt>
                <c:pt idx="15">
                  <c:v>8.8693659999999994</c:v>
                </c:pt>
                <c:pt idx="16">
                  <c:v>8.8767659999999999</c:v>
                </c:pt>
                <c:pt idx="17">
                  <c:v>8.8899659999999976</c:v>
                </c:pt>
                <c:pt idx="18">
                  <c:v>8.9056659999999983</c:v>
                </c:pt>
                <c:pt idx="19">
                  <c:v>8.9240659999999998</c:v>
                </c:pt>
                <c:pt idx="20">
                  <c:v>8.937759999999999</c:v>
                </c:pt>
                <c:pt idx="21">
                  <c:v>8.9482599999999994</c:v>
                </c:pt>
                <c:pt idx="22">
                  <c:v>8.9551599999999993</c:v>
                </c:pt>
                <c:pt idx="23">
                  <c:v>8.9568599999999989</c:v>
                </c:pt>
                <c:pt idx="24">
                  <c:v>8.9570599999999985</c:v>
                </c:pt>
                <c:pt idx="25">
                  <c:v>8.961059999999998</c:v>
                </c:pt>
                <c:pt idx="26">
                  <c:v>8.9532759999999989</c:v>
                </c:pt>
                <c:pt idx="27">
                  <c:v>8.9428759999999983</c:v>
                </c:pt>
                <c:pt idx="28">
                  <c:v>8.9346760000000014</c:v>
                </c:pt>
                <c:pt idx="29">
                  <c:v>8.928075999999999</c:v>
                </c:pt>
                <c:pt idx="30">
                  <c:v>8.9278699999999986</c:v>
                </c:pt>
                <c:pt idx="31">
                  <c:v>8.9283699999999975</c:v>
                </c:pt>
                <c:pt idx="32">
                  <c:v>8.9373699999999978</c:v>
                </c:pt>
                <c:pt idx="33">
                  <c:v>8.9476699999999987</c:v>
                </c:pt>
                <c:pt idx="34">
                  <c:v>8.9507700000000003</c:v>
                </c:pt>
                <c:pt idx="35">
                  <c:v>8.9451699999999992</c:v>
                </c:pt>
                <c:pt idx="36">
                  <c:v>8.93187</c:v>
                </c:pt>
                <c:pt idx="37">
                  <c:v>8.9247700000000005</c:v>
                </c:pt>
                <c:pt idx="38">
                  <c:v>8.924570000000001</c:v>
                </c:pt>
                <c:pt idx="39">
                  <c:v>8.9204699999999999</c:v>
                </c:pt>
                <c:pt idx="40">
                  <c:v>8.9071700000000007</c:v>
                </c:pt>
                <c:pt idx="41">
                  <c:v>8.9037700000000015</c:v>
                </c:pt>
                <c:pt idx="42">
                  <c:v>8.9000200000000014</c:v>
                </c:pt>
                <c:pt idx="43">
                  <c:v>8.8904200000000007</c:v>
                </c:pt>
                <c:pt idx="44">
                  <c:v>8.8782200000000007</c:v>
                </c:pt>
                <c:pt idx="45">
                  <c:v>8.8611200000000014</c:v>
                </c:pt>
                <c:pt idx="46">
                  <c:v>8.8583200000000009</c:v>
                </c:pt>
                <c:pt idx="47">
                  <c:v>8.8773200000000028</c:v>
                </c:pt>
                <c:pt idx="48">
                  <c:v>8.9027200000000022</c:v>
                </c:pt>
                <c:pt idx="49">
                  <c:v>8.9262200000000025</c:v>
                </c:pt>
                <c:pt idx="50">
                  <c:v>8.9366200000000031</c:v>
                </c:pt>
                <c:pt idx="51">
                  <c:v>8.9419200000000032</c:v>
                </c:pt>
                <c:pt idx="52">
                  <c:v>8.9483200000000025</c:v>
                </c:pt>
                <c:pt idx="53">
                  <c:v>8.9493880000000043</c:v>
                </c:pt>
                <c:pt idx="54">
                  <c:v>8.9466880000000035</c:v>
                </c:pt>
                <c:pt idx="55">
                  <c:v>8.9463880000000024</c:v>
                </c:pt>
                <c:pt idx="56">
                  <c:v>8.9380880000000023</c:v>
                </c:pt>
                <c:pt idx="57">
                  <c:v>8.930888000000003</c:v>
                </c:pt>
                <c:pt idx="58">
                  <c:v>8.922188000000002</c:v>
                </c:pt>
                <c:pt idx="59">
                  <c:v>8.9009880000000017</c:v>
                </c:pt>
                <c:pt idx="60">
                  <c:v>8.888790000000002</c:v>
                </c:pt>
                <c:pt idx="61">
                  <c:v>8.8796900000000019</c:v>
                </c:pt>
                <c:pt idx="62">
                  <c:v>8.865890000000002</c:v>
                </c:pt>
                <c:pt idx="63">
                  <c:v>8.8475900000000003</c:v>
                </c:pt>
                <c:pt idx="64">
                  <c:v>8.82639</c:v>
                </c:pt>
                <c:pt idx="65">
                  <c:v>8.8066899999999997</c:v>
                </c:pt>
                <c:pt idx="66">
                  <c:v>8.7880900000000004</c:v>
                </c:pt>
                <c:pt idx="67">
                  <c:v>8.7664919999999995</c:v>
                </c:pt>
                <c:pt idx="68">
                  <c:v>8.7490919999999974</c:v>
                </c:pt>
                <c:pt idx="69">
                  <c:v>8.7305919999999979</c:v>
                </c:pt>
                <c:pt idx="70">
                  <c:v>8.7110979999999998</c:v>
                </c:pt>
                <c:pt idx="71">
                  <c:v>8.6893979999999988</c:v>
                </c:pt>
                <c:pt idx="72">
                  <c:v>8.6660979999999981</c:v>
                </c:pt>
                <c:pt idx="73">
                  <c:v>8.6429979999999986</c:v>
                </c:pt>
                <c:pt idx="74">
                  <c:v>8.6221979999999991</c:v>
                </c:pt>
                <c:pt idx="75">
                  <c:v>8.5975979999999996</c:v>
                </c:pt>
                <c:pt idx="76">
                  <c:v>8.5809979999999992</c:v>
                </c:pt>
                <c:pt idx="77">
                  <c:v>8.5613979999999987</c:v>
                </c:pt>
                <c:pt idx="78">
                  <c:v>8.544497999999999</c:v>
                </c:pt>
                <c:pt idx="79">
                  <c:v>8.5292979999999972</c:v>
                </c:pt>
                <c:pt idx="80">
                  <c:v>8.5140039999999981</c:v>
                </c:pt>
                <c:pt idx="81">
                  <c:v>8.5050039999999996</c:v>
                </c:pt>
                <c:pt idx="82">
                  <c:v>8.4992039999999989</c:v>
                </c:pt>
                <c:pt idx="83">
                  <c:v>8.4958039999999979</c:v>
                </c:pt>
                <c:pt idx="84">
                  <c:v>8.5012039999999978</c:v>
                </c:pt>
                <c:pt idx="85">
                  <c:v>8.5097039999999993</c:v>
                </c:pt>
                <c:pt idx="86">
                  <c:v>8.5181039999999992</c:v>
                </c:pt>
                <c:pt idx="87">
                  <c:v>8.5265039999999992</c:v>
                </c:pt>
                <c:pt idx="88">
                  <c:v>8.5312040000000007</c:v>
                </c:pt>
                <c:pt idx="89">
                  <c:v>8.523104</c:v>
                </c:pt>
                <c:pt idx="90">
                  <c:v>8.5273040000000009</c:v>
                </c:pt>
                <c:pt idx="91">
                  <c:v>8.5352039999999985</c:v>
                </c:pt>
                <c:pt idx="92">
                  <c:v>8.5455039999999993</c:v>
                </c:pt>
                <c:pt idx="93">
                  <c:v>8.5575039999999998</c:v>
                </c:pt>
                <c:pt idx="94">
                  <c:v>8.5771039999999985</c:v>
                </c:pt>
                <c:pt idx="95">
                  <c:v>8.5953039999999969</c:v>
                </c:pt>
                <c:pt idx="96">
                  <c:v>8.6121039999999986</c:v>
                </c:pt>
                <c:pt idx="97">
                  <c:v>8.6224039999999977</c:v>
                </c:pt>
                <c:pt idx="98">
                  <c:v>8.6316039999999994</c:v>
                </c:pt>
                <c:pt idx="99">
                  <c:v>8.6388039999999986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047-4C94-AAC8-DB59282861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9017487"/>
        <c:axId val="1139012687"/>
      </c:lineChart>
      <c:dateAx>
        <c:axId val="113901748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9012687"/>
        <c:crosses val="autoZero"/>
        <c:auto val="1"/>
        <c:lblOffset val="100"/>
        <c:baseTimeUnit val="days"/>
      </c:dateAx>
      <c:valAx>
        <c:axId val="1139012687"/>
        <c:scaling>
          <c:orientation val="minMax"/>
          <c:min val="7.5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[$$-409]* #,##0.00_);_([$$-409]* \(#,##0.00\);_([$$-409]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9017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IBRX!$B$1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IBRX!$A$2:$A$234</c:f>
              <c:numCache>
                <c:formatCode>m/d/yyyy</c:formatCode>
                <c:ptCount val="233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</c:numCache>
            </c:numRef>
          </c:cat>
          <c:val>
            <c:numRef>
              <c:f>IBRX!$B$2:$B$234</c:f>
              <c:numCache>
                <c:formatCode>_([$$-409]* #,##0.00_);_([$$-409]* \(#,##0.00\);_([$$-409]* "-"??_);_(@_)</c:formatCode>
                <c:ptCount val="233"/>
                <c:pt idx="0">
                  <c:v>2.57</c:v>
                </c:pt>
                <c:pt idx="1">
                  <c:v>2.81</c:v>
                </c:pt>
                <c:pt idx="2">
                  <c:v>2.76</c:v>
                </c:pt>
                <c:pt idx="3">
                  <c:v>2.73</c:v>
                </c:pt>
                <c:pt idx="4">
                  <c:v>2.56</c:v>
                </c:pt>
                <c:pt idx="5">
                  <c:v>2.42</c:v>
                </c:pt>
                <c:pt idx="6">
                  <c:v>2.48</c:v>
                </c:pt>
                <c:pt idx="7">
                  <c:v>2.3199999999999998</c:v>
                </c:pt>
                <c:pt idx="8">
                  <c:v>2.39</c:v>
                </c:pt>
                <c:pt idx="9">
                  <c:v>3.04</c:v>
                </c:pt>
                <c:pt idx="10">
                  <c:v>2.94</c:v>
                </c:pt>
                <c:pt idx="11">
                  <c:v>3.22</c:v>
                </c:pt>
                <c:pt idx="12">
                  <c:v>3.22</c:v>
                </c:pt>
                <c:pt idx="13">
                  <c:v>3.12</c:v>
                </c:pt>
                <c:pt idx="14">
                  <c:v>3.17</c:v>
                </c:pt>
                <c:pt idx="15">
                  <c:v>3.13</c:v>
                </c:pt>
                <c:pt idx="16">
                  <c:v>3.08</c:v>
                </c:pt>
                <c:pt idx="17">
                  <c:v>3.16</c:v>
                </c:pt>
                <c:pt idx="18">
                  <c:v>3.47</c:v>
                </c:pt>
                <c:pt idx="19">
                  <c:v>3.45</c:v>
                </c:pt>
                <c:pt idx="20">
                  <c:v>3.2</c:v>
                </c:pt>
                <c:pt idx="21">
                  <c:v>3.19</c:v>
                </c:pt>
                <c:pt idx="22">
                  <c:v>3.19</c:v>
                </c:pt>
                <c:pt idx="23">
                  <c:v>3.31</c:v>
                </c:pt>
                <c:pt idx="24">
                  <c:v>3.36</c:v>
                </c:pt>
                <c:pt idx="25">
                  <c:v>3.39</c:v>
                </c:pt>
                <c:pt idx="26">
                  <c:v>3.17</c:v>
                </c:pt>
                <c:pt idx="27">
                  <c:v>3.24</c:v>
                </c:pt>
                <c:pt idx="28">
                  <c:v>3.32</c:v>
                </c:pt>
                <c:pt idx="29">
                  <c:v>3.62</c:v>
                </c:pt>
                <c:pt idx="30">
                  <c:v>3.35</c:v>
                </c:pt>
                <c:pt idx="31">
                  <c:v>3.9</c:v>
                </c:pt>
                <c:pt idx="32">
                  <c:v>3.64</c:v>
                </c:pt>
                <c:pt idx="33">
                  <c:v>3.42</c:v>
                </c:pt>
                <c:pt idx="34">
                  <c:v>3.22</c:v>
                </c:pt>
                <c:pt idx="35">
                  <c:v>3.03</c:v>
                </c:pt>
                <c:pt idx="36">
                  <c:v>3</c:v>
                </c:pt>
                <c:pt idx="37">
                  <c:v>2.86</c:v>
                </c:pt>
                <c:pt idx="38">
                  <c:v>3.29</c:v>
                </c:pt>
                <c:pt idx="39">
                  <c:v>2.85</c:v>
                </c:pt>
                <c:pt idx="40">
                  <c:v>3.02</c:v>
                </c:pt>
                <c:pt idx="41">
                  <c:v>3.06</c:v>
                </c:pt>
                <c:pt idx="42">
                  <c:v>2.99</c:v>
                </c:pt>
                <c:pt idx="43">
                  <c:v>3</c:v>
                </c:pt>
                <c:pt idx="44">
                  <c:v>2.91</c:v>
                </c:pt>
                <c:pt idx="45">
                  <c:v>2.82</c:v>
                </c:pt>
                <c:pt idx="46">
                  <c:v>2.87</c:v>
                </c:pt>
                <c:pt idx="47">
                  <c:v>2.9</c:v>
                </c:pt>
                <c:pt idx="48">
                  <c:v>2.87</c:v>
                </c:pt>
                <c:pt idx="49">
                  <c:v>2.91</c:v>
                </c:pt>
                <c:pt idx="50">
                  <c:v>2.81</c:v>
                </c:pt>
                <c:pt idx="51">
                  <c:v>2.76</c:v>
                </c:pt>
                <c:pt idx="52">
                  <c:v>2.75</c:v>
                </c:pt>
                <c:pt idx="53">
                  <c:v>2.71</c:v>
                </c:pt>
                <c:pt idx="54">
                  <c:v>2.85</c:v>
                </c:pt>
                <c:pt idx="55">
                  <c:v>2.74</c:v>
                </c:pt>
                <c:pt idx="56">
                  <c:v>2.78</c:v>
                </c:pt>
                <c:pt idx="57">
                  <c:v>3.36</c:v>
                </c:pt>
                <c:pt idx="58">
                  <c:v>3.14</c:v>
                </c:pt>
                <c:pt idx="59">
                  <c:v>3.01</c:v>
                </c:pt>
                <c:pt idx="60">
                  <c:v>2.96</c:v>
                </c:pt>
                <c:pt idx="61">
                  <c:v>3.05</c:v>
                </c:pt>
                <c:pt idx="62">
                  <c:v>2.97</c:v>
                </c:pt>
                <c:pt idx="63">
                  <c:v>2.83</c:v>
                </c:pt>
                <c:pt idx="64">
                  <c:v>2.72</c:v>
                </c:pt>
                <c:pt idx="65">
                  <c:v>2.42</c:v>
                </c:pt>
                <c:pt idx="66">
                  <c:v>2.6</c:v>
                </c:pt>
                <c:pt idx="67">
                  <c:v>2.46</c:v>
                </c:pt>
                <c:pt idx="68">
                  <c:v>2.63</c:v>
                </c:pt>
                <c:pt idx="69">
                  <c:v>2.89</c:v>
                </c:pt>
                <c:pt idx="70">
                  <c:v>2.78</c:v>
                </c:pt>
                <c:pt idx="71">
                  <c:v>2.48</c:v>
                </c:pt>
                <c:pt idx="72">
                  <c:v>2.4700000000000002</c:v>
                </c:pt>
                <c:pt idx="73">
                  <c:v>2.5099999999999998</c:v>
                </c:pt>
                <c:pt idx="74">
                  <c:v>2.69</c:v>
                </c:pt>
                <c:pt idx="75">
                  <c:v>2.69</c:v>
                </c:pt>
                <c:pt idx="76">
                  <c:v>2.69</c:v>
                </c:pt>
                <c:pt idx="77">
                  <c:v>2.61</c:v>
                </c:pt>
                <c:pt idx="78">
                  <c:v>2.63</c:v>
                </c:pt>
                <c:pt idx="79">
                  <c:v>2.4900000000000002</c:v>
                </c:pt>
                <c:pt idx="80">
                  <c:v>2.5099999999999998</c:v>
                </c:pt>
                <c:pt idx="81">
                  <c:v>2.4900000000000002</c:v>
                </c:pt>
                <c:pt idx="82">
                  <c:v>2.54</c:v>
                </c:pt>
                <c:pt idx="83">
                  <c:v>2.1</c:v>
                </c:pt>
                <c:pt idx="84">
                  <c:v>2.0099999999999998</c:v>
                </c:pt>
                <c:pt idx="85">
                  <c:v>1.89</c:v>
                </c:pt>
                <c:pt idx="86">
                  <c:v>2.09</c:v>
                </c:pt>
                <c:pt idx="87">
                  <c:v>2.0699999999999998</c:v>
                </c:pt>
                <c:pt idx="88">
                  <c:v>2.36</c:v>
                </c:pt>
                <c:pt idx="89">
                  <c:v>2.5099999999999998</c:v>
                </c:pt>
                <c:pt idx="90">
                  <c:v>2.4900000000000002</c:v>
                </c:pt>
                <c:pt idx="91">
                  <c:v>2.67</c:v>
                </c:pt>
                <c:pt idx="92">
                  <c:v>2.84</c:v>
                </c:pt>
                <c:pt idx="93">
                  <c:v>2.8</c:v>
                </c:pt>
                <c:pt idx="94">
                  <c:v>2.9</c:v>
                </c:pt>
                <c:pt idx="95">
                  <c:v>2.65</c:v>
                </c:pt>
                <c:pt idx="96">
                  <c:v>2.68</c:v>
                </c:pt>
                <c:pt idx="97">
                  <c:v>2.5299999999999998</c:v>
                </c:pt>
                <c:pt idx="98">
                  <c:v>2.5299999999999998</c:v>
                </c:pt>
                <c:pt idx="99">
                  <c:v>2.46</c:v>
                </c:pt>
                <c:pt idx="100">
                  <c:v>2.6</c:v>
                </c:pt>
                <c:pt idx="101">
                  <c:v>2.66</c:v>
                </c:pt>
                <c:pt idx="102">
                  <c:v>2.67</c:v>
                </c:pt>
                <c:pt idx="103">
                  <c:v>2.71</c:v>
                </c:pt>
                <c:pt idx="104">
                  <c:v>2.93</c:v>
                </c:pt>
                <c:pt idx="105">
                  <c:v>2.9</c:v>
                </c:pt>
                <c:pt idx="106">
                  <c:v>3.15</c:v>
                </c:pt>
                <c:pt idx="107">
                  <c:v>3.44</c:v>
                </c:pt>
                <c:pt idx="108">
                  <c:v>3.34</c:v>
                </c:pt>
                <c:pt idx="109">
                  <c:v>3.24</c:v>
                </c:pt>
                <c:pt idx="110">
                  <c:v>3.19</c:v>
                </c:pt>
                <c:pt idx="111">
                  <c:v>3.07</c:v>
                </c:pt>
                <c:pt idx="112">
                  <c:v>3.13</c:v>
                </c:pt>
                <c:pt idx="113">
                  <c:v>2.84</c:v>
                </c:pt>
                <c:pt idx="114">
                  <c:v>2.84</c:v>
                </c:pt>
                <c:pt idx="115">
                  <c:v>2.87</c:v>
                </c:pt>
                <c:pt idx="116">
                  <c:v>2.76</c:v>
                </c:pt>
                <c:pt idx="117">
                  <c:v>2.79</c:v>
                </c:pt>
                <c:pt idx="118">
                  <c:v>2.76</c:v>
                </c:pt>
                <c:pt idx="119">
                  <c:v>2.79</c:v>
                </c:pt>
                <c:pt idx="120">
                  <c:v>2.7</c:v>
                </c:pt>
                <c:pt idx="121">
                  <c:v>2.64</c:v>
                </c:pt>
                <c:pt idx="122">
                  <c:v>2.57</c:v>
                </c:pt>
                <c:pt idx="123">
                  <c:v>2.64</c:v>
                </c:pt>
                <c:pt idx="124">
                  <c:v>2.72</c:v>
                </c:pt>
                <c:pt idx="125">
                  <c:v>2.72</c:v>
                </c:pt>
                <c:pt idx="126">
                  <c:v>2.71</c:v>
                </c:pt>
                <c:pt idx="127">
                  <c:v>2.79</c:v>
                </c:pt>
                <c:pt idx="128">
                  <c:v>2.87</c:v>
                </c:pt>
                <c:pt idx="129">
                  <c:v>2.81</c:v>
                </c:pt>
                <c:pt idx="130">
                  <c:v>2.9</c:v>
                </c:pt>
                <c:pt idx="131">
                  <c:v>2.74</c:v>
                </c:pt>
                <c:pt idx="132">
                  <c:v>2.75</c:v>
                </c:pt>
                <c:pt idx="133">
                  <c:v>2.83</c:v>
                </c:pt>
                <c:pt idx="134">
                  <c:v>2.75</c:v>
                </c:pt>
                <c:pt idx="135">
                  <c:v>2.68</c:v>
                </c:pt>
                <c:pt idx="136">
                  <c:v>2.71</c:v>
                </c:pt>
                <c:pt idx="137">
                  <c:v>2.99</c:v>
                </c:pt>
                <c:pt idx="138">
                  <c:v>3.01</c:v>
                </c:pt>
                <c:pt idx="139">
                  <c:v>2.86</c:v>
                </c:pt>
                <c:pt idx="140">
                  <c:v>2.65</c:v>
                </c:pt>
                <c:pt idx="141">
                  <c:v>2.54</c:v>
                </c:pt>
                <c:pt idx="142">
                  <c:v>2.56</c:v>
                </c:pt>
                <c:pt idx="143">
                  <c:v>2.46</c:v>
                </c:pt>
                <c:pt idx="144">
                  <c:v>2.37</c:v>
                </c:pt>
                <c:pt idx="145">
                  <c:v>2.41</c:v>
                </c:pt>
                <c:pt idx="146">
                  <c:v>2.41</c:v>
                </c:pt>
                <c:pt idx="147">
                  <c:v>2.38</c:v>
                </c:pt>
                <c:pt idx="148">
                  <c:v>2.4049999999999998</c:v>
                </c:pt>
                <c:pt idx="149">
                  <c:v>2.44</c:v>
                </c:pt>
                <c:pt idx="150">
                  <c:v>2.4700000000000002</c:v>
                </c:pt>
                <c:pt idx="151">
                  <c:v>2.4700000000000002</c:v>
                </c:pt>
                <c:pt idx="152">
                  <c:v>2.82</c:v>
                </c:pt>
                <c:pt idx="153">
                  <c:v>2.71</c:v>
                </c:pt>
                <c:pt idx="154">
                  <c:v>2.5499999999999998</c:v>
                </c:pt>
                <c:pt idx="155">
                  <c:v>2.4300000000000002</c:v>
                </c:pt>
                <c:pt idx="156">
                  <c:v>2.2799999999999998</c:v>
                </c:pt>
                <c:pt idx="157">
                  <c:v>2.2599999999999998</c:v>
                </c:pt>
                <c:pt idx="158">
                  <c:v>2.2400000000000002</c:v>
                </c:pt>
                <c:pt idx="159">
                  <c:v>2.31</c:v>
                </c:pt>
                <c:pt idx="160">
                  <c:v>2.25</c:v>
                </c:pt>
                <c:pt idx="161">
                  <c:v>2.38</c:v>
                </c:pt>
                <c:pt idx="162">
                  <c:v>2.34</c:v>
                </c:pt>
                <c:pt idx="163">
                  <c:v>2.33</c:v>
                </c:pt>
                <c:pt idx="164">
                  <c:v>2.34</c:v>
                </c:pt>
                <c:pt idx="165">
                  <c:v>2.38</c:v>
                </c:pt>
                <c:pt idx="166">
                  <c:v>2.37</c:v>
                </c:pt>
                <c:pt idx="167">
                  <c:v>2.39</c:v>
                </c:pt>
                <c:pt idx="168">
                  <c:v>2.4</c:v>
                </c:pt>
                <c:pt idx="169">
                  <c:v>2.41</c:v>
                </c:pt>
                <c:pt idx="170">
                  <c:v>2.57</c:v>
                </c:pt>
                <c:pt idx="171">
                  <c:v>2.57</c:v>
                </c:pt>
                <c:pt idx="172">
                  <c:v>2.59</c:v>
                </c:pt>
                <c:pt idx="173">
                  <c:v>2.6</c:v>
                </c:pt>
                <c:pt idx="174">
                  <c:v>2.74</c:v>
                </c:pt>
                <c:pt idx="175">
                  <c:v>2.81</c:v>
                </c:pt>
                <c:pt idx="176">
                  <c:v>2.76</c:v>
                </c:pt>
                <c:pt idx="177">
                  <c:v>2.85</c:v>
                </c:pt>
                <c:pt idx="178">
                  <c:v>2.73</c:v>
                </c:pt>
                <c:pt idx="179">
                  <c:v>2.67</c:v>
                </c:pt>
                <c:pt idx="180">
                  <c:v>2.59</c:v>
                </c:pt>
                <c:pt idx="181">
                  <c:v>2.5</c:v>
                </c:pt>
                <c:pt idx="182">
                  <c:v>2.46</c:v>
                </c:pt>
                <c:pt idx="183">
                  <c:v>2.54</c:v>
                </c:pt>
                <c:pt idx="184">
                  <c:v>2.57</c:v>
                </c:pt>
                <c:pt idx="185">
                  <c:v>2.46</c:v>
                </c:pt>
                <c:pt idx="186">
                  <c:v>2.48</c:v>
                </c:pt>
                <c:pt idx="187">
                  <c:v>2.5</c:v>
                </c:pt>
                <c:pt idx="188">
                  <c:v>2.54</c:v>
                </c:pt>
                <c:pt idx="189">
                  <c:v>2.5299999999999998</c:v>
                </c:pt>
                <c:pt idx="190">
                  <c:v>2.5</c:v>
                </c:pt>
                <c:pt idx="191">
                  <c:v>2.5299999999999998</c:v>
                </c:pt>
                <c:pt idx="192">
                  <c:v>2.44</c:v>
                </c:pt>
                <c:pt idx="193">
                  <c:v>2.36</c:v>
                </c:pt>
                <c:pt idx="194">
                  <c:v>2.48</c:v>
                </c:pt>
                <c:pt idx="195">
                  <c:v>2.5099999999999998</c:v>
                </c:pt>
                <c:pt idx="196">
                  <c:v>2.58</c:v>
                </c:pt>
                <c:pt idx="197">
                  <c:v>2.5299999999999998</c:v>
                </c:pt>
                <c:pt idx="198">
                  <c:v>2.4</c:v>
                </c:pt>
                <c:pt idx="199">
                  <c:v>2.4500000000000002</c:v>
                </c:pt>
                <c:pt idx="200">
                  <c:v>2.44</c:v>
                </c:pt>
                <c:pt idx="201">
                  <c:v>2.36</c:v>
                </c:pt>
                <c:pt idx="202">
                  <c:v>2.39</c:v>
                </c:pt>
                <c:pt idx="203">
                  <c:v>2.4700000000000002</c:v>
                </c:pt>
                <c:pt idx="204">
                  <c:v>2.66</c:v>
                </c:pt>
                <c:pt idx="205">
                  <c:v>2.58</c:v>
                </c:pt>
                <c:pt idx="206">
                  <c:v>2.42</c:v>
                </c:pt>
                <c:pt idx="207">
                  <c:v>2.36</c:v>
                </c:pt>
                <c:pt idx="208">
                  <c:v>2.4</c:v>
                </c:pt>
                <c:pt idx="209">
                  <c:v>2.2599999999999998</c:v>
                </c:pt>
                <c:pt idx="210">
                  <c:v>2.08</c:v>
                </c:pt>
                <c:pt idx="211">
                  <c:v>2.15</c:v>
                </c:pt>
                <c:pt idx="212">
                  <c:v>2.12</c:v>
                </c:pt>
                <c:pt idx="213">
                  <c:v>2.13</c:v>
                </c:pt>
                <c:pt idx="214">
                  <c:v>2.16</c:v>
                </c:pt>
                <c:pt idx="215">
                  <c:v>2.14</c:v>
                </c:pt>
                <c:pt idx="216">
                  <c:v>2.06</c:v>
                </c:pt>
                <c:pt idx="217">
                  <c:v>2</c:v>
                </c:pt>
                <c:pt idx="218">
                  <c:v>2.08</c:v>
                </c:pt>
                <c:pt idx="219">
                  <c:v>2.0299999999999998</c:v>
                </c:pt>
                <c:pt idx="220">
                  <c:v>2.1</c:v>
                </c:pt>
                <c:pt idx="221">
                  <c:v>2.14</c:v>
                </c:pt>
                <c:pt idx="222">
                  <c:v>2.02</c:v>
                </c:pt>
                <c:pt idx="223">
                  <c:v>2.08</c:v>
                </c:pt>
                <c:pt idx="224">
                  <c:v>2.15</c:v>
                </c:pt>
                <c:pt idx="225">
                  <c:v>2.08</c:v>
                </c:pt>
                <c:pt idx="226">
                  <c:v>2.13</c:v>
                </c:pt>
                <c:pt idx="227">
                  <c:v>2.36</c:v>
                </c:pt>
                <c:pt idx="228">
                  <c:v>2.2999999999999998</c:v>
                </c:pt>
                <c:pt idx="229">
                  <c:v>2.09</c:v>
                </c:pt>
                <c:pt idx="230">
                  <c:v>2.2000000000000002</c:v>
                </c:pt>
                <c:pt idx="231">
                  <c:v>2.2999999999999998</c:v>
                </c:pt>
                <c:pt idx="232">
                  <c:v>2.29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50-4D67-977F-39088D22A5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9144592"/>
        <c:axId val="79146512"/>
      </c:lineChart>
      <c:dateAx>
        <c:axId val="791445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46512"/>
        <c:crosses val="autoZero"/>
        <c:auto val="1"/>
        <c:lblOffset val="100"/>
        <c:baseTimeUnit val="days"/>
      </c:dateAx>
      <c:valAx>
        <c:axId val="79146512"/>
        <c:scaling>
          <c:orientation val="minMax"/>
          <c:min val="1.750000000000000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[$$-409]* #,##0.00_);_([$$-409]* \(#,##0.00\);_([$$-409]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44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PAYO!$B$1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PAYO!$A$2:$A$234</c:f>
              <c:numCache>
                <c:formatCode>m/d/yyyy</c:formatCode>
                <c:ptCount val="233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</c:numCache>
            </c:numRef>
          </c:cat>
          <c:val>
            <c:numRef>
              <c:f>PAYO!$B$2:$B$234</c:f>
              <c:numCache>
                <c:formatCode>_([$$-409]* #,##0.00_);_([$$-409]* \(#,##0.00\);_([$$-409]* "-"??_);_(@_)</c:formatCode>
                <c:ptCount val="233"/>
                <c:pt idx="0">
                  <c:v>10.15</c:v>
                </c:pt>
                <c:pt idx="1">
                  <c:v>10.48</c:v>
                </c:pt>
                <c:pt idx="2">
                  <c:v>10.3</c:v>
                </c:pt>
                <c:pt idx="3">
                  <c:v>10.38</c:v>
                </c:pt>
                <c:pt idx="4">
                  <c:v>10.07</c:v>
                </c:pt>
                <c:pt idx="5">
                  <c:v>9.8699999999999992</c:v>
                </c:pt>
                <c:pt idx="6">
                  <c:v>9.91</c:v>
                </c:pt>
                <c:pt idx="7">
                  <c:v>9.91</c:v>
                </c:pt>
                <c:pt idx="8">
                  <c:v>10.5</c:v>
                </c:pt>
                <c:pt idx="9">
                  <c:v>10.73</c:v>
                </c:pt>
                <c:pt idx="10">
                  <c:v>10.82</c:v>
                </c:pt>
                <c:pt idx="11">
                  <c:v>10.34</c:v>
                </c:pt>
                <c:pt idx="12">
                  <c:v>10.28</c:v>
                </c:pt>
                <c:pt idx="13">
                  <c:v>10.19</c:v>
                </c:pt>
                <c:pt idx="14">
                  <c:v>10.19</c:v>
                </c:pt>
                <c:pt idx="15">
                  <c:v>10.210000000000001</c:v>
                </c:pt>
                <c:pt idx="16">
                  <c:v>10.51</c:v>
                </c:pt>
                <c:pt idx="17">
                  <c:v>10.67</c:v>
                </c:pt>
                <c:pt idx="18">
                  <c:v>10.91</c:v>
                </c:pt>
                <c:pt idx="19">
                  <c:v>10.6</c:v>
                </c:pt>
                <c:pt idx="20">
                  <c:v>10.68</c:v>
                </c:pt>
                <c:pt idx="21">
                  <c:v>10.83</c:v>
                </c:pt>
                <c:pt idx="22">
                  <c:v>11.04</c:v>
                </c:pt>
                <c:pt idx="23">
                  <c:v>10.8</c:v>
                </c:pt>
                <c:pt idx="24">
                  <c:v>10.59</c:v>
                </c:pt>
                <c:pt idx="25">
                  <c:v>10.5</c:v>
                </c:pt>
                <c:pt idx="26">
                  <c:v>10.01</c:v>
                </c:pt>
                <c:pt idx="27">
                  <c:v>10.09</c:v>
                </c:pt>
                <c:pt idx="28">
                  <c:v>10.48</c:v>
                </c:pt>
                <c:pt idx="29">
                  <c:v>10.56</c:v>
                </c:pt>
                <c:pt idx="30">
                  <c:v>10.71</c:v>
                </c:pt>
                <c:pt idx="31">
                  <c:v>10.65</c:v>
                </c:pt>
                <c:pt idx="32">
                  <c:v>10.43</c:v>
                </c:pt>
                <c:pt idx="33">
                  <c:v>9.85</c:v>
                </c:pt>
                <c:pt idx="34">
                  <c:v>9.8800000000000008</c:v>
                </c:pt>
                <c:pt idx="35">
                  <c:v>9.9499999999999993</c:v>
                </c:pt>
                <c:pt idx="36">
                  <c:v>10.18</c:v>
                </c:pt>
                <c:pt idx="37">
                  <c:v>8.68</c:v>
                </c:pt>
                <c:pt idx="38">
                  <c:v>8.5500000000000007</c:v>
                </c:pt>
                <c:pt idx="39">
                  <c:v>8.35</c:v>
                </c:pt>
                <c:pt idx="40">
                  <c:v>8</c:v>
                </c:pt>
                <c:pt idx="41">
                  <c:v>8.34</c:v>
                </c:pt>
                <c:pt idx="42">
                  <c:v>7.81</c:v>
                </c:pt>
                <c:pt idx="43">
                  <c:v>7.48</c:v>
                </c:pt>
                <c:pt idx="44">
                  <c:v>7.04</c:v>
                </c:pt>
                <c:pt idx="45">
                  <c:v>7.06</c:v>
                </c:pt>
                <c:pt idx="46">
                  <c:v>7.23</c:v>
                </c:pt>
                <c:pt idx="47">
                  <c:v>7.1</c:v>
                </c:pt>
                <c:pt idx="48">
                  <c:v>7.2</c:v>
                </c:pt>
                <c:pt idx="49">
                  <c:v>7.31</c:v>
                </c:pt>
                <c:pt idx="50">
                  <c:v>7.3</c:v>
                </c:pt>
                <c:pt idx="51">
                  <c:v>7.64</c:v>
                </c:pt>
                <c:pt idx="52">
                  <c:v>7.56</c:v>
                </c:pt>
                <c:pt idx="53">
                  <c:v>7.46</c:v>
                </c:pt>
                <c:pt idx="54">
                  <c:v>7.83</c:v>
                </c:pt>
                <c:pt idx="55">
                  <c:v>7.78</c:v>
                </c:pt>
                <c:pt idx="56">
                  <c:v>7.58</c:v>
                </c:pt>
                <c:pt idx="57">
                  <c:v>7.43</c:v>
                </c:pt>
                <c:pt idx="58">
                  <c:v>7.25</c:v>
                </c:pt>
                <c:pt idx="59">
                  <c:v>7.31</c:v>
                </c:pt>
                <c:pt idx="60">
                  <c:v>7.47</c:v>
                </c:pt>
                <c:pt idx="61">
                  <c:v>7.55</c:v>
                </c:pt>
                <c:pt idx="62">
                  <c:v>6.73</c:v>
                </c:pt>
                <c:pt idx="63">
                  <c:v>6.21</c:v>
                </c:pt>
                <c:pt idx="64">
                  <c:v>6.18</c:v>
                </c:pt>
                <c:pt idx="65">
                  <c:v>5.9</c:v>
                </c:pt>
                <c:pt idx="66">
                  <c:v>6.59</c:v>
                </c:pt>
                <c:pt idx="67">
                  <c:v>6.25</c:v>
                </c:pt>
                <c:pt idx="68">
                  <c:v>6.33</c:v>
                </c:pt>
                <c:pt idx="69">
                  <c:v>6.41</c:v>
                </c:pt>
                <c:pt idx="70">
                  <c:v>6.43</c:v>
                </c:pt>
                <c:pt idx="71">
                  <c:v>6.41</c:v>
                </c:pt>
                <c:pt idx="72">
                  <c:v>6.36</c:v>
                </c:pt>
                <c:pt idx="73">
                  <c:v>6.15</c:v>
                </c:pt>
                <c:pt idx="74">
                  <c:v>6.29</c:v>
                </c:pt>
                <c:pt idx="75">
                  <c:v>6.65</c:v>
                </c:pt>
                <c:pt idx="76">
                  <c:v>6.89</c:v>
                </c:pt>
                <c:pt idx="77">
                  <c:v>6.97</c:v>
                </c:pt>
                <c:pt idx="78">
                  <c:v>6.95</c:v>
                </c:pt>
                <c:pt idx="79">
                  <c:v>7.07</c:v>
                </c:pt>
                <c:pt idx="80">
                  <c:v>7.03</c:v>
                </c:pt>
                <c:pt idx="81">
                  <c:v>7.09</c:v>
                </c:pt>
                <c:pt idx="82">
                  <c:v>7.21</c:v>
                </c:pt>
                <c:pt idx="83">
                  <c:v>7.11</c:v>
                </c:pt>
                <c:pt idx="84">
                  <c:v>7.13</c:v>
                </c:pt>
                <c:pt idx="85">
                  <c:v>6.16</c:v>
                </c:pt>
                <c:pt idx="86">
                  <c:v>6.33</c:v>
                </c:pt>
                <c:pt idx="87">
                  <c:v>6.63</c:v>
                </c:pt>
                <c:pt idx="88">
                  <c:v>7.18</c:v>
                </c:pt>
                <c:pt idx="89">
                  <c:v>7.46</c:v>
                </c:pt>
                <c:pt idx="90">
                  <c:v>7.28</c:v>
                </c:pt>
                <c:pt idx="91">
                  <c:v>7.1</c:v>
                </c:pt>
                <c:pt idx="92">
                  <c:v>7.21</c:v>
                </c:pt>
                <c:pt idx="93">
                  <c:v>7.14</c:v>
                </c:pt>
                <c:pt idx="94">
                  <c:v>7.19</c:v>
                </c:pt>
                <c:pt idx="95">
                  <c:v>6.9</c:v>
                </c:pt>
                <c:pt idx="96">
                  <c:v>6.87</c:v>
                </c:pt>
                <c:pt idx="97">
                  <c:v>6.81</c:v>
                </c:pt>
                <c:pt idx="98">
                  <c:v>6.86</c:v>
                </c:pt>
                <c:pt idx="99">
                  <c:v>6.81</c:v>
                </c:pt>
                <c:pt idx="100">
                  <c:v>6.83</c:v>
                </c:pt>
                <c:pt idx="101">
                  <c:v>6.81</c:v>
                </c:pt>
                <c:pt idx="102">
                  <c:v>6.78</c:v>
                </c:pt>
                <c:pt idx="103">
                  <c:v>6.71</c:v>
                </c:pt>
                <c:pt idx="104">
                  <c:v>6.77</c:v>
                </c:pt>
                <c:pt idx="105">
                  <c:v>6.88</c:v>
                </c:pt>
                <c:pt idx="106">
                  <c:v>7.03</c:v>
                </c:pt>
                <c:pt idx="107">
                  <c:v>6.98</c:v>
                </c:pt>
                <c:pt idx="108">
                  <c:v>6.86</c:v>
                </c:pt>
                <c:pt idx="109">
                  <c:v>6.96</c:v>
                </c:pt>
                <c:pt idx="110">
                  <c:v>6.9</c:v>
                </c:pt>
                <c:pt idx="111">
                  <c:v>6.51</c:v>
                </c:pt>
                <c:pt idx="112">
                  <c:v>6.66</c:v>
                </c:pt>
                <c:pt idx="113">
                  <c:v>6.59</c:v>
                </c:pt>
                <c:pt idx="114">
                  <c:v>6.53</c:v>
                </c:pt>
                <c:pt idx="115">
                  <c:v>6.49</c:v>
                </c:pt>
                <c:pt idx="116">
                  <c:v>6.66</c:v>
                </c:pt>
                <c:pt idx="117">
                  <c:v>6.91</c:v>
                </c:pt>
                <c:pt idx="118">
                  <c:v>6.76</c:v>
                </c:pt>
                <c:pt idx="119">
                  <c:v>6.82</c:v>
                </c:pt>
                <c:pt idx="120">
                  <c:v>6.63</c:v>
                </c:pt>
                <c:pt idx="121">
                  <c:v>6.85</c:v>
                </c:pt>
                <c:pt idx="122">
                  <c:v>6.89</c:v>
                </c:pt>
                <c:pt idx="123">
                  <c:v>6.93</c:v>
                </c:pt>
                <c:pt idx="124">
                  <c:v>6.98</c:v>
                </c:pt>
                <c:pt idx="125">
                  <c:v>6.68</c:v>
                </c:pt>
                <c:pt idx="126">
                  <c:v>6.75</c:v>
                </c:pt>
                <c:pt idx="127">
                  <c:v>6.89</c:v>
                </c:pt>
                <c:pt idx="128">
                  <c:v>6.83</c:v>
                </c:pt>
                <c:pt idx="129">
                  <c:v>6.48</c:v>
                </c:pt>
                <c:pt idx="130">
                  <c:v>6.94</c:v>
                </c:pt>
                <c:pt idx="131">
                  <c:v>6.66</c:v>
                </c:pt>
                <c:pt idx="132">
                  <c:v>6.84</c:v>
                </c:pt>
                <c:pt idx="133">
                  <c:v>6.9</c:v>
                </c:pt>
                <c:pt idx="134">
                  <c:v>6.81</c:v>
                </c:pt>
                <c:pt idx="135">
                  <c:v>6.83</c:v>
                </c:pt>
                <c:pt idx="136">
                  <c:v>6.84</c:v>
                </c:pt>
                <c:pt idx="137">
                  <c:v>6.81</c:v>
                </c:pt>
                <c:pt idx="138">
                  <c:v>6.72</c:v>
                </c:pt>
                <c:pt idx="139">
                  <c:v>6.81</c:v>
                </c:pt>
                <c:pt idx="140">
                  <c:v>6.72</c:v>
                </c:pt>
                <c:pt idx="141">
                  <c:v>6.61</c:v>
                </c:pt>
                <c:pt idx="142">
                  <c:v>6.66</c:v>
                </c:pt>
                <c:pt idx="143">
                  <c:v>6.57</c:v>
                </c:pt>
                <c:pt idx="144">
                  <c:v>6.28</c:v>
                </c:pt>
                <c:pt idx="145">
                  <c:v>6.35</c:v>
                </c:pt>
                <c:pt idx="146">
                  <c:v>6.5</c:v>
                </c:pt>
                <c:pt idx="147">
                  <c:v>7.42</c:v>
                </c:pt>
                <c:pt idx="148">
                  <c:v>6.99</c:v>
                </c:pt>
                <c:pt idx="149">
                  <c:v>6.64</c:v>
                </c:pt>
                <c:pt idx="150">
                  <c:v>6.63</c:v>
                </c:pt>
                <c:pt idx="151">
                  <c:v>6.78</c:v>
                </c:pt>
                <c:pt idx="152">
                  <c:v>6.81</c:v>
                </c:pt>
                <c:pt idx="153">
                  <c:v>6.69</c:v>
                </c:pt>
                <c:pt idx="154">
                  <c:v>6.73</c:v>
                </c:pt>
                <c:pt idx="155">
                  <c:v>6.86</c:v>
                </c:pt>
                <c:pt idx="156">
                  <c:v>6.71</c:v>
                </c:pt>
                <c:pt idx="157">
                  <c:v>6.65</c:v>
                </c:pt>
                <c:pt idx="158">
                  <c:v>6.65</c:v>
                </c:pt>
                <c:pt idx="159">
                  <c:v>7.01</c:v>
                </c:pt>
                <c:pt idx="160">
                  <c:v>6.78</c:v>
                </c:pt>
                <c:pt idx="161">
                  <c:v>6.76</c:v>
                </c:pt>
                <c:pt idx="162">
                  <c:v>6.79</c:v>
                </c:pt>
                <c:pt idx="163">
                  <c:v>6.88</c:v>
                </c:pt>
                <c:pt idx="164">
                  <c:v>6.95</c:v>
                </c:pt>
                <c:pt idx="165">
                  <c:v>6.74</c:v>
                </c:pt>
                <c:pt idx="166">
                  <c:v>6.76</c:v>
                </c:pt>
                <c:pt idx="167">
                  <c:v>6.7</c:v>
                </c:pt>
                <c:pt idx="168">
                  <c:v>6.65</c:v>
                </c:pt>
                <c:pt idx="169">
                  <c:v>6.76</c:v>
                </c:pt>
                <c:pt idx="170">
                  <c:v>6.81</c:v>
                </c:pt>
                <c:pt idx="171">
                  <c:v>6.47</c:v>
                </c:pt>
                <c:pt idx="172">
                  <c:v>6.64</c:v>
                </c:pt>
                <c:pt idx="173">
                  <c:v>6.5</c:v>
                </c:pt>
                <c:pt idx="174">
                  <c:v>6.48</c:v>
                </c:pt>
                <c:pt idx="175">
                  <c:v>6.57</c:v>
                </c:pt>
                <c:pt idx="176">
                  <c:v>6.78</c:v>
                </c:pt>
                <c:pt idx="177">
                  <c:v>6.64</c:v>
                </c:pt>
                <c:pt idx="178">
                  <c:v>6.59</c:v>
                </c:pt>
                <c:pt idx="179">
                  <c:v>6.72</c:v>
                </c:pt>
                <c:pt idx="180">
                  <c:v>6.57</c:v>
                </c:pt>
                <c:pt idx="181">
                  <c:v>6.47</c:v>
                </c:pt>
                <c:pt idx="182">
                  <c:v>6.39</c:v>
                </c:pt>
                <c:pt idx="183">
                  <c:v>6.33</c:v>
                </c:pt>
                <c:pt idx="184">
                  <c:v>6.29</c:v>
                </c:pt>
                <c:pt idx="185">
                  <c:v>6.05</c:v>
                </c:pt>
                <c:pt idx="186">
                  <c:v>6.03</c:v>
                </c:pt>
                <c:pt idx="187">
                  <c:v>6.07</c:v>
                </c:pt>
                <c:pt idx="188">
                  <c:v>6.13</c:v>
                </c:pt>
                <c:pt idx="189">
                  <c:v>6.2</c:v>
                </c:pt>
                <c:pt idx="190">
                  <c:v>6.11</c:v>
                </c:pt>
                <c:pt idx="191">
                  <c:v>6.15</c:v>
                </c:pt>
                <c:pt idx="192">
                  <c:v>6.06</c:v>
                </c:pt>
                <c:pt idx="193">
                  <c:v>5.85</c:v>
                </c:pt>
                <c:pt idx="194">
                  <c:v>5.84</c:v>
                </c:pt>
                <c:pt idx="195">
                  <c:v>5.94</c:v>
                </c:pt>
                <c:pt idx="196">
                  <c:v>5.91</c:v>
                </c:pt>
                <c:pt idx="197">
                  <c:v>5.72</c:v>
                </c:pt>
                <c:pt idx="198">
                  <c:v>5.8</c:v>
                </c:pt>
                <c:pt idx="199">
                  <c:v>5.96</c:v>
                </c:pt>
                <c:pt idx="200">
                  <c:v>6.03</c:v>
                </c:pt>
                <c:pt idx="201">
                  <c:v>6</c:v>
                </c:pt>
                <c:pt idx="202">
                  <c:v>6.03</c:v>
                </c:pt>
                <c:pt idx="203">
                  <c:v>6.07</c:v>
                </c:pt>
                <c:pt idx="204">
                  <c:v>6.19</c:v>
                </c:pt>
                <c:pt idx="205">
                  <c:v>6.12</c:v>
                </c:pt>
                <c:pt idx="206">
                  <c:v>5.87</c:v>
                </c:pt>
                <c:pt idx="207">
                  <c:v>5.75</c:v>
                </c:pt>
                <c:pt idx="208">
                  <c:v>5.79</c:v>
                </c:pt>
                <c:pt idx="209">
                  <c:v>5.73</c:v>
                </c:pt>
                <c:pt idx="210">
                  <c:v>5.79</c:v>
                </c:pt>
                <c:pt idx="211">
                  <c:v>5.47</c:v>
                </c:pt>
                <c:pt idx="212">
                  <c:v>5.27</c:v>
                </c:pt>
                <c:pt idx="213">
                  <c:v>5.37</c:v>
                </c:pt>
                <c:pt idx="214">
                  <c:v>5.67</c:v>
                </c:pt>
                <c:pt idx="215">
                  <c:v>5.63</c:v>
                </c:pt>
                <c:pt idx="216">
                  <c:v>5.75</c:v>
                </c:pt>
                <c:pt idx="217">
                  <c:v>5.57</c:v>
                </c:pt>
                <c:pt idx="218">
                  <c:v>5.54</c:v>
                </c:pt>
                <c:pt idx="219">
                  <c:v>5.4</c:v>
                </c:pt>
                <c:pt idx="220">
                  <c:v>5.35</c:v>
                </c:pt>
                <c:pt idx="221">
                  <c:v>5.45</c:v>
                </c:pt>
                <c:pt idx="222">
                  <c:v>5.38</c:v>
                </c:pt>
                <c:pt idx="223">
                  <c:v>5.54</c:v>
                </c:pt>
                <c:pt idx="224">
                  <c:v>5.51</c:v>
                </c:pt>
                <c:pt idx="225">
                  <c:v>5.7</c:v>
                </c:pt>
                <c:pt idx="226">
                  <c:v>5.74</c:v>
                </c:pt>
                <c:pt idx="227">
                  <c:v>5.78</c:v>
                </c:pt>
                <c:pt idx="228">
                  <c:v>5.72</c:v>
                </c:pt>
                <c:pt idx="229">
                  <c:v>5.75</c:v>
                </c:pt>
                <c:pt idx="230">
                  <c:v>5.72</c:v>
                </c:pt>
                <c:pt idx="231">
                  <c:v>5.72</c:v>
                </c:pt>
                <c:pt idx="232">
                  <c:v>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3F-449A-BD44-3D266DECD0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029664"/>
        <c:axId val="69030144"/>
      </c:lineChart>
      <c:dateAx>
        <c:axId val="6902966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30144"/>
        <c:crosses val="autoZero"/>
        <c:auto val="1"/>
        <c:lblOffset val="100"/>
        <c:baseTimeUnit val="days"/>
      </c:dateAx>
      <c:valAx>
        <c:axId val="69030144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[$$-409]* #,##0.00_);_([$$-409]* \(#,##0.00\);_([$$-409]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29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BULL!$B$1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BULL!$A$2:$A$234</c:f>
              <c:numCache>
                <c:formatCode>m/d/yyyy</c:formatCode>
                <c:ptCount val="233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</c:numCache>
            </c:numRef>
          </c:cat>
          <c:val>
            <c:numRef>
              <c:f>BULL!$B$2:$B$234</c:f>
              <c:numCache>
                <c:formatCode>_([$$-409]* #,##0.00_);_([$$-409]* \(#,##0.00\);_([$$-409]* "-"??_);_(@_)</c:formatCode>
                <c:ptCount val="233"/>
                <c:pt idx="0">
                  <c:v>11.62</c:v>
                </c:pt>
                <c:pt idx="1">
                  <c:v>11.63</c:v>
                </c:pt>
                <c:pt idx="2">
                  <c:v>11.63</c:v>
                </c:pt>
                <c:pt idx="3">
                  <c:v>11.62</c:v>
                </c:pt>
                <c:pt idx="4">
                  <c:v>11.62</c:v>
                </c:pt>
                <c:pt idx="5">
                  <c:v>11.62</c:v>
                </c:pt>
                <c:pt idx="6">
                  <c:v>11.62</c:v>
                </c:pt>
                <c:pt idx="7">
                  <c:v>11.62</c:v>
                </c:pt>
                <c:pt idx="8">
                  <c:v>11.63</c:v>
                </c:pt>
                <c:pt idx="9">
                  <c:v>11.635</c:v>
                </c:pt>
                <c:pt idx="10">
                  <c:v>11.62</c:v>
                </c:pt>
                <c:pt idx="11">
                  <c:v>11.62</c:v>
                </c:pt>
                <c:pt idx="12">
                  <c:v>11.6325</c:v>
                </c:pt>
                <c:pt idx="13">
                  <c:v>11.62</c:v>
                </c:pt>
                <c:pt idx="14">
                  <c:v>11.62</c:v>
                </c:pt>
                <c:pt idx="15">
                  <c:v>11.6214</c:v>
                </c:pt>
                <c:pt idx="16">
                  <c:v>11.64</c:v>
                </c:pt>
                <c:pt idx="17">
                  <c:v>11.64</c:v>
                </c:pt>
                <c:pt idx="18">
                  <c:v>11.630699999999999</c:v>
                </c:pt>
                <c:pt idx="19">
                  <c:v>11.641999999999999</c:v>
                </c:pt>
                <c:pt idx="20">
                  <c:v>11.65</c:v>
                </c:pt>
                <c:pt idx="21">
                  <c:v>11.65</c:v>
                </c:pt>
                <c:pt idx="22">
                  <c:v>11.65</c:v>
                </c:pt>
                <c:pt idx="23" formatCode="General">
                  <c:v>#N/A</c:v>
                </c:pt>
                <c:pt idx="24">
                  <c:v>11.658799999999999</c:v>
                </c:pt>
                <c:pt idx="25">
                  <c:v>11.64</c:v>
                </c:pt>
                <c:pt idx="26">
                  <c:v>11.64</c:v>
                </c:pt>
                <c:pt idx="27">
                  <c:v>11.6509</c:v>
                </c:pt>
                <c:pt idx="28">
                  <c:v>11.66</c:v>
                </c:pt>
                <c:pt idx="29">
                  <c:v>11.651199999999999</c:v>
                </c:pt>
                <c:pt idx="30">
                  <c:v>11.72</c:v>
                </c:pt>
                <c:pt idx="31">
                  <c:v>11.669600000000001</c:v>
                </c:pt>
                <c:pt idx="32">
                  <c:v>11.67</c:v>
                </c:pt>
                <c:pt idx="33">
                  <c:v>11.6525</c:v>
                </c:pt>
                <c:pt idx="34">
                  <c:v>11.6502</c:v>
                </c:pt>
                <c:pt idx="35">
                  <c:v>11.6523</c:v>
                </c:pt>
                <c:pt idx="36">
                  <c:v>11.65</c:v>
                </c:pt>
                <c:pt idx="37">
                  <c:v>11.68</c:v>
                </c:pt>
                <c:pt idx="38">
                  <c:v>11.68</c:v>
                </c:pt>
                <c:pt idx="39">
                  <c:v>11.68</c:v>
                </c:pt>
                <c:pt idx="40">
                  <c:v>11.65</c:v>
                </c:pt>
                <c:pt idx="41">
                  <c:v>11.66</c:v>
                </c:pt>
                <c:pt idx="42">
                  <c:v>11.6501</c:v>
                </c:pt>
                <c:pt idx="43">
                  <c:v>11.658899999999999</c:v>
                </c:pt>
                <c:pt idx="44">
                  <c:v>11.65</c:v>
                </c:pt>
                <c:pt idx="45">
                  <c:v>11.7151</c:v>
                </c:pt>
                <c:pt idx="46">
                  <c:v>11.7</c:v>
                </c:pt>
                <c:pt idx="47">
                  <c:v>11.69</c:v>
                </c:pt>
                <c:pt idx="48">
                  <c:v>11.69</c:v>
                </c:pt>
                <c:pt idx="49">
                  <c:v>11.73</c:v>
                </c:pt>
                <c:pt idx="50">
                  <c:v>11.73</c:v>
                </c:pt>
                <c:pt idx="51">
                  <c:v>11.734999999999999</c:v>
                </c:pt>
                <c:pt idx="52">
                  <c:v>11.73</c:v>
                </c:pt>
                <c:pt idx="53">
                  <c:v>11.71</c:v>
                </c:pt>
                <c:pt idx="54">
                  <c:v>11.7296</c:v>
                </c:pt>
                <c:pt idx="55">
                  <c:v>11.75</c:v>
                </c:pt>
                <c:pt idx="56">
                  <c:v>11.85</c:v>
                </c:pt>
                <c:pt idx="57">
                  <c:v>12.68</c:v>
                </c:pt>
                <c:pt idx="58">
                  <c:v>12.65</c:v>
                </c:pt>
                <c:pt idx="59">
                  <c:v>12.2</c:v>
                </c:pt>
                <c:pt idx="60">
                  <c:v>11.795</c:v>
                </c:pt>
                <c:pt idx="61">
                  <c:v>11.74</c:v>
                </c:pt>
                <c:pt idx="62">
                  <c:v>11.42</c:v>
                </c:pt>
                <c:pt idx="63">
                  <c:v>11.27</c:v>
                </c:pt>
                <c:pt idx="64">
                  <c:v>11.11</c:v>
                </c:pt>
                <c:pt idx="65">
                  <c:v>11.2</c:v>
                </c:pt>
                <c:pt idx="66">
                  <c:v>11.44</c:v>
                </c:pt>
                <c:pt idx="67">
                  <c:v>12.02</c:v>
                </c:pt>
                <c:pt idx="68">
                  <c:v>13.25</c:v>
                </c:pt>
                <c:pt idx="69">
                  <c:v>62.9</c:v>
                </c:pt>
                <c:pt idx="70">
                  <c:v>40.9</c:v>
                </c:pt>
                <c:pt idx="71">
                  <c:v>36.22</c:v>
                </c:pt>
                <c:pt idx="72">
                  <c:v>26.33</c:v>
                </c:pt>
                <c:pt idx="73">
                  <c:v>24.62</c:v>
                </c:pt>
                <c:pt idx="74">
                  <c:v>23.48</c:v>
                </c:pt>
                <c:pt idx="75">
                  <c:v>21.57</c:v>
                </c:pt>
                <c:pt idx="76">
                  <c:v>19.5</c:v>
                </c:pt>
                <c:pt idx="77">
                  <c:v>17.27</c:v>
                </c:pt>
                <c:pt idx="78">
                  <c:v>15.445</c:v>
                </c:pt>
                <c:pt idx="79">
                  <c:v>14.43</c:v>
                </c:pt>
                <c:pt idx="80">
                  <c:v>13.89</c:v>
                </c:pt>
                <c:pt idx="81">
                  <c:v>13.54</c:v>
                </c:pt>
                <c:pt idx="82">
                  <c:v>15.96</c:v>
                </c:pt>
                <c:pt idx="83">
                  <c:v>14.55</c:v>
                </c:pt>
                <c:pt idx="84">
                  <c:v>14.94</c:v>
                </c:pt>
                <c:pt idx="85">
                  <c:v>16.25</c:v>
                </c:pt>
                <c:pt idx="86">
                  <c:v>18.100000000000001</c:v>
                </c:pt>
                <c:pt idx="87">
                  <c:v>16.41</c:v>
                </c:pt>
                <c:pt idx="88">
                  <c:v>14.09</c:v>
                </c:pt>
                <c:pt idx="89">
                  <c:v>13.99</c:v>
                </c:pt>
                <c:pt idx="90">
                  <c:v>13.515000000000001</c:v>
                </c:pt>
                <c:pt idx="91">
                  <c:v>12.29</c:v>
                </c:pt>
                <c:pt idx="92">
                  <c:v>12.41</c:v>
                </c:pt>
                <c:pt idx="93">
                  <c:v>11.91</c:v>
                </c:pt>
                <c:pt idx="94">
                  <c:v>12.21</c:v>
                </c:pt>
                <c:pt idx="95">
                  <c:v>12.59</c:v>
                </c:pt>
                <c:pt idx="96">
                  <c:v>13.5</c:v>
                </c:pt>
                <c:pt idx="97">
                  <c:v>12.3</c:v>
                </c:pt>
                <c:pt idx="98">
                  <c:v>13.205</c:v>
                </c:pt>
                <c:pt idx="99">
                  <c:v>13.22</c:v>
                </c:pt>
                <c:pt idx="100">
                  <c:v>12.44</c:v>
                </c:pt>
                <c:pt idx="101">
                  <c:v>11.68</c:v>
                </c:pt>
                <c:pt idx="102">
                  <c:v>11.44</c:v>
                </c:pt>
                <c:pt idx="103">
                  <c:v>10.95</c:v>
                </c:pt>
                <c:pt idx="104">
                  <c:v>11.14</c:v>
                </c:pt>
                <c:pt idx="105">
                  <c:v>10.42</c:v>
                </c:pt>
                <c:pt idx="106">
                  <c:v>10.96</c:v>
                </c:pt>
                <c:pt idx="107">
                  <c:v>10.71</c:v>
                </c:pt>
                <c:pt idx="108">
                  <c:v>10.85</c:v>
                </c:pt>
                <c:pt idx="109">
                  <c:v>10.91</c:v>
                </c:pt>
                <c:pt idx="110">
                  <c:v>10.71</c:v>
                </c:pt>
                <c:pt idx="111">
                  <c:v>10.39</c:v>
                </c:pt>
                <c:pt idx="112">
                  <c:v>10.69</c:v>
                </c:pt>
                <c:pt idx="113">
                  <c:v>10.38</c:v>
                </c:pt>
                <c:pt idx="114">
                  <c:v>10.765000000000001</c:v>
                </c:pt>
                <c:pt idx="115">
                  <c:v>10.6</c:v>
                </c:pt>
                <c:pt idx="116">
                  <c:v>10.42</c:v>
                </c:pt>
                <c:pt idx="117">
                  <c:v>11.2</c:v>
                </c:pt>
                <c:pt idx="118">
                  <c:v>10.92</c:v>
                </c:pt>
                <c:pt idx="119">
                  <c:v>11.31</c:v>
                </c:pt>
                <c:pt idx="120">
                  <c:v>10.83</c:v>
                </c:pt>
                <c:pt idx="121">
                  <c:v>11.96</c:v>
                </c:pt>
                <c:pt idx="122">
                  <c:v>12.56</c:v>
                </c:pt>
                <c:pt idx="123">
                  <c:v>14.01</c:v>
                </c:pt>
                <c:pt idx="124">
                  <c:v>14.3</c:v>
                </c:pt>
                <c:pt idx="125">
                  <c:v>12.72</c:v>
                </c:pt>
                <c:pt idx="126">
                  <c:v>12.845000000000001</c:v>
                </c:pt>
                <c:pt idx="127">
                  <c:v>13.23</c:v>
                </c:pt>
                <c:pt idx="128">
                  <c:v>12.81</c:v>
                </c:pt>
                <c:pt idx="129">
                  <c:v>12.48</c:v>
                </c:pt>
                <c:pt idx="130">
                  <c:v>12.81</c:v>
                </c:pt>
                <c:pt idx="131">
                  <c:v>12.13</c:v>
                </c:pt>
                <c:pt idx="132">
                  <c:v>12.9</c:v>
                </c:pt>
                <c:pt idx="133">
                  <c:v>14.43</c:v>
                </c:pt>
                <c:pt idx="134">
                  <c:v>16.89</c:v>
                </c:pt>
                <c:pt idx="135">
                  <c:v>14.62</c:v>
                </c:pt>
                <c:pt idx="136">
                  <c:v>16.97</c:v>
                </c:pt>
                <c:pt idx="137">
                  <c:v>17.739999999999998</c:v>
                </c:pt>
                <c:pt idx="138">
                  <c:v>16.09</c:v>
                </c:pt>
                <c:pt idx="139">
                  <c:v>16.045000000000002</c:v>
                </c:pt>
                <c:pt idx="140">
                  <c:v>15.72</c:v>
                </c:pt>
                <c:pt idx="141">
                  <c:v>13.69</c:v>
                </c:pt>
                <c:pt idx="142">
                  <c:v>13.95</c:v>
                </c:pt>
                <c:pt idx="143">
                  <c:v>14.19</c:v>
                </c:pt>
                <c:pt idx="144">
                  <c:v>13.33</c:v>
                </c:pt>
                <c:pt idx="145">
                  <c:v>14.29</c:v>
                </c:pt>
                <c:pt idx="146">
                  <c:v>14.84</c:v>
                </c:pt>
                <c:pt idx="147">
                  <c:v>15.41</c:v>
                </c:pt>
                <c:pt idx="148">
                  <c:v>15.32</c:v>
                </c:pt>
                <c:pt idx="149">
                  <c:v>15</c:v>
                </c:pt>
                <c:pt idx="150">
                  <c:v>14.88</c:v>
                </c:pt>
                <c:pt idx="151">
                  <c:v>15.63</c:v>
                </c:pt>
                <c:pt idx="152">
                  <c:v>15.015000000000001</c:v>
                </c:pt>
                <c:pt idx="153">
                  <c:v>15.45</c:v>
                </c:pt>
                <c:pt idx="154">
                  <c:v>16.004999999999999</c:v>
                </c:pt>
                <c:pt idx="155">
                  <c:v>15.97</c:v>
                </c:pt>
                <c:pt idx="156">
                  <c:v>14.93</c:v>
                </c:pt>
                <c:pt idx="157">
                  <c:v>14.34</c:v>
                </c:pt>
                <c:pt idx="158">
                  <c:v>14.27</c:v>
                </c:pt>
                <c:pt idx="159">
                  <c:v>15.41</c:v>
                </c:pt>
                <c:pt idx="160">
                  <c:v>14.96</c:v>
                </c:pt>
                <c:pt idx="161">
                  <c:v>15</c:v>
                </c:pt>
                <c:pt idx="162">
                  <c:v>14.44</c:v>
                </c:pt>
                <c:pt idx="163">
                  <c:v>14.67</c:v>
                </c:pt>
                <c:pt idx="164">
                  <c:v>13.59</c:v>
                </c:pt>
                <c:pt idx="165">
                  <c:v>13.45</c:v>
                </c:pt>
                <c:pt idx="166">
                  <c:v>13.01</c:v>
                </c:pt>
                <c:pt idx="167">
                  <c:v>13.28</c:v>
                </c:pt>
                <c:pt idx="168">
                  <c:v>12.93</c:v>
                </c:pt>
                <c:pt idx="169">
                  <c:v>13.39</c:v>
                </c:pt>
                <c:pt idx="170">
                  <c:v>13.54</c:v>
                </c:pt>
                <c:pt idx="171">
                  <c:v>13</c:v>
                </c:pt>
                <c:pt idx="172">
                  <c:v>13.6</c:v>
                </c:pt>
                <c:pt idx="173">
                  <c:v>13.35</c:v>
                </c:pt>
                <c:pt idx="174">
                  <c:v>13.15</c:v>
                </c:pt>
                <c:pt idx="175">
                  <c:v>13.05</c:v>
                </c:pt>
                <c:pt idx="176">
                  <c:v>12.61</c:v>
                </c:pt>
                <c:pt idx="177">
                  <c:v>12.74</c:v>
                </c:pt>
                <c:pt idx="178">
                  <c:v>13.29</c:v>
                </c:pt>
                <c:pt idx="179">
                  <c:v>14.1</c:v>
                </c:pt>
                <c:pt idx="180">
                  <c:v>14</c:v>
                </c:pt>
                <c:pt idx="181">
                  <c:v>13.97</c:v>
                </c:pt>
                <c:pt idx="182">
                  <c:v>14.64</c:v>
                </c:pt>
                <c:pt idx="183">
                  <c:v>15.16</c:v>
                </c:pt>
                <c:pt idx="184">
                  <c:v>15.55</c:v>
                </c:pt>
                <c:pt idx="185">
                  <c:v>14.79</c:v>
                </c:pt>
                <c:pt idx="186">
                  <c:v>14.11</c:v>
                </c:pt>
                <c:pt idx="187">
                  <c:v>14.38</c:v>
                </c:pt>
                <c:pt idx="188">
                  <c:v>14.19</c:v>
                </c:pt>
                <c:pt idx="189">
                  <c:v>13.71</c:v>
                </c:pt>
                <c:pt idx="190">
                  <c:v>12.8</c:v>
                </c:pt>
                <c:pt idx="191">
                  <c:v>12.66</c:v>
                </c:pt>
                <c:pt idx="192">
                  <c:v>12.54</c:v>
                </c:pt>
                <c:pt idx="193">
                  <c:v>11.4</c:v>
                </c:pt>
                <c:pt idx="194">
                  <c:v>11.74</c:v>
                </c:pt>
                <c:pt idx="195">
                  <c:v>11.73</c:v>
                </c:pt>
                <c:pt idx="196">
                  <c:v>11.61</c:v>
                </c:pt>
                <c:pt idx="197">
                  <c:v>11.75</c:v>
                </c:pt>
                <c:pt idx="198">
                  <c:v>11.01</c:v>
                </c:pt>
                <c:pt idx="199">
                  <c:v>11.48</c:v>
                </c:pt>
                <c:pt idx="200">
                  <c:v>11.14</c:v>
                </c:pt>
                <c:pt idx="201">
                  <c:v>10.83</c:v>
                </c:pt>
                <c:pt idx="202">
                  <c:v>11.08</c:v>
                </c:pt>
                <c:pt idx="203">
                  <c:v>11.51</c:v>
                </c:pt>
                <c:pt idx="204">
                  <c:v>11.57</c:v>
                </c:pt>
                <c:pt idx="205">
                  <c:v>11.29</c:v>
                </c:pt>
                <c:pt idx="206">
                  <c:v>10.96</c:v>
                </c:pt>
                <c:pt idx="207">
                  <c:v>10.79</c:v>
                </c:pt>
                <c:pt idx="208">
                  <c:v>10.82</c:v>
                </c:pt>
                <c:pt idx="209">
                  <c:v>10.35</c:v>
                </c:pt>
                <c:pt idx="210">
                  <c:v>9.7100000000000009</c:v>
                </c:pt>
                <c:pt idx="211">
                  <c:v>9.94</c:v>
                </c:pt>
                <c:pt idx="212">
                  <c:v>9.6300000000000008</c:v>
                </c:pt>
                <c:pt idx="213">
                  <c:v>9.64</c:v>
                </c:pt>
                <c:pt idx="214">
                  <c:v>9.7100000000000009</c:v>
                </c:pt>
                <c:pt idx="215">
                  <c:v>9.52</c:v>
                </c:pt>
                <c:pt idx="216">
                  <c:v>9.77</c:v>
                </c:pt>
                <c:pt idx="217">
                  <c:v>9.01</c:v>
                </c:pt>
                <c:pt idx="218">
                  <c:v>8.6300000000000008</c:v>
                </c:pt>
                <c:pt idx="219">
                  <c:v>8.15</c:v>
                </c:pt>
                <c:pt idx="220">
                  <c:v>8.39</c:v>
                </c:pt>
                <c:pt idx="221">
                  <c:v>8.2200000000000006</c:v>
                </c:pt>
                <c:pt idx="222">
                  <c:v>8.25</c:v>
                </c:pt>
                <c:pt idx="223">
                  <c:v>8.2899999999999991</c:v>
                </c:pt>
                <c:pt idx="224">
                  <c:v>8.67</c:v>
                </c:pt>
                <c:pt idx="225">
                  <c:v>8.6999999999999993</c:v>
                </c:pt>
                <c:pt idx="226">
                  <c:v>9.26</c:v>
                </c:pt>
                <c:pt idx="227">
                  <c:v>9.33</c:v>
                </c:pt>
                <c:pt idx="228">
                  <c:v>9.1999999999999993</c:v>
                </c:pt>
                <c:pt idx="229">
                  <c:v>9</c:v>
                </c:pt>
                <c:pt idx="230">
                  <c:v>9.26</c:v>
                </c:pt>
                <c:pt idx="231">
                  <c:v>9.6199999999999992</c:v>
                </c:pt>
                <c:pt idx="232">
                  <c:v>9.4700000000000006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59-417E-AE53-4D0C82648F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9051952"/>
        <c:axId val="79052912"/>
      </c:lineChart>
      <c:dateAx>
        <c:axId val="7905195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052912"/>
        <c:crosses val="autoZero"/>
        <c:auto val="1"/>
        <c:lblOffset val="100"/>
        <c:baseTimeUnit val="days"/>
      </c:dateAx>
      <c:valAx>
        <c:axId val="7905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[$$-409]* #,##0.00_);_([$$-409]* \(#,##0.00\);_([$$-409]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051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IEP!$B$1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IEP!$A$2:$A$235</c:f>
              <c:numCache>
                <c:formatCode>m/d/yyyy</c:formatCode>
                <c:ptCount val="234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</c:numCache>
            </c:numRef>
          </c:cat>
          <c:val>
            <c:numRef>
              <c:f>IEP!$B$2:$B$235</c:f>
              <c:numCache>
                <c:formatCode>_([$$-409]* #,##0.00_);_([$$-409]* \(#,##0.00\);_([$$-409]* "-"??_);_(@_)</c:formatCode>
                <c:ptCount val="234"/>
                <c:pt idx="0">
                  <c:v>8.98</c:v>
                </c:pt>
                <c:pt idx="1">
                  <c:v>9.1199999999999992</c:v>
                </c:pt>
                <c:pt idx="2">
                  <c:v>9.2799999999999994</c:v>
                </c:pt>
                <c:pt idx="3">
                  <c:v>9.34</c:v>
                </c:pt>
                <c:pt idx="4">
                  <c:v>9.15</c:v>
                </c:pt>
                <c:pt idx="5">
                  <c:v>9.2100000000000009</c:v>
                </c:pt>
                <c:pt idx="6">
                  <c:v>9.1300000000000008</c:v>
                </c:pt>
                <c:pt idx="7">
                  <c:v>8.9700000000000006</c:v>
                </c:pt>
                <c:pt idx="8">
                  <c:v>9.11</c:v>
                </c:pt>
                <c:pt idx="9">
                  <c:v>9.4499999999999993</c:v>
                </c:pt>
                <c:pt idx="10">
                  <c:v>9.3800000000000008</c:v>
                </c:pt>
                <c:pt idx="11">
                  <c:v>9.5299999999999994</c:v>
                </c:pt>
                <c:pt idx="12">
                  <c:v>9.5299999999999994</c:v>
                </c:pt>
                <c:pt idx="13">
                  <c:v>9.85</c:v>
                </c:pt>
                <c:pt idx="14">
                  <c:v>9.7949999999999999</c:v>
                </c:pt>
                <c:pt idx="15">
                  <c:v>9.9700000000000006</c:v>
                </c:pt>
                <c:pt idx="16">
                  <c:v>9.85</c:v>
                </c:pt>
                <c:pt idx="17">
                  <c:v>9.8550000000000004</c:v>
                </c:pt>
                <c:pt idx="18">
                  <c:v>9.74</c:v>
                </c:pt>
                <c:pt idx="19">
                  <c:v>9.74</c:v>
                </c:pt>
                <c:pt idx="20">
                  <c:v>9.85</c:v>
                </c:pt>
                <c:pt idx="21">
                  <c:v>9.98</c:v>
                </c:pt>
                <c:pt idx="22">
                  <c:v>9.91</c:v>
                </c:pt>
                <c:pt idx="23">
                  <c:v>9.76</c:v>
                </c:pt>
                <c:pt idx="24">
                  <c:v>9.6999999999999993</c:v>
                </c:pt>
                <c:pt idx="25">
                  <c:v>9.65</c:v>
                </c:pt>
                <c:pt idx="26">
                  <c:v>9.7799999999999994</c:v>
                </c:pt>
                <c:pt idx="27">
                  <c:v>9.8800000000000008</c:v>
                </c:pt>
                <c:pt idx="28">
                  <c:v>9.93</c:v>
                </c:pt>
                <c:pt idx="29">
                  <c:v>9.92</c:v>
                </c:pt>
                <c:pt idx="30">
                  <c:v>9.99</c:v>
                </c:pt>
                <c:pt idx="31">
                  <c:v>10.25</c:v>
                </c:pt>
                <c:pt idx="32">
                  <c:v>10.38</c:v>
                </c:pt>
                <c:pt idx="33">
                  <c:v>10.43</c:v>
                </c:pt>
                <c:pt idx="34">
                  <c:v>10.15</c:v>
                </c:pt>
                <c:pt idx="35">
                  <c:v>10.26</c:v>
                </c:pt>
                <c:pt idx="36">
                  <c:v>10.029999999999999</c:v>
                </c:pt>
                <c:pt idx="37">
                  <c:v>10.07</c:v>
                </c:pt>
                <c:pt idx="38">
                  <c:v>10.09</c:v>
                </c:pt>
                <c:pt idx="39">
                  <c:v>10</c:v>
                </c:pt>
                <c:pt idx="40">
                  <c:v>9.75</c:v>
                </c:pt>
                <c:pt idx="41">
                  <c:v>9.83</c:v>
                </c:pt>
                <c:pt idx="42">
                  <c:v>9.9</c:v>
                </c:pt>
                <c:pt idx="43">
                  <c:v>10</c:v>
                </c:pt>
                <c:pt idx="44">
                  <c:v>9.18</c:v>
                </c:pt>
                <c:pt idx="45">
                  <c:v>8.94</c:v>
                </c:pt>
                <c:pt idx="46">
                  <c:v>8.89</c:v>
                </c:pt>
                <c:pt idx="47">
                  <c:v>8.8699999999999992</c:v>
                </c:pt>
                <c:pt idx="48">
                  <c:v>9.5</c:v>
                </c:pt>
                <c:pt idx="49">
                  <c:v>9.64</c:v>
                </c:pt>
                <c:pt idx="50">
                  <c:v>9.5</c:v>
                </c:pt>
                <c:pt idx="51">
                  <c:v>9.66</c:v>
                </c:pt>
                <c:pt idx="52">
                  <c:v>9.67</c:v>
                </c:pt>
                <c:pt idx="53">
                  <c:v>9.69</c:v>
                </c:pt>
                <c:pt idx="54">
                  <c:v>9.41</c:v>
                </c:pt>
                <c:pt idx="55">
                  <c:v>9.2799999999999994</c:v>
                </c:pt>
                <c:pt idx="56">
                  <c:v>9.36</c:v>
                </c:pt>
                <c:pt idx="57">
                  <c:v>9.3000000000000007</c:v>
                </c:pt>
                <c:pt idx="58">
                  <c:v>9.2100000000000009</c:v>
                </c:pt>
                <c:pt idx="59">
                  <c:v>9.06</c:v>
                </c:pt>
                <c:pt idx="60">
                  <c:v>9.07</c:v>
                </c:pt>
                <c:pt idx="61">
                  <c:v>9.1300000000000008</c:v>
                </c:pt>
                <c:pt idx="62">
                  <c:v>8.9700000000000006</c:v>
                </c:pt>
                <c:pt idx="63">
                  <c:v>8.25</c:v>
                </c:pt>
                <c:pt idx="64">
                  <c:v>7.89</c:v>
                </c:pt>
                <c:pt idx="65">
                  <c:v>7.8049999999999997</c:v>
                </c:pt>
                <c:pt idx="66">
                  <c:v>8.43</c:v>
                </c:pt>
                <c:pt idx="67">
                  <c:v>8.0299999999999994</c:v>
                </c:pt>
                <c:pt idx="68">
                  <c:v>8.2100000000000009</c:v>
                </c:pt>
                <c:pt idx="69">
                  <c:v>8.26</c:v>
                </c:pt>
                <c:pt idx="70">
                  <c:v>8.39</c:v>
                </c:pt>
                <c:pt idx="71">
                  <c:v>8.3699999999999992</c:v>
                </c:pt>
                <c:pt idx="72">
                  <c:v>8.5399999999999991</c:v>
                </c:pt>
                <c:pt idx="73">
                  <c:v>8.5500000000000007</c:v>
                </c:pt>
                <c:pt idx="74">
                  <c:v>8.76</c:v>
                </c:pt>
                <c:pt idx="75">
                  <c:v>8.66</c:v>
                </c:pt>
                <c:pt idx="76">
                  <c:v>8.64</c:v>
                </c:pt>
                <c:pt idx="77">
                  <c:v>8.51</c:v>
                </c:pt>
                <c:pt idx="78">
                  <c:v>8.6999999999999993</c:v>
                </c:pt>
                <c:pt idx="79">
                  <c:v>8.8800000000000008</c:v>
                </c:pt>
                <c:pt idx="80">
                  <c:v>8.65</c:v>
                </c:pt>
                <c:pt idx="81">
                  <c:v>8.81</c:v>
                </c:pt>
                <c:pt idx="82">
                  <c:v>8.93</c:v>
                </c:pt>
                <c:pt idx="83">
                  <c:v>8.86</c:v>
                </c:pt>
                <c:pt idx="84">
                  <c:v>8.7200000000000006</c:v>
                </c:pt>
                <c:pt idx="85">
                  <c:v>8.35</c:v>
                </c:pt>
                <c:pt idx="86">
                  <c:v>8.5399999999999991</c:v>
                </c:pt>
                <c:pt idx="87">
                  <c:v>8.75</c:v>
                </c:pt>
                <c:pt idx="88">
                  <c:v>9.17</c:v>
                </c:pt>
                <c:pt idx="89">
                  <c:v>9.19</c:v>
                </c:pt>
                <c:pt idx="90">
                  <c:v>9.57</c:v>
                </c:pt>
                <c:pt idx="91">
                  <c:v>9.67</c:v>
                </c:pt>
                <c:pt idx="92">
                  <c:v>9.75</c:v>
                </c:pt>
                <c:pt idx="93">
                  <c:v>8.8800000000000008</c:v>
                </c:pt>
                <c:pt idx="94">
                  <c:v>8.5299999999999994</c:v>
                </c:pt>
                <c:pt idx="95">
                  <c:v>8.49</c:v>
                </c:pt>
                <c:pt idx="96">
                  <c:v>8.4700000000000006</c:v>
                </c:pt>
                <c:pt idx="97">
                  <c:v>8.57</c:v>
                </c:pt>
                <c:pt idx="98">
                  <c:v>8.6199999999999992</c:v>
                </c:pt>
                <c:pt idx="99">
                  <c:v>8.36</c:v>
                </c:pt>
                <c:pt idx="100">
                  <c:v>8.3800000000000008</c:v>
                </c:pt>
                <c:pt idx="101">
                  <c:v>8.3000000000000007</c:v>
                </c:pt>
                <c:pt idx="102">
                  <c:v>8.4499999999999993</c:v>
                </c:pt>
                <c:pt idx="103">
                  <c:v>8.48</c:v>
                </c:pt>
                <c:pt idx="104">
                  <c:v>8.6</c:v>
                </c:pt>
                <c:pt idx="105">
                  <c:v>8.4499999999999993</c:v>
                </c:pt>
                <c:pt idx="106">
                  <c:v>8.44</c:v>
                </c:pt>
                <c:pt idx="107">
                  <c:v>8.39</c:v>
                </c:pt>
                <c:pt idx="108">
                  <c:v>8.36</c:v>
                </c:pt>
                <c:pt idx="109">
                  <c:v>8.2799999999999994</c:v>
                </c:pt>
                <c:pt idx="110">
                  <c:v>8.15</c:v>
                </c:pt>
                <c:pt idx="111">
                  <c:v>8.23</c:v>
                </c:pt>
                <c:pt idx="112">
                  <c:v>8.6999999999999993</c:v>
                </c:pt>
                <c:pt idx="113">
                  <c:v>8.73</c:v>
                </c:pt>
                <c:pt idx="114">
                  <c:v>8.5500000000000007</c:v>
                </c:pt>
                <c:pt idx="115">
                  <c:v>8.32</c:v>
                </c:pt>
                <c:pt idx="116">
                  <c:v>8.15</c:v>
                </c:pt>
                <c:pt idx="117">
                  <c:v>8.1300000000000008</c:v>
                </c:pt>
                <c:pt idx="118">
                  <c:v>8</c:v>
                </c:pt>
                <c:pt idx="119">
                  <c:v>8.24</c:v>
                </c:pt>
                <c:pt idx="120">
                  <c:v>8.19</c:v>
                </c:pt>
                <c:pt idx="121">
                  <c:v>8.0449999999999999</c:v>
                </c:pt>
                <c:pt idx="122">
                  <c:v>8.31</c:v>
                </c:pt>
                <c:pt idx="123">
                  <c:v>8.5299999999999994</c:v>
                </c:pt>
                <c:pt idx="124">
                  <c:v>8.56</c:v>
                </c:pt>
                <c:pt idx="125">
                  <c:v>8.4700000000000006</c:v>
                </c:pt>
                <c:pt idx="126">
                  <c:v>8.75</c:v>
                </c:pt>
                <c:pt idx="127">
                  <c:v>8.86</c:v>
                </c:pt>
                <c:pt idx="128">
                  <c:v>8.94</c:v>
                </c:pt>
                <c:pt idx="129">
                  <c:v>9.36</c:v>
                </c:pt>
                <c:pt idx="130">
                  <c:v>9.3699999999999992</c:v>
                </c:pt>
                <c:pt idx="131">
                  <c:v>9.35</c:v>
                </c:pt>
                <c:pt idx="132">
                  <c:v>9.36</c:v>
                </c:pt>
                <c:pt idx="133">
                  <c:v>9.3699999999999992</c:v>
                </c:pt>
                <c:pt idx="134">
                  <c:v>9.07</c:v>
                </c:pt>
                <c:pt idx="135">
                  <c:v>9.1199999999999992</c:v>
                </c:pt>
                <c:pt idx="136">
                  <c:v>9.31</c:v>
                </c:pt>
                <c:pt idx="137">
                  <c:v>9.6750000000000007</c:v>
                </c:pt>
                <c:pt idx="138">
                  <c:v>9.3699999999999992</c:v>
                </c:pt>
                <c:pt idx="139">
                  <c:v>9.36</c:v>
                </c:pt>
                <c:pt idx="140">
                  <c:v>9.27</c:v>
                </c:pt>
                <c:pt idx="141">
                  <c:v>9.4</c:v>
                </c:pt>
                <c:pt idx="142">
                  <c:v>9.3000000000000007</c:v>
                </c:pt>
                <c:pt idx="143">
                  <c:v>9.1300000000000008</c:v>
                </c:pt>
                <c:pt idx="144">
                  <c:v>8.98</c:v>
                </c:pt>
                <c:pt idx="145">
                  <c:v>8.9499999999999993</c:v>
                </c:pt>
                <c:pt idx="146">
                  <c:v>9.0950000000000006</c:v>
                </c:pt>
                <c:pt idx="147">
                  <c:v>9.25</c:v>
                </c:pt>
                <c:pt idx="148">
                  <c:v>9.25</c:v>
                </c:pt>
                <c:pt idx="149">
                  <c:v>9.27</c:v>
                </c:pt>
                <c:pt idx="150">
                  <c:v>9.2899999999999991</c:v>
                </c:pt>
                <c:pt idx="151">
                  <c:v>9.1999999999999993</c:v>
                </c:pt>
                <c:pt idx="152">
                  <c:v>9.32</c:v>
                </c:pt>
                <c:pt idx="153">
                  <c:v>9.34</c:v>
                </c:pt>
                <c:pt idx="154">
                  <c:v>9.4</c:v>
                </c:pt>
                <c:pt idx="155">
                  <c:v>8.57</c:v>
                </c:pt>
                <c:pt idx="156">
                  <c:v>8.41</c:v>
                </c:pt>
                <c:pt idx="157">
                  <c:v>8.4700000000000006</c:v>
                </c:pt>
                <c:pt idx="158">
                  <c:v>8.3049999999999997</c:v>
                </c:pt>
                <c:pt idx="159">
                  <c:v>8.4600000000000009</c:v>
                </c:pt>
                <c:pt idx="160">
                  <c:v>8.3699999999999992</c:v>
                </c:pt>
                <c:pt idx="161">
                  <c:v>8.36</c:v>
                </c:pt>
                <c:pt idx="162">
                  <c:v>8.41</c:v>
                </c:pt>
                <c:pt idx="163">
                  <c:v>8.6199999999999992</c:v>
                </c:pt>
                <c:pt idx="164">
                  <c:v>8.4700000000000006</c:v>
                </c:pt>
                <c:pt idx="165">
                  <c:v>8.44</c:v>
                </c:pt>
                <c:pt idx="166">
                  <c:v>8.41</c:v>
                </c:pt>
                <c:pt idx="167">
                  <c:v>8.44</c:v>
                </c:pt>
                <c:pt idx="168">
                  <c:v>8.43</c:v>
                </c:pt>
                <c:pt idx="169">
                  <c:v>8.43</c:v>
                </c:pt>
                <c:pt idx="170">
                  <c:v>8.2899999999999991</c:v>
                </c:pt>
                <c:pt idx="171">
                  <c:v>8.32</c:v>
                </c:pt>
                <c:pt idx="172">
                  <c:v>8.36</c:v>
                </c:pt>
                <c:pt idx="173">
                  <c:v>8.15</c:v>
                </c:pt>
                <c:pt idx="174">
                  <c:v>8.14</c:v>
                </c:pt>
                <c:pt idx="175">
                  <c:v>8.18</c:v>
                </c:pt>
                <c:pt idx="176">
                  <c:v>8.17</c:v>
                </c:pt>
                <c:pt idx="177">
                  <c:v>8.23</c:v>
                </c:pt>
                <c:pt idx="178">
                  <c:v>8.19</c:v>
                </c:pt>
                <c:pt idx="179">
                  <c:v>8.18</c:v>
                </c:pt>
                <c:pt idx="180">
                  <c:v>8.19</c:v>
                </c:pt>
                <c:pt idx="181">
                  <c:v>8.18</c:v>
                </c:pt>
                <c:pt idx="182">
                  <c:v>8.2100000000000009</c:v>
                </c:pt>
                <c:pt idx="183">
                  <c:v>8.2799999999999994</c:v>
                </c:pt>
                <c:pt idx="184">
                  <c:v>8.4700000000000006</c:v>
                </c:pt>
                <c:pt idx="185">
                  <c:v>8.42</c:v>
                </c:pt>
                <c:pt idx="186">
                  <c:v>8.4</c:v>
                </c:pt>
                <c:pt idx="187">
                  <c:v>8.3699999999999992</c:v>
                </c:pt>
                <c:pt idx="188">
                  <c:v>8.36</c:v>
                </c:pt>
                <c:pt idx="189">
                  <c:v>8.25</c:v>
                </c:pt>
                <c:pt idx="190">
                  <c:v>8.35</c:v>
                </c:pt>
                <c:pt idx="191">
                  <c:v>8.2799999999999994</c:v>
                </c:pt>
                <c:pt idx="192">
                  <c:v>8.2100000000000009</c:v>
                </c:pt>
                <c:pt idx="193">
                  <c:v>8.11</c:v>
                </c:pt>
                <c:pt idx="194">
                  <c:v>8.23</c:v>
                </c:pt>
                <c:pt idx="195">
                  <c:v>8.19</c:v>
                </c:pt>
                <c:pt idx="196">
                  <c:v>8.1449999999999996</c:v>
                </c:pt>
                <c:pt idx="197">
                  <c:v>8.09</c:v>
                </c:pt>
                <c:pt idx="198">
                  <c:v>8.2200000000000006</c:v>
                </c:pt>
                <c:pt idx="199">
                  <c:v>8.2899999999999991</c:v>
                </c:pt>
                <c:pt idx="200">
                  <c:v>8.18</c:v>
                </c:pt>
                <c:pt idx="201">
                  <c:v>8.18</c:v>
                </c:pt>
                <c:pt idx="202">
                  <c:v>8.19</c:v>
                </c:pt>
                <c:pt idx="203">
                  <c:v>8.1999999999999993</c:v>
                </c:pt>
                <c:pt idx="204">
                  <c:v>8.14</c:v>
                </c:pt>
                <c:pt idx="205">
                  <c:v>8.17</c:v>
                </c:pt>
                <c:pt idx="206">
                  <c:v>8.09</c:v>
                </c:pt>
                <c:pt idx="207">
                  <c:v>8.07</c:v>
                </c:pt>
                <c:pt idx="208">
                  <c:v>8.06</c:v>
                </c:pt>
                <c:pt idx="209">
                  <c:v>8.06</c:v>
                </c:pt>
                <c:pt idx="210">
                  <c:v>8.11</c:v>
                </c:pt>
                <c:pt idx="211">
                  <c:v>8.83</c:v>
                </c:pt>
                <c:pt idx="212">
                  <c:v>9.15</c:v>
                </c:pt>
                <c:pt idx="213">
                  <c:v>8.85</c:v>
                </c:pt>
                <c:pt idx="214">
                  <c:v>9</c:v>
                </c:pt>
                <c:pt idx="215">
                  <c:v>9.06</c:v>
                </c:pt>
                <c:pt idx="216">
                  <c:v>9</c:v>
                </c:pt>
                <c:pt idx="217">
                  <c:v>8.7799999999999994</c:v>
                </c:pt>
                <c:pt idx="218">
                  <c:v>8.75</c:v>
                </c:pt>
                <c:pt idx="219">
                  <c:v>7.93</c:v>
                </c:pt>
                <c:pt idx="220">
                  <c:v>7.98</c:v>
                </c:pt>
                <c:pt idx="221">
                  <c:v>7.83</c:v>
                </c:pt>
                <c:pt idx="222">
                  <c:v>7.67</c:v>
                </c:pt>
                <c:pt idx="223">
                  <c:v>7.76</c:v>
                </c:pt>
                <c:pt idx="224">
                  <c:v>7.66</c:v>
                </c:pt>
                <c:pt idx="225">
                  <c:v>7.82</c:v>
                </c:pt>
                <c:pt idx="226">
                  <c:v>8</c:v>
                </c:pt>
                <c:pt idx="227">
                  <c:v>8.1199999999999992</c:v>
                </c:pt>
                <c:pt idx="228">
                  <c:v>8.08</c:v>
                </c:pt>
                <c:pt idx="229">
                  <c:v>8.01</c:v>
                </c:pt>
                <c:pt idx="230">
                  <c:v>8.09</c:v>
                </c:pt>
                <c:pt idx="231">
                  <c:v>8.06</c:v>
                </c:pt>
                <c:pt idx="232">
                  <c:v>7.9</c:v>
                </c:pt>
                <c:pt idx="233">
                  <c:v>7.7249999999999996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F7-44E4-BB26-92E65A4E4F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68401471"/>
        <c:axId val="1568388031"/>
      </c:lineChart>
      <c:dateAx>
        <c:axId val="156840147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8388031"/>
        <c:crosses val="autoZero"/>
        <c:auto val="1"/>
        <c:lblOffset val="100"/>
        <c:baseTimeUnit val="days"/>
      </c:dateAx>
      <c:valAx>
        <c:axId val="1568388031"/>
        <c:scaling>
          <c:orientation val="minMax"/>
          <c:min val="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[$$-409]* #,##0.00_);_([$$-409]* \(#,##0.00\);_([$$-409]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84014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GBTG!$B$1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GBTG!$A$2:$A$234</c:f>
              <c:numCache>
                <c:formatCode>m/d/yyyy</c:formatCode>
                <c:ptCount val="233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</c:numCache>
            </c:numRef>
          </c:cat>
          <c:val>
            <c:numRef>
              <c:f>GBTG!$B$2:$B$234</c:f>
              <c:numCache>
                <c:formatCode>_([$$-409]* #,##0.00_);_([$$-409]* \(#,##0.00\);_([$$-409]* "-"??_);_(@_)</c:formatCode>
                <c:ptCount val="233"/>
                <c:pt idx="0">
                  <c:v>9.16</c:v>
                </c:pt>
                <c:pt idx="1">
                  <c:v>9.09</c:v>
                </c:pt>
                <c:pt idx="2">
                  <c:v>8.83</c:v>
                </c:pt>
                <c:pt idx="3">
                  <c:v>8.8699999999999992</c:v>
                </c:pt>
                <c:pt idx="4">
                  <c:v>8.9</c:v>
                </c:pt>
                <c:pt idx="5">
                  <c:v>8.59</c:v>
                </c:pt>
                <c:pt idx="6">
                  <c:v>8.7899999999999991</c:v>
                </c:pt>
                <c:pt idx="7">
                  <c:v>8.91</c:v>
                </c:pt>
                <c:pt idx="8">
                  <c:v>8.9700000000000006</c:v>
                </c:pt>
                <c:pt idx="9">
                  <c:v>8.9700000000000006</c:v>
                </c:pt>
                <c:pt idx="10">
                  <c:v>9</c:v>
                </c:pt>
                <c:pt idx="11">
                  <c:v>9.0299999999999994</c:v>
                </c:pt>
                <c:pt idx="12">
                  <c:v>8.9700000000000006</c:v>
                </c:pt>
                <c:pt idx="13">
                  <c:v>9</c:v>
                </c:pt>
                <c:pt idx="14">
                  <c:v>8.9499999999999993</c:v>
                </c:pt>
                <c:pt idx="15">
                  <c:v>8.82</c:v>
                </c:pt>
                <c:pt idx="16">
                  <c:v>8.99</c:v>
                </c:pt>
                <c:pt idx="17">
                  <c:v>8.9700000000000006</c:v>
                </c:pt>
                <c:pt idx="18">
                  <c:v>9</c:v>
                </c:pt>
                <c:pt idx="19">
                  <c:v>8.82</c:v>
                </c:pt>
                <c:pt idx="20">
                  <c:v>8.92</c:v>
                </c:pt>
                <c:pt idx="21">
                  <c:v>8.99</c:v>
                </c:pt>
                <c:pt idx="22">
                  <c:v>9</c:v>
                </c:pt>
                <c:pt idx="23">
                  <c:v>8.98</c:v>
                </c:pt>
                <c:pt idx="24">
                  <c:v>8.9499999999999993</c:v>
                </c:pt>
                <c:pt idx="25">
                  <c:v>8.76</c:v>
                </c:pt>
                <c:pt idx="26">
                  <c:v>8.7799999999999994</c:v>
                </c:pt>
                <c:pt idx="27">
                  <c:v>8.7799999999999994</c:v>
                </c:pt>
                <c:pt idx="28">
                  <c:v>8.9700000000000006</c:v>
                </c:pt>
                <c:pt idx="29">
                  <c:v>8.9499999999999993</c:v>
                </c:pt>
                <c:pt idx="30">
                  <c:v>8.93</c:v>
                </c:pt>
                <c:pt idx="31">
                  <c:v>8.8800000000000008</c:v>
                </c:pt>
                <c:pt idx="32">
                  <c:v>8.74</c:v>
                </c:pt>
                <c:pt idx="33">
                  <c:v>8.5500000000000007</c:v>
                </c:pt>
                <c:pt idx="34">
                  <c:v>8.5500000000000007</c:v>
                </c:pt>
                <c:pt idx="35">
                  <c:v>8.5299999999999994</c:v>
                </c:pt>
                <c:pt idx="36">
                  <c:v>8.6199999999999992</c:v>
                </c:pt>
                <c:pt idx="37">
                  <c:v>8.11</c:v>
                </c:pt>
                <c:pt idx="38">
                  <c:v>8.31</c:v>
                </c:pt>
                <c:pt idx="39">
                  <c:v>8.52</c:v>
                </c:pt>
                <c:pt idx="40">
                  <c:v>8.08</c:v>
                </c:pt>
                <c:pt idx="41">
                  <c:v>8.16</c:v>
                </c:pt>
                <c:pt idx="42">
                  <c:v>7.98</c:v>
                </c:pt>
                <c:pt idx="43">
                  <c:v>8.07</c:v>
                </c:pt>
                <c:pt idx="44">
                  <c:v>7.81</c:v>
                </c:pt>
                <c:pt idx="45">
                  <c:v>7.49</c:v>
                </c:pt>
                <c:pt idx="46">
                  <c:v>7.37</c:v>
                </c:pt>
                <c:pt idx="47">
                  <c:v>7.27</c:v>
                </c:pt>
                <c:pt idx="48">
                  <c:v>7.35</c:v>
                </c:pt>
                <c:pt idx="49">
                  <c:v>7.44</c:v>
                </c:pt>
                <c:pt idx="50">
                  <c:v>7.48</c:v>
                </c:pt>
                <c:pt idx="51">
                  <c:v>7.71</c:v>
                </c:pt>
                <c:pt idx="52">
                  <c:v>7.74</c:v>
                </c:pt>
                <c:pt idx="53">
                  <c:v>7.61</c:v>
                </c:pt>
                <c:pt idx="54">
                  <c:v>7.69</c:v>
                </c:pt>
                <c:pt idx="55">
                  <c:v>7.6</c:v>
                </c:pt>
                <c:pt idx="56">
                  <c:v>7.59</c:v>
                </c:pt>
                <c:pt idx="57">
                  <c:v>7.59</c:v>
                </c:pt>
                <c:pt idx="58">
                  <c:v>7.36</c:v>
                </c:pt>
                <c:pt idx="59">
                  <c:v>7.26</c:v>
                </c:pt>
                <c:pt idx="60">
                  <c:v>7.35</c:v>
                </c:pt>
                <c:pt idx="61">
                  <c:v>7.45</c:v>
                </c:pt>
                <c:pt idx="62">
                  <c:v>6.92</c:v>
                </c:pt>
                <c:pt idx="63">
                  <c:v>6.58</c:v>
                </c:pt>
                <c:pt idx="64">
                  <c:v>6.46</c:v>
                </c:pt>
                <c:pt idx="65">
                  <c:v>6.41</c:v>
                </c:pt>
                <c:pt idx="66">
                  <c:v>6.83</c:v>
                </c:pt>
                <c:pt idx="67">
                  <c:v>6.64</c:v>
                </c:pt>
                <c:pt idx="68">
                  <c:v>6.74</c:v>
                </c:pt>
                <c:pt idx="69">
                  <c:v>6.71</c:v>
                </c:pt>
                <c:pt idx="70">
                  <c:v>6.65</c:v>
                </c:pt>
                <c:pt idx="71">
                  <c:v>6.56</c:v>
                </c:pt>
                <c:pt idx="72">
                  <c:v>6.64</c:v>
                </c:pt>
                <c:pt idx="73">
                  <c:v>6.43</c:v>
                </c:pt>
                <c:pt idx="74">
                  <c:v>6.58</c:v>
                </c:pt>
                <c:pt idx="75">
                  <c:v>6.72</c:v>
                </c:pt>
                <c:pt idx="76">
                  <c:v>6.81</c:v>
                </c:pt>
                <c:pt idx="77">
                  <c:v>6.77</c:v>
                </c:pt>
                <c:pt idx="78">
                  <c:v>6.79</c:v>
                </c:pt>
                <c:pt idx="79">
                  <c:v>6.72</c:v>
                </c:pt>
                <c:pt idx="80">
                  <c:v>6.71</c:v>
                </c:pt>
                <c:pt idx="81">
                  <c:v>6.76</c:v>
                </c:pt>
                <c:pt idx="82">
                  <c:v>6.88</c:v>
                </c:pt>
                <c:pt idx="83">
                  <c:v>6.89</c:v>
                </c:pt>
                <c:pt idx="84">
                  <c:v>6.17</c:v>
                </c:pt>
                <c:pt idx="85">
                  <c:v>5.96</c:v>
                </c:pt>
                <c:pt idx="86">
                  <c:v>6.01</c:v>
                </c:pt>
                <c:pt idx="87">
                  <c:v>5.83</c:v>
                </c:pt>
                <c:pt idx="88">
                  <c:v>6.17</c:v>
                </c:pt>
                <c:pt idx="89">
                  <c:v>6.24</c:v>
                </c:pt>
                <c:pt idx="90">
                  <c:v>6.16</c:v>
                </c:pt>
                <c:pt idx="91">
                  <c:v>6.07</c:v>
                </c:pt>
                <c:pt idx="92">
                  <c:v>6.09</c:v>
                </c:pt>
                <c:pt idx="93">
                  <c:v>6.07</c:v>
                </c:pt>
                <c:pt idx="94">
                  <c:v>6.11</c:v>
                </c:pt>
                <c:pt idx="95">
                  <c:v>6.07</c:v>
                </c:pt>
                <c:pt idx="96">
                  <c:v>6.09</c:v>
                </c:pt>
                <c:pt idx="97">
                  <c:v>5.99</c:v>
                </c:pt>
                <c:pt idx="98">
                  <c:v>6.26</c:v>
                </c:pt>
                <c:pt idx="99">
                  <c:v>6.21</c:v>
                </c:pt>
                <c:pt idx="100">
                  <c:v>6.23</c:v>
                </c:pt>
                <c:pt idx="101">
                  <c:v>6.25</c:v>
                </c:pt>
                <c:pt idx="102">
                  <c:v>6.34</c:v>
                </c:pt>
                <c:pt idx="103">
                  <c:v>6.4</c:v>
                </c:pt>
                <c:pt idx="104">
                  <c:v>6.38</c:v>
                </c:pt>
                <c:pt idx="105">
                  <c:v>6.5</c:v>
                </c:pt>
                <c:pt idx="106">
                  <c:v>6.56</c:v>
                </c:pt>
                <c:pt idx="107">
                  <c:v>6.57</c:v>
                </c:pt>
                <c:pt idx="108">
                  <c:v>6.57</c:v>
                </c:pt>
                <c:pt idx="109">
                  <c:v>6.49</c:v>
                </c:pt>
                <c:pt idx="110">
                  <c:v>6.38</c:v>
                </c:pt>
                <c:pt idx="111">
                  <c:v>6.09</c:v>
                </c:pt>
                <c:pt idx="112">
                  <c:v>6.16</c:v>
                </c:pt>
                <c:pt idx="113">
                  <c:v>6.02</c:v>
                </c:pt>
                <c:pt idx="114">
                  <c:v>6.07</c:v>
                </c:pt>
                <c:pt idx="115">
                  <c:v>6.04</c:v>
                </c:pt>
                <c:pt idx="116">
                  <c:v>6.19</c:v>
                </c:pt>
                <c:pt idx="117">
                  <c:v>6.33</c:v>
                </c:pt>
                <c:pt idx="118">
                  <c:v>6.19</c:v>
                </c:pt>
                <c:pt idx="119">
                  <c:v>6.33</c:v>
                </c:pt>
                <c:pt idx="120">
                  <c:v>6.45</c:v>
                </c:pt>
                <c:pt idx="121">
                  <c:v>6.3</c:v>
                </c:pt>
                <c:pt idx="122">
                  <c:v>6.34</c:v>
                </c:pt>
                <c:pt idx="123">
                  <c:v>6.35</c:v>
                </c:pt>
                <c:pt idx="124">
                  <c:v>6.47</c:v>
                </c:pt>
                <c:pt idx="125">
                  <c:v>6.39</c:v>
                </c:pt>
                <c:pt idx="126">
                  <c:v>6.39</c:v>
                </c:pt>
                <c:pt idx="127">
                  <c:v>6.37</c:v>
                </c:pt>
                <c:pt idx="128">
                  <c:v>6.59</c:v>
                </c:pt>
                <c:pt idx="129">
                  <c:v>6.41</c:v>
                </c:pt>
                <c:pt idx="130">
                  <c:v>6.36</c:v>
                </c:pt>
                <c:pt idx="131">
                  <c:v>6.25</c:v>
                </c:pt>
                <c:pt idx="132">
                  <c:v>6.35</c:v>
                </c:pt>
                <c:pt idx="133">
                  <c:v>6.43</c:v>
                </c:pt>
                <c:pt idx="134">
                  <c:v>6.32</c:v>
                </c:pt>
                <c:pt idx="135">
                  <c:v>6.31</c:v>
                </c:pt>
                <c:pt idx="136">
                  <c:v>6.47</c:v>
                </c:pt>
                <c:pt idx="137">
                  <c:v>6.66</c:v>
                </c:pt>
                <c:pt idx="138">
                  <c:v>6.68</c:v>
                </c:pt>
                <c:pt idx="139">
                  <c:v>6.77</c:v>
                </c:pt>
                <c:pt idx="140">
                  <c:v>6.71</c:v>
                </c:pt>
                <c:pt idx="141">
                  <c:v>6.66</c:v>
                </c:pt>
                <c:pt idx="142">
                  <c:v>6.67</c:v>
                </c:pt>
                <c:pt idx="143">
                  <c:v>6.43</c:v>
                </c:pt>
                <c:pt idx="144">
                  <c:v>6.09</c:v>
                </c:pt>
                <c:pt idx="145">
                  <c:v>6.24</c:v>
                </c:pt>
                <c:pt idx="146">
                  <c:v>6.5</c:v>
                </c:pt>
                <c:pt idx="147">
                  <c:v>7.33</c:v>
                </c:pt>
                <c:pt idx="148">
                  <c:v>7.25</c:v>
                </c:pt>
                <c:pt idx="149">
                  <c:v>7.51</c:v>
                </c:pt>
                <c:pt idx="150">
                  <c:v>7.47</c:v>
                </c:pt>
                <c:pt idx="151">
                  <c:v>7.71</c:v>
                </c:pt>
                <c:pt idx="152">
                  <c:v>7.87</c:v>
                </c:pt>
                <c:pt idx="153">
                  <c:v>7.82</c:v>
                </c:pt>
                <c:pt idx="154">
                  <c:v>7.82</c:v>
                </c:pt>
                <c:pt idx="155">
                  <c:v>7.84</c:v>
                </c:pt>
                <c:pt idx="156">
                  <c:v>7.91</c:v>
                </c:pt>
                <c:pt idx="157">
                  <c:v>7.9</c:v>
                </c:pt>
                <c:pt idx="158">
                  <c:v>7.98</c:v>
                </c:pt>
                <c:pt idx="159">
                  <c:v>8.26</c:v>
                </c:pt>
                <c:pt idx="160">
                  <c:v>8.17</c:v>
                </c:pt>
                <c:pt idx="161">
                  <c:v>8.17</c:v>
                </c:pt>
                <c:pt idx="162">
                  <c:v>8.24</c:v>
                </c:pt>
                <c:pt idx="163">
                  <c:v>8.25</c:v>
                </c:pt>
                <c:pt idx="164">
                  <c:v>8.34</c:v>
                </c:pt>
                <c:pt idx="165">
                  <c:v>8.11</c:v>
                </c:pt>
                <c:pt idx="166">
                  <c:v>8.1</c:v>
                </c:pt>
                <c:pt idx="167">
                  <c:v>8.14</c:v>
                </c:pt>
                <c:pt idx="168">
                  <c:v>8.11</c:v>
                </c:pt>
                <c:pt idx="169">
                  <c:v>8.2100000000000009</c:v>
                </c:pt>
                <c:pt idx="170">
                  <c:v>8.11</c:v>
                </c:pt>
                <c:pt idx="171">
                  <c:v>7.93</c:v>
                </c:pt>
                <c:pt idx="172">
                  <c:v>8.32</c:v>
                </c:pt>
                <c:pt idx="173">
                  <c:v>8.16</c:v>
                </c:pt>
                <c:pt idx="174">
                  <c:v>8.19</c:v>
                </c:pt>
                <c:pt idx="175">
                  <c:v>8.16</c:v>
                </c:pt>
                <c:pt idx="176">
                  <c:v>8.19</c:v>
                </c:pt>
                <c:pt idx="177">
                  <c:v>8.2200000000000006</c:v>
                </c:pt>
                <c:pt idx="178">
                  <c:v>8.14</c:v>
                </c:pt>
                <c:pt idx="179">
                  <c:v>8.08</c:v>
                </c:pt>
                <c:pt idx="180">
                  <c:v>8.23</c:v>
                </c:pt>
                <c:pt idx="181">
                  <c:v>8.24</c:v>
                </c:pt>
                <c:pt idx="182">
                  <c:v>8</c:v>
                </c:pt>
                <c:pt idx="183">
                  <c:v>8.14</c:v>
                </c:pt>
                <c:pt idx="184">
                  <c:v>8.18</c:v>
                </c:pt>
                <c:pt idx="185">
                  <c:v>8.08</c:v>
                </c:pt>
                <c:pt idx="186">
                  <c:v>7.96</c:v>
                </c:pt>
                <c:pt idx="187">
                  <c:v>8</c:v>
                </c:pt>
                <c:pt idx="188">
                  <c:v>8</c:v>
                </c:pt>
                <c:pt idx="189">
                  <c:v>8.11</c:v>
                </c:pt>
                <c:pt idx="190">
                  <c:v>7.8</c:v>
                </c:pt>
                <c:pt idx="191">
                  <c:v>7.78</c:v>
                </c:pt>
                <c:pt idx="192">
                  <c:v>7.76</c:v>
                </c:pt>
                <c:pt idx="193">
                  <c:v>7.54</c:v>
                </c:pt>
                <c:pt idx="194">
                  <c:v>7.72</c:v>
                </c:pt>
                <c:pt idx="195">
                  <c:v>7.97</c:v>
                </c:pt>
                <c:pt idx="196">
                  <c:v>8.0500000000000007</c:v>
                </c:pt>
                <c:pt idx="197">
                  <c:v>7.97</c:v>
                </c:pt>
                <c:pt idx="198">
                  <c:v>8.09</c:v>
                </c:pt>
                <c:pt idx="199">
                  <c:v>8.1199999999999992</c:v>
                </c:pt>
                <c:pt idx="200">
                  <c:v>8.1300000000000008</c:v>
                </c:pt>
                <c:pt idx="201">
                  <c:v>7.98</c:v>
                </c:pt>
                <c:pt idx="202">
                  <c:v>7.9</c:v>
                </c:pt>
                <c:pt idx="203">
                  <c:v>8.01</c:v>
                </c:pt>
                <c:pt idx="204">
                  <c:v>8.0399999999999991</c:v>
                </c:pt>
                <c:pt idx="205">
                  <c:v>8.1300000000000008</c:v>
                </c:pt>
                <c:pt idx="206">
                  <c:v>7.84</c:v>
                </c:pt>
                <c:pt idx="207">
                  <c:v>7.9</c:v>
                </c:pt>
                <c:pt idx="208">
                  <c:v>7.86</c:v>
                </c:pt>
                <c:pt idx="209">
                  <c:v>7.67</c:v>
                </c:pt>
                <c:pt idx="210">
                  <c:v>7.67</c:v>
                </c:pt>
                <c:pt idx="211">
                  <c:v>7.91</c:v>
                </c:pt>
                <c:pt idx="212">
                  <c:v>7.77</c:v>
                </c:pt>
                <c:pt idx="213">
                  <c:v>7.96</c:v>
                </c:pt>
                <c:pt idx="214">
                  <c:v>7.65</c:v>
                </c:pt>
                <c:pt idx="215">
                  <c:v>7.87</c:v>
                </c:pt>
                <c:pt idx="216">
                  <c:v>7.37</c:v>
                </c:pt>
                <c:pt idx="217">
                  <c:v>7.17</c:v>
                </c:pt>
                <c:pt idx="218">
                  <c:v>7.18</c:v>
                </c:pt>
                <c:pt idx="219">
                  <c:v>7.14</c:v>
                </c:pt>
                <c:pt idx="220">
                  <c:v>6.98</c:v>
                </c:pt>
                <c:pt idx="221">
                  <c:v>6.93</c:v>
                </c:pt>
                <c:pt idx="222">
                  <c:v>6.83</c:v>
                </c:pt>
                <c:pt idx="223">
                  <c:v>7.11</c:v>
                </c:pt>
                <c:pt idx="224">
                  <c:v>7.32</c:v>
                </c:pt>
                <c:pt idx="225">
                  <c:v>7.74</c:v>
                </c:pt>
                <c:pt idx="226">
                  <c:v>7.7</c:v>
                </c:pt>
                <c:pt idx="227">
                  <c:v>7.71</c:v>
                </c:pt>
                <c:pt idx="228">
                  <c:v>7.78</c:v>
                </c:pt>
                <c:pt idx="229">
                  <c:v>7.93</c:v>
                </c:pt>
                <c:pt idx="230">
                  <c:v>8</c:v>
                </c:pt>
                <c:pt idx="231">
                  <c:v>7.88</c:v>
                </c:pt>
                <c:pt idx="232">
                  <c:v>7.92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4C-4B39-99E9-579BD60578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054624"/>
        <c:axId val="69068064"/>
      </c:lineChart>
      <c:dateAx>
        <c:axId val="6905462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68064"/>
        <c:crosses val="autoZero"/>
        <c:auto val="1"/>
        <c:lblOffset val="100"/>
        <c:baseTimeUnit val="days"/>
      </c:dateAx>
      <c:valAx>
        <c:axId val="69068064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[$$-409]* #,##0.00_);_([$$-409]* \(#,##0.00\);_([$$-409]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54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823631</xdr:colOff>
      <xdr:row>2</xdr:row>
      <xdr:rowOff>101972</xdr:rowOff>
    </xdr:from>
    <xdr:to>
      <xdr:col>15</xdr:col>
      <xdr:colOff>89646</xdr:colOff>
      <xdr:row>20</xdr:row>
      <xdr:rowOff>179294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E8FD248-060B-AEF6-B6E4-4F7CA65350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400050</xdr:colOff>
      <xdr:row>216</xdr:row>
      <xdr:rowOff>147637</xdr:rowOff>
    </xdr:from>
    <xdr:to>
      <xdr:col>14</xdr:col>
      <xdr:colOff>85725</xdr:colOff>
      <xdr:row>231</xdr:row>
      <xdr:rowOff>33337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EF84EC-9464-4372-BB85-4F98706EF3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314325</xdr:colOff>
      <xdr:row>218</xdr:row>
      <xdr:rowOff>42862</xdr:rowOff>
    </xdr:from>
    <xdr:to>
      <xdr:col>14</xdr:col>
      <xdr:colOff>9525</xdr:colOff>
      <xdr:row>232</xdr:row>
      <xdr:rowOff>119062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15F604-A5D7-BFF3-C541-EB380FD83E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47625</xdr:colOff>
      <xdr:row>0</xdr:row>
      <xdr:rowOff>157162</xdr:rowOff>
    </xdr:from>
    <xdr:to>
      <xdr:col>13</xdr:col>
      <xdr:colOff>295275</xdr:colOff>
      <xdr:row>17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2CC3467-8259-CC25-1769-F95EE29171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533400</xdr:colOff>
      <xdr:row>218</xdr:row>
      <xdr:rowOff>4762</xdr:rowOff>
    </xdr:from>
    <xdr:to>
      <xdr:col>14</xdr:col>
      <xdr:colOff>228600</xdr:colOff>
      <xdr:row>232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0193B7-4B24-5623-6E54-6A05F07D30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314325</xdr:colOff>
      <xdr:row>2</xdr:row>
      <xdr:rowOff>42862</xdr:rowOff>
    </xdr:from>
    <xdr:to>
      <xdr:col>14</xdr:col>
      <xdr:colOff>9525</xdr:colOff>
      <xdr:row>16</xdr:row>
      <xdr:rowOff>119062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8501556-EB8B-5B69-DEFE-F0366114B3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wner\AppData\Roaming\Microsoft\AddIns\XRealStats.xlam" TargetMode="External"/><Relationship Id="rId1" Type="http://schemas.openxmlformats.org/officeDocument/2006/relationships/externalLinkPath" Target="/Users/Owner/AppData/Roaming/Microsoft/AddIns/XRealStats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fig"/>
      <sheetName val="Wilcoxon Table"/>
      <sheetName val="Mann Table"/>
      <sheetName val="Runs Table"/>
      <sheetName val="KS Table"/>
      <sheetName val="KS2 Table"/>
      <sheetName val="Lil Table"/>
      <sheetName val="AD Table"/>
      <sheetName val="AD2 Table"/>
      <sheetName val="SW Table"/>
      <sheetName val="Stud. Q Table"/>
      <sheetName val="Stud. Q Table 2"/>
      <sheetName val="Sp Rho Table"/>
      <sheetName val="Ken Tau Table"/>
      <sheetName val="Durbin Table"/>
      <sheetName val="Dunnett Table"/>
      <sheetName val="Dunnett 1"/>
      <sheetName val="Kendall Tc"/>
      <sheetName val="Kendall u"/>
      <sheetName val="Page Table"/>
      <sheetName val="Prime"/>
      <sheetName val="MSSD"/>
      <sheetName val="Dict"/>
      <sheetName val="ADict"/>
      <sheetName val="L4 2"/>
      <sheetName val="L8 2"/>
      <sheetName val="L8 42"/>
      <sheetName val="L9 3"/>
      <sheetName val="L12 2"/>
      <sheetName val="L16 2"/>
      <sheetName val="L16 4"/>
      <sheetName val="L16 42a"/>
      <sheetName val="L18 23"/>
      <sheetName val="L18 63"/>
      <sheetName val="L25 5"/>
      <sheetName val="L27 3"/>
      <sheetName val="L32 2"/>
      <sheetName val="L32 24"/>
      <sheetName val="L36 23a"/>
      <sheetName val="L36 23b"/>
      <sheetName val="L50 25"/>
      <sheetName val="L54 23"/>
      <sheetName val="L64 4"/>
      <sheetName val="T2"/>
      <sheetName val="T3"/>
      <sheetName val="T4"/>
    </sheetNames>
    <definedNames>
      <definedName name="LOESS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23">
  <a r="1" c="234">
    <v t="i">1</v>
    <v t="i">2</v>
    <v t="i">5</v>
    <v t="i">6</v>
    <v t="i">7</v>
    <v t="i">9</v>
    <v t="i">12</v>
    <v t="i">13</v>
    <v t="i">14</v>
    <v t="i">15</v>
    <v t="i">16</v>
    <v t="i">20</v>
    <v t="i">21</v>
    <v t="i">22</v>
    <v t="i">23</v>
    <v t="i">26</v>
    <v t="i">27</v>
    <v t="i">28</v>
    <v t="i">29</v>
    <v t="i">30</v>
    <v t="i">33</v>
    <v t="i">34</v>
    <v t="i">35</v>
    <v t="i">36</v>
    <v t="i">37</v>
    <v t="i">40</v>
    <v t="i">41</v>
    <v t="i">42</v>
    <v t="i">43</v>
    <v t="i">44</v>
    <v t="i">48</v>
    <v t="i">49</v>
    <v t="i">50</v>
    <v t="i">51</v>
    <v t="i">54</v>
    <v t="i">55</v>
    <v t="i">56</v>
    <v t="i">57</v>
    <v t="i">58</v>
    <v t="i">61</v>
    <v t="i">62</v>
    <v t="i">63</v>
    <v t="i">64</v>
    <v t="i">65</v>
    <v t="i">68</v>
    <v t="i">69</v>
    <v t="i">70</v>
    <v t="i">71</v>
    <v t="i">72</v>
    <v t="i">75</v>
    <v t="i">76</v>
    <v t="i">77</v>
    <v t="i">78</v>
    <v t="i">79</v>
    <v t="i">82</v>
    <v t="i">83</v>
    <v t="i">84</v>
    <v t="i">85</v>
    <v t="i">86</v>
    <v t="i">89</v>
    <v t="i">90</v>
    <v t="i">91</v>
    <v t="i">92</v>
    <v t="i">93</v>
    <v t="i">96</v>
    <v t="i">97</v>
    <v t="i">98</v>
    <v t="i">99</v>
    <v t="i">100</v>
    <v t="i">103</v>
    <v t="i">104</v>
    <v t="i">105</v>
    <v t="i">106</v>
    <v t="i">110</v>
    <v t="i">111</v>
    <v t="i">112</v>
    <v t="i">113</v>
    <v t="i">114</v>
    <v t="i">117</v>
    <v t="i">118</v>
    <v t="i">119</v>
    <v t="i">120</v>
    <v t="i">121</v>
    <v t="i">124</v>
    <v t="i">125</v>
    <v t="i">126</v>
    <v t="i">127</v>
    <v t="i">128</v>
    <v t="i">131</v>
    <v t="i">132</v>
    <v t="i">133</v>
    <v t="i">134</v>
    <v t="i">135</v>
    <v t="i">138</v>
    <v t="i">139</v>
    <v t="i">140</v>
    <v t="i">141</v>
    <v t="i">142</v>
    <v t="i">146</v>
    <v t="i">147</v>
    <v t="i">148</v>
    <v t="i">149</v>
    <v t="i">152</v>
    <v t="i">153</v>
    <v t="i">154</v>
    <v t="i">155</v>
    <v t="i">156</v>
    <v t="i">159</v>
    <v t="i">160</v>
    <v t="i">161</v>
    <v t="i">162</v>
    <v t="i">163</v>
    <v t="i">166</v>
    <v t="i">167</v>
    <v t="i">168</v>
    <v t="i">170</v>
    <v t="i">173</v>
    <v t="i">174</v>
    <v t="i">175</v>
    <v t="i">176</v>
    <v t="i">177</v>
    <v t="i">180</v>
    <v t="i">181</v>
    <v t="i">182</v>
    <v t="i">183</v>
    <v t="i">187</v>
    <v t="i">188</v>
    <v t="i">189</v>
    <v t="i">190</v>
    <v t="i">191</v>
    <v t="i">194</v>
    <v t="i">195</v>
    <v t="i">196</v>
    <v t="i">197</v>
    <v t="i">198</v>
    <v t="i">201</v>
    <v t="i">202</v>
    <v t="i">203</v>
    <v t="i">204</v>
    <v t="i">205</v>
    <v t="i">208</v>
    <v t="i">209</v>
    <v t="i">210</v>
    <v t="i">211</v>
    <v t="i">212</v>
    <v t="i">215</v>
    <v t="i">216</v>
    <v t="i">217</v>
    <v t="i">218</v>
    <v t="i">219</v>
    <v t="i">222</v>
    <v t="i">223</v>
    <v t="i">224</v>
    <v t="i">225</v>
    <v t="i">226</v>
    <v t="i">229</v>
    <v t="i">230</v>
    <v t="i">231</v>
    <v t="i">232</v>
    <v t="i">233</v>
    <v t="i">236</v>
    <v t="i">237</v>
    <v t="i">238</v>
    <v t="i">239</v>
    <v t="i">240</v>
    <v t="i">244</v>
    <v t="i">245</v>
    <v t="i">246</v>
    <v t="i">247</v>
    <v t="i">250</v>
    <v t="i">251</v>
    <v t="i">252</v>
    <v t="i">253</v>
    <v t="i">254</v>
    <v t="i">257</v>
    <v t="i">258</v>
    <v t="i">259</v>
    <v t="i">260</v>
    <v t="i">261</v>
    <v t="i">264</v>
    <v t="i">265</v>
    <v t="i">266</v>
    <v t="i">267</v>
    <v t="i">268</v>
    <v t="i">271</v>
    <v t="i">272</v>
    <v t="i">273</v>
    <v t="i">274</v>
    <v t="i">275</v>
    <v t="i">278</v>
    <v t="i">279</v>
    <v t="i">280</v>
    <v t="i">281</v>
    <v t="i">282</v>
    <v t="i">285</v>
    <v t="i">286</v>
    <v t="i">287</v>
    <v t="i">288</v>
    <v t="i">289</v>
    <v t="i">292</v>
    <v t="i">293</v>
    <v t="i">294</v>
    <v t="i">295</v>
    <v t="i">296</v>
    <v t="i">299</v>
    <v t="i">300</v>
    <v t="i">301</v>
    <v t="i">302</v>
    <v t="i">303</v>
    <v t="i">306</v>
    <v t="i">307</v>
    <v t="i">308</v>
    <v t="i">309</v>
    <v t="i">310</v>
    <v t="i">313</v>
    <v t="i">314</v>
    <v t="i">315</v>
    <v t="i">316</v>
    <v t="i">317</v>
    <v t="i">320</v>
    <v t="i">321</v>
    <v t="i">322</v>
    <v t="i">323</v>
    <v t="i">324</v>
    <v t="i">327</v>
    <v t="i">328</v>
    <v t="i">329</v>
    <v t="i">331</v>
    <v t="i">334</v>
    <v t="i">335</v>
    <v t="i">336</v>
    <v t="i">337</v>
    <v t="i">338</v>
    <v t="i">341</v>
  </a>
  <a r="1" c="234">
    <v>14.88</v>
    <v>15.05</v>
    <v>15.37</v>
    <v>15.72</v>
    <v>15.73</v>
    <v>15.86</v>
    <v>16.41</v>
    <v>16.59</v>
    <v>16.68</v>
    <v>16.739999999999998</v>
    <v>16.62</v>
    <v>16.260000000000002</v>
    <v>16.16</v>
    <v>16.34</v>
    <v>15.99</v>
    <v>15.82</v>
    <v>15.63</v>
    <v>15.64</v>
    <v>15.45</v>
    <v>15.06</v>
    <v>15.03</v>
    <v>15.24</v>
    <v>15.09</v>
    <v>14.63</v>
    <v>14.66</v>
    <v>15.02</v>
    <v>15.02</v>
    <v>14.48</v>
    <v>14.52</v>
    <v>14.87</v>
    <v>15.15</v>
    <v>15.18</v>
    <v>15.01</v>
    <v>14.26</v>
    <v>14.2</v>
    <v>13.69</v>
    <v>13.47</v>
    <v>12.78</v>
    <v>12.62</v>
    <v>11.55</v>
    <v>11.29</v>
    <v>11.04</v>
    <v>10.82</v>
    <v>10.64</v>
    <v>10.3</v>
    <v>10.51</v>
    <v>10.72</v>
    <v>10.49</v>
    <v>10.91</v>
    <v>11.04</v>
    <v>11.2</v>
    <v>11.72</v>
    <v>11.65</v>
    <v>11.46</v>
    <v>11.66</v>
    <v>11.56</v>
    <v>11.47</v>
    <v>11.27</v>
    <v>11.14</v>
    <v>11.24</v>
    <v>11.08</v>
    <v>11.18</v>
    <v>9.26</v>
    <v>7.82</v>
    <v>7.88</v>
    <v>7.29</v>
    <v>8.57</v>
    <v>7.43</v>
    <v>7.71</v>
    <v>7.89</v>
    <v>7.76</v>
    <v>8.1300000000000008</v>
    <v>8.3800000000000008</v>
    <v>8.1</v>
    <v>8.3000000000000007</v>
    <v>8.27</v>
    <v>8.5</v>
    <v>8.7200000000000006</v>
    <v>8.69</v>
    <v>8.56</v>
    <v>8.2799999999999994</v>
    <v>8.49</v>
    <v>8.6199999999999992</v>
    <v>8.23</v>
    <v>7.95</v>
    <v>7.94</v>
    <v>8.3699999999999992</v>
    <v>8.56</v>
    <v>9.1</v>
    <v>9.5</v>
    <v>9.4700000000000006</v>
    <v>9.19</v>
    <v>9.1300000000000008</v>
    <v>8.9700000000000006</v>
    <v>9.0399999999999991</v>
    <v>8.69</v>
    <v>8.6199999999999992</v>
    <v>8.5399999999999991</v>
    <v>8.68</v>
    <v>8.6300000000000008</v>
    <v>8.6999999999999993</v>
    <v>8.39</v>
    <v>8.58</v>
    <v>9.09</v>
    <v>8.7799999999999994</v>
    <v>8.67</v>
    <v>9.0299999999999994</v>
    <v>9.08</v>
    <v>9.17</v>
    <v>9.4600000000000009</v>
    <v>9.52</v>
    <v>9.7799999999999994</v>
    <v>9.56</v>
    <v>9.58</v>
    <v>9.52</v>
    <v>9.4700000000000006</v>
    <v>8.9700000000000006</v>
    <v>8.77</v>
    <v>8.6</v>
    <v>8.9499999999999993</v>
    <v>8.9499999999999993</v>
    <v>8.6</v>
    <v>8.8800000000000008</v>
    <v>9.1199999999999992</v>
    <v>9.1300000000000008</v>
    <v>8.83</v>
    <v>9.3800000000000008</v>
    <v>9.16</v>
    <v>9.2899999999999991</v>
    <v>9.25</v>
    <v>8.76</v>
    <v>8.2899999999999991</v>
    <v>8.23</v>
    <v>8.43</v>
    <v>8.73</v>
    <v>8.4499999999999993</v>
    <v>8.64</v>
    <v>8.92</v>
    <v>9.2799999999999994</v>
    <v>9.1999999999999993</v>
    <v>9.5299999999999994</v>
    <v>9.65</v>
    <v>9.4499999999999993</v>
    <v>9.24</v>
    <v>8.9600000000000009</v>
    <v>8.8800000000000008</v>
    <v>9.36</v>
    <v>9.23</v>
    <v>9.1999999999999993</v>
    <v>9.23</v>
    <v>8.99</v>
    <v>9.34</v>
    <v>9.56</v>
    <v>9.65</v>
    <v>9.42</v>
    <v>9.32</v>
    <v>9.2200000000000006</v>
    <v>9.2799999999999994</v>
    <v>9.3800000000000008</v>
    <v>9.94</v>
    <v>9.5399999999999991</v>
    <v>9.02</v>
    <v>9.3000000000000007</v>
    <v>9.61</v>
    <v>9.5399999999999991</v>
    <v>9.9</v>
    <v>9.43</v>
    <v>9.24</v>
    <v>8.76</v>
    <v>8.34</v>
    <v>8.2200000000000006</v>
    <v>8.6999999999999993</v>
    <v>8.8000000000000007</v>
    <v>8.67</v>
    <v>8.42</v>
    <v>8.76</v>
    <v>8.76</v>
    <v>8.7799999999999994</v>
    <v>8.41</v>
    <v>8.5</v>
    <v>9.09</v>
    <v>9.58</v>
    <v>9.4600000000000009</v>
    <v>9.77</v>
    <v>9.06</v>
    <v>8.92</v>
    <v>9.01</v>
    <v>8.68</v>
    <v>9.0399999999999991</v>
    <v>9.17</v>
    <v>9.1199999999999992</v>
    <v>9.16</v>
    <v>8.9600000000000009</v>
    <v>8.08</v>
    <v>8.6</v>
    <v>8.36</v>
    <v>8.3699999999999992</v>
    <v>8.41</v>
    <v>8.25</v>
    <v>8.1</v>
    <v>7.99</v>
    <v>8.06</v>
    <v>8.5299999999999994</v>
    <v>8.3800000000000008</v>
    <v>8.42</v>
    <v>8.09</v>
    <v>8.14</v>
    <v>8.15</v>
    <v>8.43</v>
    <v>8.5399999999999991</v>
    <v>8.0500000000000007</v>
    <v>8.08</v>
    <v>8.48</v>
    <v>8.86</v>
    <v>8.9600000000000009</v>
    <v>9.69</v>
    <v>9.1199999999999992</v>
    <v>9.16</v>
    <v>9.33</v>
    <v>8.8699999999999992</v>
    <v>8.98</v>
    <v>9.01</v>
    <v>8.74</v>
    <v>8.83</v>
    <v>9.16</v>
    <v>9.19</v>
    <v>9.25</v>
    <v>9.43</v>
    <v>9.35</v>
    <v>9.35</v>
    <v>9.6999999999999993</v>
    <v>9.77</v>
    <v>9.98</v>
    <v>9.91</v>
  </a>
  <a r="1" c="234">
    <v>14.99</v>
    <v>15.21</v>
    <v>15.53</v>
    <v>15.72</v>
    <v>15.765000000000001</v>
    <v>16.239999999999998</v>
    <v>16.559999999999999</v>
    <v>16.672499999999999</v>
    <v>16.939800000000002</v>
    <v>16.885000000000002</v>
    <v>16.849399999999999</v>
    <v>16.560099999999998</v>
    <v>16.434999999999999</v>
    <v>16.545000000000002</v>
    <v>16.489999999999998</v>
    <v>16.094999999999999</v>
    <v>16.02</v>
    <v>15.79</v>
    <v>15.734999999999999</v>
    <v>15.53</v>
    <v>15.24</v>
    <v>15.33</v>
    <v>15.324999999999999</v>
    <v>15.179</v>
    <v>14.87</v>
    <v>15.11</v>
    <v>15.51</v>
    <v>15.04</v>
    <v>14.57</v>
    <v>15</v>
    <v>15.49</v>
    <v>15.58</v>
    <v>15.244999999999999</v>
    <v>15.13</v>
    <v>14.435</v>
    <v>14.21</v>
    <v>13.775</v>
    <v>13.39</v>
    <v>12.845000000000001</v>
    <v>12.71</v>
    <v>11.62</v>
    <v>11.1</v>
    <v>11.04</v>
    <v>11.18</v>
    <v>10.89</v>
    <v>10.6</v>
    <v>10.95</v>
    <v>10.72</v>
    <v>11.13</v>
    <v>11.275</v>
    <v>11.26</v>
    <v>11.82</v>
    <v>11.87</v>
    <v>11.65</v>
    <v>11.685</v>
    <v>11.77</v>
    <v>11.765000000000001</v>
    <v>11.55</v>
    <v>11.3</v>
    <v>11.42</v>
    <v>11.22</v>
    <v>11.22</v>
    <v>10.51</v>
    <v>8.61</v>
    <v>8.1850000000000005</v>
    <v>8.43</v>
    <v>8.6649999999999991</v>
    <v>8.1374999999999993</v>
    <v>7.7949999999999999</v>
    <v>8.0850000000000009</v>
    <v>8.0350000000000001</v>
    <v>8.2899999999999991</v>
    <v>8.59</v>
    <v>8.19</v>
    <v>8.43</v>
    <v>8.56</v>
    <v>8.5250000000000004</v>
    <v>8.75</v>
    <v>8.8450000000000006</v>
    <v>8.69</v>
    <v>8.4849999999999994</v>
    <v>8.75</v>
    <v>8.7100000000000009</v>
    <v>8.49</v>
    <v>8.16</v>
    <v>8.11</v>
    <v>8.44</v>
    <v>8.6</v>
    <v>9.41</v>
    <v>9.64</v>
    <v>9.5399999999999991</v>
    <v>9.32</v>
    <v>9.2899999999999991</v>
    <v>8.99</v>
    <v>9.1649999999999991</v>
    <v>8.9600000000000009</v>
    <v>8.65</v>
    <v>8.58</v>
    <v>8.7050000000000001</v>
    <v>8.8282000000000007</v>
    <v>8.7646999999999995</v>
    <v>8.6449999999999996</v>
    <v>8.73</v>
    <v>9.1549999999999994</v>
    <v>9.27</v>
    <v>8.89</v>
    <v>9.15</v>
    <v>9.2550000000000008</v>
    <v>9.4700000000000006</v>
    <v>9.6</v>
    <v>9.5350000000000001</v>
    <v>10</v>
    <v>9.7899999999999991</v>
    <v>9.8800000000000008</v>
    <v>9.7899999999999991</v>
    <v>9.6</v>
    <v>9.6050000000000004</v>
    <v>8.9749999999999996</v>
    <v>8.75</v>
    <v>8.9700000000000006</v>
    <v>9.1300000000000008</v>
    <v>8.93</v>
    <v>9.01</v>
    <v>9.17</v>
    <v>9.27</v>
    <v>9.1750000000000007</v>
    <v>9.5549999999999997</v>
    <v>9.4499999999999993</v>
    <v>9.3450000000000006</v>
    <v>9.32</v>
    <v>9.24</v>
    <v>8.8752999999999993</v>
    <v>8.3650000000000002</v>
    <v>8.5649999999999995</v>
    <v>8.98</v>
    <v>8.7788000000000004</v>
    <v>8.69</v>
    <v>8.9649999999999999</v>
    <v>9.33</v>
    <v>9.3255999999999997</v>
    <v>9.56</v>
    <v>9.69</v>
    <v>9.66</v>
    <v>9.4600000000000009</v>
    <v>9.1300000000000008</v>
    <v>8.98</v>
    <v>9.5150000000000006</v>
    <v>9.76</v>
    <v>9.57</v>
    <v>9.4450000000000003</v>
    <v>9.4600000000000009</v>
    <v>9.3699999999999992</v>
    <v>9.5749999999999993</v>
    <v>9.66</v>
    <v>9.6988000000000003</v>
    <v>9.4149999999999991</v>
    <v>9.48</v>
    <v>9.39</v>
    <v>9.5050000000000008</v>
    <v>9.99</v>
    <v>9.61</v>
    <v>9.5150000000000006</v>
    <v>9.625</v>
    <v>9.6199999999999992</v>
    <v>9.65</v>
    <v>9.91</v>
    <v>9.94</v>
    <v>9.49</v>
    <v>9.2100000000000009</v>
    <v>8.84</v>
    <v>8.6</v>
    <v>8.73</v>
    <v>8.81</v>
    <v>8.93</v>
    <v>8.74</v>
    <v>8.8055000000000003</v>
    <v>9.1</v>
    <v>8.84</v>
    <v>8.74</v>
    <v>8.56</v>
    <v>9.24</v>
    <v>9.7750000000000004</v>
    <v>9.69</v>
    <v>9.9700000000000006</v>
    <v>9.65</v>
    <v>8.9600000000000009</v>
    <v>9.09</v>
    <v>9.02</v>
    <v>9.16</v>
    <v>9.4</v>
    <v>9.1598000000000006</v>
    <v>9.19</v>
    <v>9.42</v>
    <v>8.84</v>
    <v>8.6199999999999992</v>
    <v>8.56</v>
    <v>8.7100000000000009</v>
    <v>8.8000000000000007</v>
    <v>8.49</v>
    <v>8.4499999999999993</v>
    <v>8.1999999999999993</v>
    <v>8.2200000000000006</v>
    <v>8.64</v>
    <v>8.68</v>
    <v>8.6300000000000008</v>
    <v>8.4</v>
    <v>8.2881999999999998</v>
    <v>8.3800000000000008</v>
    <v>8.48</v>
    <v>8.7100000000000009</v>
    <v>8.52</v>
    <v>8.3650000000000002</v>
    <v>8.5982000000000003</v>
    <v>8.9</v>
    <v>9.08</v>
    <v>9.8149999999999995</v>
    <v>9.6999999999999993</v>
    <v>9.375</v>
    <v>9.44</v>
    <v>9.3249999999999993</v>
    <v>9.14</v>
    <v>9.0500000000000007</v>
    <v>9.4</v>
    <v>8.86</v>
    <v>9.23</v>
    <v>9.2100000000000009</v>
    <v>9.4600000000000009</v>
    <v>9.4700000000000006</v>
    <v>9.6300000000000008</v>
    <v>9.43</v>
    <v>9.8000000000000007</v>
    <v>9.89</v>
    <v>10.225</v>
    <v>10.050000000000001</v>
  </a>
  <a r="1" c="234">
    <v>14.7</v>
    <v>14.872</v>
    <v>15.11</v>
    <v>15.21</v>
    <v>15.43</v>
    <v>15.835000000000001</v>
    <v>15.89</v>
    <v>16.29</v>
    <v>16.63</v>
    <v>16.55</v>
    <v>16.38</v>
    <v>16.055</v>
    <v>16.010000000000002</v>
    <v>16.11</v>
    <v>15.93</v>
    <v>15.48</v>
    <v>15.31</v>
    <v>15.44</v>
    <v>15.38</v>
    <v>14.82</v>
    <v>14.73</v>
    <v>14.8</v>
    <v>15.05</v>
    <v>14.494999999999999</v>
    <v>14.66</v>
    <v>14.78</v>
    <v>15.005000000000001</v>
    <v>14.42</v>
    <v>14.29</v>
    <v>14.57</v>
    <v>14.61</v>
    <v>15.1</v>
    <v>14.845000000000001</v>
    <v>14.1701</v>
    <v>14.12</v>
    <v>13.664999999999999</v>
    <v>13.26</v>
    <v>12.643000000000001</v>
    <v>12.42</v>
    <v>11.47</v>
    <v>10.96</v>
    <v>10.350099999999999</v>
    <v>10.58</v>
    <v>10.64</v>
    <v>10.26</v>
    <v>10.26</v>
    <v>10.45</v>
    <v>10.26</v>
    <v>10.7</v>
    <v>10.88</v>
    <v>11.01</v>
    <v>11.22</v>
    <v>11.565</v>
    <v>11.29</v>
    <v>11.440099999999999</v>
    <v>11.38</v>
    <v>11.46</v>
    <v>11.175000000000001</v>
    <v>11</v>
    <v>10.87</v>
    <v>10.77</v>
    <v>10.87</v>
    <v>9.2100000000000009</v>
    <v>7.6550000000000002</v>
    <v>7.14</v>
    <v>7.13</v>
    <v>6.83</v>
    <v>7.2</v>
    <v>7.2750000000000004</v>
    <v>7.68</v>
    <v>7.73</v>
    <v>7.77</v>
    <v>8.1750000000000007</v>
    <v>7.952</v>
    <v>8.1549999999999994</v>
    <v>8.16</v>
    <v>8.23</v>
    <v>8.34</v>
    <v>8.6</v>
    <v>8.4600000000000009</v>
    <v>8.1300000000000008</v>
    <v>8.24</v>
    <v>8.4550000000000001</v>
    <v>8.17</v>
    <v>7.7050000000000001</v>
    <v>7.77</v>
    <v>8.0299999999999994</v>
    <v>8.3450000000000006</v>
    <v>9.0050000000000008</v>
    <v>9.1199999999999992</v>
    <v>9.34</v>
    <v>9</v>
    <v>8.9499999999999993</v>
    <v>8.74</v>
    <v>8.8949999999999996</v>
    <v>8.69</v>
    <v>8.36</v>
    <v>8.33</v>
    <v>8.41</v>
    <v>8.5749999999999993</v>
    <v>8.5500000000000007</v>
    <v>8.35</v>
    <v>8.4749999999999996</v>
    <v>8.3800000000000008</v>
    <v>8.6999999999999993</v>
    <v>8.6150000000000002</v>
    <v>8.82</v>
    <v>9.0399999999999991</v>
    <v>9.1300000000000008</v>
    <v>9.16</v>
    <v>9.2091999999999992</v>
    <v>9.5299999999999994</v>
    <v>9.4049999999999994</v>
    <v>9.4700000000000006</v>
    <v>9.4849999999999994</v>
    <v>9.3949999999999996</v>
    <v>8.93</v>
    <v>8.7149999999999999</v>
    <v>8.4749999999999996</v>
    <v>8.61</v>
    <v>8.8849999999999998</v>
    <v>8.5950000000000006</v>
    <v>8.49</v>
    <v>8.8249999999999993</v>
    <v>9.0850000000000009</v>
    <v>8.68</v>
    <v>8.8524999999999991</v>
    <v>9.11</v>
    <v>8.9600000000000009</v>
    <v>9.1349999999999998</v>
    <v>8.74</v>
    <v>8.2799999999999994</v>
    <v>8.0399999999999991</v>
    <v>8.2750000000000004</v>
    <v>8.5399999999999991</v>
    <v>8.42</v>
    <v>8.48</v>
    <v>8.5815999999999999</v>
    <v>8.86</v>
    <v>9.125</v>
    <v>9.3000000000000007</v>
    <v>9.33</v>
    <v>9.375</v>
    <v>9.1199999999999992</v>
    <v>8.73</v>
    <v>8.76</v>
    <v>9.01</v>
    <v>9.2149999999999999</v>
    <v>9.15</v>
    <v>9.0749999999999993</v>
    <v>8.92</v>
    <v>9.01</v>
    <v>9.26</v>
    <v>9.3000000000000007</v>
    <v>9.3847000000000005</v>
    <v>9.14</v>
    <v>9.1649999999999991</v>
    <v>9.125</v>
    <v>9.14</v>
    <v>9.36</v>
    <v>8.82</v>
    <v>9.01</v>
    <v>8.9949999999999992</v>
    <v>9.14</v>
    <v>9.4747000000000003</v>
    <v>9.42</v>
    <v>9.3800000000000008</v>
    <v>9.23</v>
    <v>8.6300000000000008</v>
    <v>8.33</v>
    <v>8.2200000000000006</v>
    <v>8.24</v>
    <v>8.48</v>
    <v>8.6199999999999992</v>
    <v>8.42</v>
    <v>8.51</v>
    <v>8.6649999999999991</v>
    <v>8.6300000000000008</v>
    <v>8.35</v>
    <v>8.2799999999999994</v>
    <v>8.6</v>
    <v>9.23</v>
    <v>9.31</v>
    <v>9.4499999999999993</v>
    <v>9.06</v>
    <v>8.6850000000000005</v>
    <v>8.8000000000000007</v>
    <v>8.6349999999999998</v>
    <v>8.7249999999999996</v>
    <v>9.11</v>
    <v>8.8849999999999998</v>
    <v>8.9700000000000006</v>
    <v>8.94</v>
    <v>8.06</v>
    <v>8.1201000000000008</v>
    <v>8.3049999999999997</v>
    <v>8.32</v>
    <v>8.3000000000000007</v>
    <v>8.09</v>
    <v>8.09</v>
    <v>7.99</v>
    <v>7.9301000000000004</v>
    <v>8.39</v>
    <v>8.375</v>
    <v>8.41</v>
    <v>8.0549999999999997</v>
    <v>8</v>
    <v>7.97</v>
    <v>8.1</v>
    <v>8.1300000000000008</v>
    <v>7.99</v>
    <v>8.0299999999999994</v>
    <v>8.15</v>
    <v>8.3800000000000008</v>
    <v>8.7100000000000009</v>
    <v>8.9700000000000006</v>
    <v>9.09</v>
    <v>9.06</v>
    <v>8.9</v>
    <v>8.7550000000000008</v>
    <v>8.64</v>
    <v>8.66</v>
    <v>8.7149999999999999</v>
    <v>8.2149999999999999</v>
    <v>8.6300000000000008</v>
    <v>8.9049999999999994</v>
    <v>9.18</v>
    <v>9.23</v>
    <v>9.33</v>
    <v>9.19</v>
    <v>9.44</v>
    <v>9.7449999999999992</v>
    <v>9.77</v>
    <v>9.81</v>
  </a>
  <a r="1" c="234">
    <v>5.0599999999999996</v>
    <v>4.95</v>
    <v>5.18</v>
    <v>5.57</v>
    <v>5.76</v>
    <v>5.5</v>
    <v>5.08</v>
    <v>5.4</v>
    <v>5.54</v>
    <v>5.64</v>
    <v>5.6</v>
    <v>6.3</v>
    <v>6.36</v>
    <v>6.85</v>
    <v>6.99</v>
    <v>6.77</v>
    <v>7.18</v>
    <v>7.42</v>
    <v>7.48</v>
    <v>6.97</v>
    <v>7.22</v>
    <v>7.54</v>
    <v>8.51</v>
    <v>8.94</v>
    <v>9</v>
    <v>10.37</v>
    <v>9.9700000000000006</v>
    <v>11.31</v>
    <v>11.75</v>
    <v>11.54</v>
    <v>12.06</v>
    <v>13.04</v>
    <v>14.68</v>
    <v>14.59</v>
    <v>13.285</v>
    <v>13.55</v>
    <v>12.88</v>
    <v>11.91</v>
    <v>11.73</v>
    <v>9.9600000000000009</v>
    <v>10.71</v>
    <v>12.47</v>
    <v>12.07</v>
    <v>11.47</v>
    <v>11.43</v>
    <v>11.91</v>
    <v>11</v>
    <v>10.4</v>
    <v>11.65</v>
    <v>11.38</v>
    <v>10.94</v>
    <v>9.85</v>
    <v>8.86</v>
    <v>8.7100000000000009</v>
    <v>8.99</v>
    <v>8.48</v>
    <v>8.9</v>
    <v>9.01</v>
    <v>8.25</v>
    <v>8.1999999999999993</v>
    <v>7.88</v>
    <v>8.1199999999999992</v>
    <v>7.33</v>
    <v>6.39</v>
    <v>6.44</v>
    <v>5.77</v>
    <v>5.9</v>
    <v>5.67</v>
    <v>5.54</v>
    <v>5.5</v>
    <v>5.39</v>
    <v>4.74</v>
    <v>5.0199999999999996</v>
    <v>4.8</v>
    <v>4.87</v>
    <v>5.29</v>
    <v>5.42</v>
    <v>5.38</v>
    <v>5.44</v>
    <v>5.66</v>
    <v>6.29</v>
    <v>6.27</v>
    <v>7.08</v>
    <v>6.96</v>
    <v>6.83</v>
    <v>6.3</v>
    <v>6</v>
    <v>5.96</v>
    <v>7.23</v>
    <v>6.39</v>
    <v>6.23</v>
    <v>5.99</v>
    <v>6.43</v>
    <v>6.3</v>
    <v>6.22</v>
    <v>6.48</v>
    <v>6.05</v>
    <v>5.9850000000000003</v>
    <v>6.04</v>
    <v>5.39</v>
    <v>5.46</v>
    <v>5.34</v>
    <v>5.52</v>
    <v>5.54</v>
    <v>5.82</v>
    <v>6.03</v>
    <v>5.91</v>
    <v>6.15</v>
    <v>6.06</v>
    <v>6.02</v>
    <v>5.78</v>
    <v>5.44</v>
    <v>5.68</v>
    <v>5.55</v>
    <v>5.44</v>
    <v>5.48</v>
    <v>5.45</v>
    <v>5.84</v>
    <v>6</v>
    <v>5.91</v>
    <v>6.98</v>
    <v>6.9</v>
    <v>6.61</v>
    <v>7.08</v>
    <v>7.75</v>
    <v>7.54</v>
    <v>7.56</v>
    <v>7.18</v>
    <v>6.97</v>
    <v>7.95</v>
    <v>7.92</v>
    <v>9.0399999999999991</v>
    <v>8.7899999999999991</v>
    <v>8.76</v>
    <v>9.01</v>
    <v>8.43</v>
    <v>8.09</v>
    <v>8.74</v>
    <v>8.33</v>
    <v>8.26</v>
    <v>8.34</v>
    <v>8.2799999999999994</v>
    <v>8.02</v>
    <v>8.31</v>
    <v>7.49</v>
    <v>7.82</v>
    <v>7.83</v>
    <v>8.01</v>
    <v>8.15</v>
    <v>7.98</v>
    <v>8.02</v>
    <v>7.8</v>
    <v>8.01</v>
    <v>7.95</v>
    <v>7.77</v>
    <v>7.75</v>
    <v>7.84</v>
    <v>7.98</v>
    <v>7.34</v>
    <v>8.2899999999999991</v>
    <v>7.84</v>
    <v>7.81</v>
    <v>7.8</v>
    <v>8.5299999999999994</v>
    <v>8.66</v>
    <v>8.06</v>
    <v>8</v>
    <v>7.64</v>
    <v>7.9</v>
    <v>7.68</v>
    <v>8.33</v>
    <v>7.93</v>
    <v>9.11</v>
    <v>9.57</v>
    <v>9.59</v>
    <v>9.59</v>
    <v>9.85</v>
    <v>9.9499999999999993</v>
    <v>9.6300000000000008</v>
    <v>10.050000000000001</v>
    <v>9.35</v>
    <v>10.37</v>
    <v>11.13</v>
    <v>10.8</v>
    <v>10.41</v>
    <v>10.33</v>
    <v>10.76</v>
    <v>11.24</v>
    <v>10.58</v>
    <v>10.61</v>
    <v>9.93</v>
    <v>9.89</v>
    <v>9.58</v>
    <v>8.51</v>
    <v>9.41</v>
    <v>9.18</v>
    <v>9.59</v>
    <v>9.0299999999999994</v>
    <v>8.76</v>
    <v>9.3699999999999992</v>
    <v>9.36</v>
    <v>9.07</v>
    <v>9.39</v>
    <v>9.6199999999999992</v>
    <v>10.02</v>
    <v>10.24</v>
    <v>11.04</v>
    <v>10.41</v>
    <v>10.4</v>
    <v>10.14</v>
    <v>9.2799999999999994</v>
    <v>9.83</v>
    <v>9.9649999999999999</v>
    <v>9.65</v>
    <v>9.6999999999999993</v>
    <v>9.7899999999999991</v>
    <v>8.9700000000000006</v>
    <v>8.77</v>
    <v>8.8000000000000007</v>
    <v>8.58</v>
    <v>8.6649999999999991</v>
    <v>8.32</v>
    <v>8.2200000000000006</v>
    <v>8.39</v>
    <v>8.89</v>
    <v>8.94</v>
    <v>8.91</v>
    <v>8.94</v>
    <v>8.9700000000000006</v>
    <v>8.77</v>
    <v>8.89</v>
    <v>8.85</v>
    <v>8.94</v>
    <v>9.33</v>
  </a>
  <a r="1" c="234">
    <v>2.57</v>
    <v>2.81</v>
    <v>2.76</v>
    <v>2.73</v>
    <v>2.56</v>
    <v>2.42</v>
    <v>2.48</v>
    <v>2.3199999999999998</v>
    <v>2.39</v>
    <v>3.04</v>
    <v>2.94</v>
    <v>3.22</v>
    <v>3.22</v>
    <v>3.12</v>
    <v>3.17</v>
    <v>3.13</v>
    <v>3.08</v>
    <v>3.16</v>
    <v>3.47</v>
    <v>3.45</v>
    <v>3.2</v>
    <v>3.19</v>
    <v>3.19</v>
    <v>3.31</v>
    <v>3.36</v>
    <v>3.39</v>
    <v>3.17</v>
    <v>3.24</v>
    <v>3.32</v>
    <v>3.62</v>
    <v>3.35</v>
    <v>3.9</v>
    <v>3.64</v>
    <v>3.42</v>
    <v>3.22</v>
    <v>3.03</v>
    <v>3</v>
    <v>2.86</v>
    <v>3.29</v>
    <v>2.85</v>
    <v>3.02</v>
    <v>3.06</v>
    <v>2.99</v>
    <v>3</v>
    <v>2.91</v>
    <v>2.82</v>
    <v>2.87</v>
    <v>2.9</v>
    <v>2.87</v>
    <v>2.91</v>
    <v>2.81</v>
    <v>2.76</v>
    <v>2.75</v>
    <v>2.71</v>
    <v>2.85</v>
    <v>2.74</v>
    <v>2.78</v>
    <v>3.36</v>
    <v>3.14</v>
    <v>3.01</v>
    <v>2.96</v>
    <v>3.05</v>
    <v>2.97</v>
    <v>2.83</v>
    <v>2.72</v>
    <v>2.42</v>
    <v>2.6</v>
    <v>2.46</v>
    <v>2.63</v>
    <v>2.89</v>
    <v>2.78</v>
    <v>2.48</v>
    <v>2.4700000000000002</v>
    <v>2.5099999999999998</v>
    <v>2.69</v>
    <v>2.69</v>
    <v>2.69</v>
    <v>2.61</v>
    <v>2.63</v>
    <v>2.4900000000000002</v>
    <v>2.5099999999999998</v>
    <v>2.4900000000000002</v>
    <v>2.54</v>
    <v>2.1</v>
    <v>2.0099999999999998</v>
    <v>1.89</v>
    <v>2.09</v>
    <v>2.0699999999999998</v>
    <v>2.36</v>
    <v>2.5099999999999998</v>
    <v>2.4900000000000002</v>
    <v>2.67</v>
    <v>2.84</v>
    <v>2.8</v>
    <v>2.9</v>
    <v>2.65</v>
    <v>2.68</v>
    <v>2.5299999999999998</v>
    <v>2.5299999999999998</v>
    <v>2.46</v>
    <v>2.6</v>
    <v>2.66</v>
    <v>2.67</v>
    <v>2.71</v>
    <v>2.93</v>
    <v>2.9</v>
    <v>3.15</v>
    <v>3.44</v>
    <v>3.34</v>
    <v>3.24</v>
    <v>3.19</v>
    <v>3.07</v>
    <v>3.13</v>
    <v>2.84</v>
    <v>2.84</v>
    <v>2.87</v>
    <v>2.76</v>
    <v>2.79</v>
    <v>2.76</v>
    <v>2.79</v>
    <v>2.7</v>
    <v>2.64</v>
    <v>2.57</v>
    <v>2.64</v>
    <v>2.72</v>
    <v>2.72</v>
    <v>2.71</v>
    <v>2.79</v>
    <v>2.87</v>
    <v>2.81</v>
    <v>2.9</v>
    <v>2.74</v>
    <v>2.75</v>
    <v>2.83</v>
    <v>2.75</v>
    <v>2.68</v>
    <v>2.71</v>
    <v>2.99</v>
    <v>3.01</v>
    <v>2.86</v>
    <v>2.65</v>
    <v>2.54</v>
    <v>2.56</v>
    <v>2.46</v>
    <v>2.37</v>
    <v>2.41</v>
    <v>2.41</v>
    <v>2.38</v>
    <v>2.4049999999999998</v>
    <v>2.44</v>
    <v>2.4700000000000002</v>
    <v>2.4700000000000002</v>
    <v>2.82</v>
    <v>2.71</v>
    <v>2.5499999999999998</v>
    <v>2.4300000000000002</v>
    <v>2.2799999999999998</v>
    <v>2.2599999999999998</v>
    <v>2.2400000000000002</v>
    <v>2.31</v>
    <v>2.25</v>
    <v>2.38</v>
    <v>2.34</v>
    <v>2.33</v>
    <v>2.34</v>
    <v>2.38</v>
    <v>2.37</v>
    <v>2.39</v>
    <v>2.4</v>
    <v>2.41</v>
    <v>2.57</v>
    <v>2.57</v>
    <v>2.59</v>
    <v>2.6</v>
    <v>2.74</v>
    <v>2.81</v>
    <v>2.76</v>
    <v>2.85</v>
    <v>2.73</v>
    <v>2.67</v>
    <v>2.59</v>
    <v>2.5</v>
    <v>2.46</v>
    <v>2.54</v>
    <v>2.57</v>
    <v>2.46</v>
    <v>2.48</v>
    <v>2.5</v>
    <v>2.54</v>
    <v>2.5299999999999998</v>
    <v>2.5</v>
    <v>2.5299999999999998</v>
    <v>2.44</v>
    <v>2.36</v>
    <v>2.48</v>
    <v>2.5099999999999998</v>
    <v>2.58</v>
    <v>2.5299999999999998</v>
    <v>2.4</v>
    <v>2.4500000000000002</v>
    <v>2.44</v>
    <v>2.36</v>
    <v>2.39</v>
    <v>2.4700000000000002</v>
    <v>2.66</v>
    <v>2.58</v>
    <v>2.42</v>
    <v>2.36</v>
    <v>2.4</v>
    <v>2.2599999999999998</v>
    <v>2.08</v>
    <v>2.15</v>
    <v>2.12</v>
    <v>2.13</v>
    <v>2.16</v>
    <v>2.14</v>
    <v>2.06</v>
    <v>2</v>
    <v>2.08</v>
    <v>2.0299999999999998</v>
    <v>2.1</v>
    <v>2.14</v>
    <v>2.02</v>
    <v>2.08</v>
    <v>2.15</v>
    <v>2.08</v>
    <v>2.13</v>
    <v>2.36</v>
    <v>2.2999999999999998</v>
    <v>2.09</v>
    <v>2.2000000000000002</v>
    <v>2.2999999999999998</v>
    <v>2.29</v>
    <v>2.2599999999999998</v>
  </a>
  <a r="1" c="234">
    <v>10.15</v>
    <v>10.48</v>
    <v>10.3</v>
    <v>10.38</v>
    <v>10.07</v>
    <v>9.8699999999999992</v>
    <v>9.91</v>
    <v>9.91</v>
    <v>10.5</v>
    <v>10.73</v>
    <v>10.82</v>
    <v>10.34</v>
    <v>10.28</v>
    <v>10.19</v>
    <v>10.19</v>
    <v>10.210000000000001</v>
    <v>10.51</v>
    <v>10.67</v>
    <v>10.91</v>
    <v>10.6</v>
    <v>10.68</v>
    <v>10.83</v>
    <v>11.04</v>
    <v>10.8</v>
    <v>10.59</v>
    <v>10.5</v>
    <v>10.01</v>
    <v>10.09</v>
    <v>10.48</v>
    <v>10.56</v>
    <v>10.71</v>
    <v>10.65</v>
    <v>10.43</v>
    <v>9.85</v>
    <v>9.8800000000000008</v>
    <v>9.9499999999999993</v>
    <v>10.18</v>
    <v>8.68</v>
    <v>8.5500000000000007</v>
    <v>8.35</v>
    <v>8</v>
    <v>8.34</v>
    <v>7.81</v>
    <v>7.48</v>
    <v>7.04</v>
    <v>7.06</v>
    <v>7.23</v>
    <v>7.1</v>
    <v>7.2</v>
    <v>7.31</v>
    <v>7.3</v>
    <v>7.64</v>
    <v>7.56</v>
    <v>7.46</v>
    <v>7.83</v>
    <v>7.78</v>
    <v>7.58</v>
    <v>7.43</v>
    <v>7.25</v>
    <v>7.31</v>
    <v>7.47</v>
    <v>7.55</v>
    <v>6.73</v>
    <v>6.21</v>
    <v>6.18</v>
    <v>5.9</v>
    <v>6.59</v>
    <v>6.25</v>
    <v>6.33</v>
    <v>6.41</v>
    <v>6.43</v>
    <v>6.41</v>
    <v>6.36</v>
    <v>6.15</v>
    <v>6.29</v>
    <v>6.65</v>
    <v>6.89</v>
    <v>6.97</v>
    <v>6.95</v>
    <v>7.07</v>
    <v>7.03</v>
    <v>7.09</v>
    <v>7.21</v>
    <v>7.11</v>
    <v>7.13</v>
    <v>6.16</v>
    <v>6.33</v>
    <v>6.63</v>
    <v>7.18</v>
    <v>7.46</v>
    <v>7.28</v>
    <v>7.1</v>
    <v>7.21</v>
    <v>7.14</v>
    <v>7.19</v>
    <v>6.9</v>
    <v>6.87</v>
    <v>6.81</v>
    <v>6.86</v>
    <v>6.81</v>
    <v>6.83</v>
    <v>6.81</v>
    <v>6.78</v>
    <v>6.71</v>
    <v>6.77</v>
    <v>6.88</v>
    <v>7.03</v>
    <v>6.98</v>
    <v>6.86</v>
    <v>6.96</v>
    <v>6.9</v>
    <v>6.51</v>
    <v>6.66</v>
    <v>6.59</v>
    <v>6.53</v>
    <v>6.49</v>
    <v>6.66</v>
    <v>6.91</v>
    <v>6.76</v>
    <v>6.82</v>
    <v>6.63</v>
    <v>6.85</v>
    <v>6.89</v>
    <v>6.93</v>
    <v>6.98</v>
    <v>6.68</v>
    <v>6.75</v>
    <v>6.89</v>
    <v>6.83</v>
    <v>6.48</v>
    <v>6.94</v>
    <v>6.66</v>
    <v>6.84</v>
    <v>6.9</v>
    <v>6.81</v>
    <v>6.83</v>
    <v>6.84</v>
    <v>6.81</v>
    <v>6.72</v>
    <v>6.81</v>
    <v>6.72</v>
    <v>6.61</v>
    <v>6.66</v>
    <v>6.57</v>
    <v>6.28</v>
    <v>6.35</v>
    <v>6.5</v>
    <v>7.42</v>
    <v>6.99</v>
    <v>6.64</v>
    <v>6.63</v>
    <v>6.78</v>
    <v>6.81</v>
    <v>6.69</v>
    <v>6.73</v>
    <v>6.86</v>
    <v>6.71</v>
    <v>6.65</v>
    <v>6.65</v>
    <v>7.01</v>
    <v>6.78</v>
    <v>6.76</v>
    <v>6.79</v>
    <v>6.88</v>
    <v>6.95</v>
    <v>6.74</v>
    <v>6.76</v>
    <v>6.7</v>
    <v>6.65</v>
    <v>6.76</v>
    <v>6.81</v>
    <v>6.47</v>
    <v>6.64</v>
    <v>6.5</v>
    <v>6.48</v>
    <v>6.57</v>
    <v>6.78</v>
    <v>6.64</v>
    <v>6.59</v>
    <v>6.72</v>
    <v>6.57</v>
    <v>6.47</v>
    <v>6.39</v>
    <v>6.33</v>
    <v>6.29</v>
    <v>6.05</v>
    <v>6.03</v>
    <v>6.07</v>
    <v>6.13</v>
    <v>6.2</v>
    <v>6.11</v>
    <v>6.15</v>
    <v>6.06</v>
    <v>5.85</v>
    <v>5.84</v>
    <v>5.94</v>
    <v>5.91</v>
    <v>5.72</v>
    <v>5.8</v>
    <v>5.96</v>
    <v>6.03</v>
    <v>6</v>
    <v>6.03</v>
    <v>6.07</v>
    <v>6.19</v>
    <v>6.12</v>
    <v>5.87</v>
    <v>5.75</v>
    <v>5.79</v>
    <v>5.73</v>
    <v>5.79</v>
    <v>5.47</v>
    <v>5.27</v>
    <v>5.37</v>
    <v>5.67</v>
    <v>5.63</v>
    <v>5.75</v>
    <v>5.57</v>
    <v>5.54</v>
    <v>5.4</v>
    <v>5.35</v>
    <v>5.45</v>
    <v>5.38</v>
    <v>5.54</v>
    <v>5.51</v>
    <v>5.7</v>
    <v>5.74</v>
    <v>5.78</v>
    <v>5.72</v>
    <v>5.75</v>
    <v>5.72</v>
    <v>5.72</v>
    <v>5.68</v>
    <v>5.65</v>
  </a>
  <a r="1" c="234">
    <v>11.62</v>
    <v>11.63</v>
    <v>11.63</v>
    <v>11.62</v>
    <v>11.62</v>
    <v>11.62</v>
    <v>11.62</v>
    <v>11.62</v>
    <v>11.63</v>
    <v>11.635</v>
    <v>11.62</v>
    <v>11.62</v>
    <v>11.6325</v>
    <v>11.62</v>
    <v>11.62</v>
    <v>11.6214</v>
    <v>11.64</v>
    <v>11.64</v>
    <v>11.630699999999999</v>
    <v>11.641999999999999</v>
    <v>11.65</v>
    <v>11.65</v>
    <v>11.65</v>
    <v>-99999901</v>
    <v>11.658799999999999</v>
    <v>11.64</v>
    <v>11.64</v>
    <v>11.6509</v>
    <v>11.66</v>
    <v>11.651199999999999</v>
    <v>11.72</v>
    <v>11.669600000000001</v>
    <v>11.67</v>
    <v>11.6525</v>
    <v>11.6502</v>
    <v>11.6523</v>
    <v>11.65</v>
    <v>11.68</v>
    <v>11.68</v>
    <v>11.68</v>
    <v>11.65</v>
    <v>11.66</v>
    <v>11.6501</v>
    <v>11.658899999999999</v>
    <v>11.65</v>
    <v>11.7151</v>
    <v>11.7</v>
    <v>11.69</v>
    <v>11.69</v>
    <v>11.73</v>
    <v>11.73</v>
    <v>11.734999999999999</v>
    <v>11.73</v>
    <v>11.71</v>
    <v>11.7296</v>
    <v>11.75</v>
    <v>11.85</v>
    <v>12.68</v>
    <v>12.65</v>
    <v>12.2</v>
    <v>11.795</v>
    <v>11.74</v>
    <v>11.42</v>
    <v>11.27</v>
    <v>11.11</v>
    <v>11.2</v>
    <v>11.44</v>
    <v>12.02</v>
    <v>13.25</v>
    <v>62.9</v>
    <v>40.9</v>
    <v>36.22</v>
    <v>26.33</v>
    <v>24.62</v>
    <v>23.48</v>
    <v>21.57</v>
    <v>19.5</v>
    <v>17.27</v>
    <v>15.445</v>
    <v>14.43</v>
    <v>13.89</v>
    <v>13.54</v>
    <v>15.96</v>
    <v>14.55</v>
    <v>14.94</v>
    <v>16.25</v>
    <v>18.100000000000001</v>
    <v>16.41</v>
    <v>14.09</v>
    <v>13.99</v>
    <v>13.515000000000001</v>
    <v>12.29</v>
    <v>12.41</v>
    <v>11.91</v>
    <v>12.21</v>
    <v>12.59</v>
    <v>13.5</v>
    <v>12.3</v>
    <v>13.205</v>
    <v>13.22</v>
    <v>12.44</v>
    <v>11.68</v>
    <v>11.44</v>
    <v>10.95</v>
    <v>11.14</v>
    <v>10.42</v>
    <v>10.96</v>
    <v>10.71</v>
    <v>10.85</v>
    <v>10.91</v>
    <v>10.71</v>
    <v>10.39</v>
    <v>10.69</v>
    <v>10.38</v>
    <v>10.765000000000001</v>
    <v>10.6</v>
    <v>10.42</v>
    <v>11.2</v>
    <v>10.92</v>
    <v>11.31</v>
    <v>10.83</v>
    <v>11.96</v>
    <v>12.56</v>
    <v>14.01</v>
    <v>14.3</v>
    <v>12.72</v>
    <v>12.845000000000001</v>
    <v>13.23</v>
    <v>12.81</v>
    <v>12.48</v>
    <v>12.81</v>
    <v>12.13</v>
    <v>12.9</v>
    <v>14.43</v>
    <v>16.89</v>
    <v>14.62</v>
    <v>16.97</v>
    <v>17.739999999999998</v>
    <v>16.09</v>
    <v>16.045000000000002</v>
    <v>15.72</v>
    <v>13.69</v>
    <v>13.95</v>
    <v>14.19</v>
    <v>13.33</v>
    <v>14.29</v>
    <v>14.84</v>
    <v>15.41</v>
    <v>15.32</v>
    <v>15</v>
    <v>14.88</v>
    <v>15.63</v>
    <v>15.015000000000001</v>
    <v>15.45</v>
    <v>16.004999999999999</v>
    <v>15.97</v>
    <v>14.93</v>
    <v>14.34</v>
    <v>14.27</v>
    <v>15.41</v>
    <v>14.96</v>
    <v>15</v>
    <v>14.44</v>
    <v>14.67</v>
    <v>13.59</v>
    <v>13.45</v>
    <v>13.01</v>
    <v>13.28</v>
    <v>12.93</v>
    <v>13.39</v>
    <v>13.54</v>
    <v>13</v>
    <v>13.6</v>
    <v>13.35</v>
    <v>13.15</v>
    <v>13.05</v>
    <v>12.61</v>
    <v>12.74</v>
    <v>13.29</v>
    <v>14.1</v>
    <v>14</v>
    <v>13.97</v>
    <v>14.64</v>
    <v>15.16</v>
    <v>15.55</v>
    <v>14.79</v>
    <v>14.11</v>
    <v>14.38</v>
    <v>14.19</v>
    <v>13.71</v>
    <v>12.8</v>
    <v>12.66</v>
    <v>12.54</v>
    <v>11.4</v>
    <v>11.74</v>
    <v>11.73</v>
    <v>11.61</v>
    <v>11.75</v>
    <v>11.01</v>
    <v>11.48</v>
    <v>11.14</v>
    <v>10.83</v>
    <v>11.08</v>
    <v>11.51</v>
    <v>11.57</v>
    <v>11.29</v>
    <v>10.96</v>
    <v>10.79</v>
    <v>10.82</v>
    <v>10.35</v>
    <v>9.7100000000000009</v>
    <v>9.94</v>
    <v>9.6300000000000008</v>
    <v>9.64</v>
    <v>9.7100000000000009</v>
    <v>9.52</v>
    <v>9.77</v>
    <v>9.01</v>
    <v>8.6300000000000008</v>
    <v>8.15</v>
    <v>8.39</v>
    <v>8.2200000000000006</v>
    <v>8.25</v>
    <v>8.2899999999999991</v>
    <v>8.67</v>
    <v>8.6999999999999993</v>
    <v>9.26</v>
    <v>9.33</v>
    <v>9.1999999999999993</v>
    <v>9</v>
    <v>9.26</v>
    <v>9.6199999999999992</v>
    <v>9.4700000000000006</v>
    <v>9.7100000000000009</v>
  </a>
  <a r="1" c="234">
    <v>9.16</v>
    <v>9.09</v>
    <v>8.83</v>
    <v>8.8699999999999992</v>
    <v>8.9</v>
    <v>8.59</v>
    <v>8.7899999999999991</v>
    <v>8.91</v>
    <v>8.9700000000000006</v>
    <v>8.9700000000000006</v>
    <v>9</v>
    <v>9.0299999999999994</v>
    <v>8.9700000000000006</v>
    <v>9</v>
    <v>8.9499999999999993</v>
    <v>8.82</v>
    <v>8.99</v>
    <v>8.9700000000000006</v>
    <v>9</v>
    <v>8.82</v>
    <v>8.92</v>
    <v>8.99</v>
    <v>9</v>
    <v>8.98</v>
    <v>8.9499999999999993</v>
    <v>8.76</v>
    <v>8.7799999999999994</v>
    <v>8.7799999999999994</v>
    <v>8.9700000000000006</v>
    <v>8.9499999999999993</v>
    <v>8.93</v>
    <v>8.8800000000000008</v>
    <v>8.74</v>
    <v>8.5500000000000007</v>
    <v>8.5500000000000007</v>
    <v>8.5299999999999994</v>
    <v>8.6199999999999992</v>
    <v>8.11</v>
    <v>8.31</v>
    <v>8.52</v>
    <v>8.08</v>
    <v>8.16</v>
    <v>7.98</v>
    <v>8.07</v>
    <v>7.81</v>
    <v>7.49</v>
    <v>7.37</v>
    <v>7.27</v>
    <v>7.35</v>
    <v>7.44</v>
    <v>7.48</v>
    <v>7.71</v>
    <v>7.74</v>
    <v>7.61</v>
    <v>7.69</v>
    <v>7.6</v>
    <v>7.59</v>
    <v>7.59</v>
    <v>7.36</v>
    <v>7.26</v>
    <v>7.35</v>
    <v>7.45</v>
    <v>6.92</v>
    <v>6.58</v>
    <v>6.46</v>
    <v>6.41</v>
    <v>6.83</v>
    <v>6.64</v>
    <v>6.74</v>
    <v>6.71</v>
    <v>6.65</v>
    <v>6.56</v>
    <v>6.64</v>
    <v>6.43</v>
    <v>6.58</v>
    <v>6.72</v>
    <v>6.81</v>
    <v>6.77</v>
    <v>6.79</v>
    <v>6.72</v>
    <v>6.71</v>
    <v>6.76</v>
    <v>6.88</v>
    <v>6.89</v>
    <v>6.17</v>
    <v>5.96</v>
    <v>6.01</v>
    <v>5.83</v>
    <v>6.17</v>
    <v>6.24</v>
    <v>6.16</v>
    <v>6.07</v>
    <v>6.09</v>
    <v>6.07</v>
    <v>6.11</v>
    <v>6.07</v>
    <v>6.09</v>
    <v>5.99</v>
    <v>6.26</v>
    <v>6.21</v>
    <v>6.23</v>
    <v>6.25</v>
    <v>6.34</v>
    <v>6.4</v>
    <v>6.38</v>
    <v>6.5</v>
    <v>6.56</v>
    <v>6.57</v>
    <v>6.57</v>
    <v>6.49</v>
    <v>6.38</v>
    <v>6.09</v>
    <v>6.16</v>
    <v>6.02</v>
    <v>6.07</v>
    <v>6.04</v>
    <v>6.19</v>
    <v>6.33</v>
    <v>6.19</v>
    <v>6.33</v>
    <v>6.45</v>
    <v>6.3</v>
    <v>6.34</v>
    <v>6.35</v>
    <v>6.47</v>
    <v>6.39</v>
    <v>6.39</v>
    <v>6.37</v>
    <v>6.59</v>
    <v>6.41</v>
    <v>6.36</v>
    <v>6.25</v>
    <v>6.35</v>
    <v>6.43</v>
    <v>6.32</v>
    <v>6.31</v>
    <v>6.47</v>
    <v>6.66</v>
    <v>6.68</v>
    <v>6.77</v>
    <v>6.71</v>
    <v>6.66</v>
    <v>6.67</v>
    <v>6.43</v>
    <v>6.09</v>
    <v>6.24</v>
    <v>6.5</v>
    <v>7.33</v>
    <v>7.25</v>
    <v>7.51</v>
    <v>7.47</v>
    <v>7.71</v>
    <v>7.87</v>
    <v>7.82</v>
    <v>7.82</v>
    <v>7.84</v>
    <v>7.91</v>
    <v>7.9</v>
    <v>7.98</v>
    <v>8.26</v>
    <v>8.17</v>
    <v>8.17</v>
    <v>8.24</v>
    <v>8.25</v>
    <v>8.34</v>
    <v>8.11</v>
    <v>8.1</v>
    <v>8.14</v>
    <v>8.11</v>
    <v>8.2100000000000009</v>
    <v>8.11</v>
    <v>7.93</v>
    <v>8.32</v>
    <v>8.16</v>
    <v>8.19</v>
    <v>8.16</v>
    <v>8.19</v>
    <v>8.2200000000000006</v>
    <v>8.14</v>
    <v>8.08</v>
    <v>8.23</v>
    <v>8.24</v>
    <v>8</v>
    <v>8.14</v>
    <v>8.18</v>
    <v>8.08</v>
    <v>7.96</v>
    <v>8</v>
    <v>8</v>
    <v>8.11</v>
    <v>7.8</v>
    <v>7.78</v>
    <v>7.76</v>
    <v>7.54</v>
    <v>7.72</v>
    <v>7.97</v>
    <v>8.0500000000000007</v>
    <v>7.97</v>
    <v>8.09</v>
    <v>8.1199999999999992</v>
    <v>8.1300000000000008</v>
    <v>7.98</v>
    <v>7.9</v>
    <v>8.01</v>
    <v>8.0399999999999991</v>
    <v>8.1300000000000008</v>
    <v>7.84</v>
    <v>7.9</v>
    <v>7.86</v>
    <v>7.67</v>
    <v>7.67</v>
    <v>7.91</v>
    <v>7.77</v>
    <v>7.96</v>
    <v>7.65</v>
    <v>7.87</v>
    <v>7.37</v>
    <v>7.17</v>
    <v>7.18</v>
    <v>7.14</v>
    <v>6.98</v>
    <v>6.93</v>
    <v>6.83</v>
    <v>7.11</v>
    <v>7.32</v>
    <v>7.74</v>
    <v>7.7</v>
    <v>7.71</v>
    <v>7.78</v>
    <v>7.93</v>
    <v>8</v>
    <v>7.88</v>
    <v>7.92</v>
    <v>7.41</v>
  </a>
  <a r="1" c="234">
    <v>3.43</v>
    <v>3.41</v>
    <v>3.3</v>
    <v>3.34</v>
    <v>3.37</v>
    <v>3.47</v>
    <v>3.26</v>
    <v>3.3</v>
    <v>3.31</v>
    <v>3.3</v>
    <v>3.28</v>
    <v>3.3</v>
    <v>3.22</v>
    <v>3.15</v>
    <v>3</v>
    <v>3.01</v>
    <v>3.06</v>
    <v>3.08</v>
    <v>3.13</v>
    <v>3.13</v>
    <v>3.2</v>
    <v>3.22</v>
    <v>3.2</v>
    <v>3.33</v>
    <v>3.17</v>
    <v>3.26</v>
    <v>3.16</v>
    <v>3.27</v>
    <v>3.35</v>
    <v>3.15</v>
    <v>3.22</v>
    <v>3.18</v>
    <v>3.24</v>
    <v>3.04</v>
    <v>2.99</v>
    <v>2.97</v>
    <v>3.03</v>
    <v>2.95</v>
    <v>3</v>
    <v>3.04</v>
    <v>3.1</v>
    <v>3.3</v>
    <v>3.34</v>
    <v>3.57</v>
    <v>3.28</v>
    <v>3.28</v>
    <v>3.26</v>
    <v>3.45</v>
    <v>3.37</v>
    <v>3.37</v>
    <v>3.28</v>
    <v>3.42</v>
    <v>3.42</v>
    <v>3.39</v>
    <v>3.26</v>
    <v>3.11</v>
    <v>3.06</v>
    <v>3.1</v>
    <v>2.95</v>
    <v>2.92</v>
    <v>2.98</v>
    <v>2.92</v>
    <v>2.84</v>
    <v>2.61</v>
    <v>2.58</v>
    <v>2.2799999999999998</v>
    <v>2.5099999999999998</v>
    <v>2.5099999999999998</v>
    <v>2.81</v>
    <v>2.84</v>
    <v>2.88</v>
    <v>3.01</v>
    <v>2.98</v>
    <v>3.11</v>
    <v>4.3499999999999996</v>
    <v>4.67</v>
    <v>4.9800000000000004</v>
    <v>4.4400000000000004</v>
    <v>4.3499999999999996</v>
    <v>4.33</v>
    <v>4.2300000000000004</v>
    <v>4.18</v>
    <v>4.1100000000000003</v>
    <v>4.12</v>
    <v>4.21</v>
    <v>3.91</v>
    <v>3.76</v>
    <v>3.78</v>
    <v>3.46</v>
    <v>3.5</v>
    <v>3.5</v>
    <v>3.55</v>
    <v>3.6</v>
    <v>3.64</v>
    <v>3.7</v>
    <v>3.59</v>
    <v>3.6</v>
    <v>3.58</v>
    <v>3.53</v>
    <v>3.58</v>
    <v>3.55</v>
    <v>3.58</v>
    <v>3.75</v>
    <v>3.77</v>
    <v>4.6900000000000004</v>
    <v>4.41</v>
    <v>4.21</v>
    <v>4.38</v>
    <v>4.32</v>
    <v>4.3099999999999996</v>
    <v>4.34</v>
    <v>4.43</v>
    <v>4.3499999999999996</v>
    <v>4.3899999999999997</v>
    <v>4.3600000000000003</v>
    <v>4.1399999999999997</v>
    <v>4.08</v>
    <v>3.9</v>
    <v>3.7</v>
    <v>4.1500000000000004</v>
    <v>4.08</v>
    <v>4.09</v>
    <v>4.1500000000000004</v>
    <v>4.4800000000000004</v>
    <v>4.5199999999999996</v>
    <v>4.55</v>
    <v>4.4400000000000004</v>
    <v>4.59</v>
    <v>4.72</v>
    <v>4.8</v>
    <v>4.91</v>
    <v>4.95</v>
    <v>5.23</v>
    <v>5.47</v>
    <v>5.39</v>
    <v>5.85</v>
    <v>6.11</v>
    <v>5.78</v>
    <v>5.6</v>
    <v>5.36</v>
    <v>5.23</v>
    <v>5.25</v>
    <v>5.12</v>
    <v>5.19</v>
    <v>5.27</v>
    <v>5.48</v>
    <v>5.76</v>
    <v>5.75</v>
    <v>5.71</v>
    <v>5.66</v>
    <v>5.78</v>
    <v>5.89</v>
    <v>5.92</v>
    <v>5.97</v>
    <v>6.01</v>
    <v>6.05</v>
    <v>5.91</v>
    <v>5.92</v>
    <v>5.95</v>
    <v>6.09</v>
    <v>6.4</v>
    <v>6.56</v>
    <v>6.59</v>
    <v>6.46</v>
    <v>6.84</v>
    <v>6.69</v>
    <v>6.7</v>
    <v>6.75</v>
    <v>6.76</v>
    <v>6.73</v>
    <v>6.74</v>
    <v>6.61</v>
    <v>6.98</v>
    <v>6.92</v>
    <v>7.3</v>
    <v>7.14</v>
    <v>7.04</v>
    <v>7.25</v>
    <v>7.53</v>
    <v>7.64</v>
    <v>7.73</v>
    <v>7.68</v>
    <v>7.94</v>
    <v>8.3000000000000007</v>
    <v>8.48</v>
    <v>8.8000000000000007</v>
    <v>10.119999999999999</v>
    <v>9.65</v>
    <v>9.99</v>
    <v>9.66</v>
    <v>10.07</v>
    <v>10.31</v>
    <v>9.75</v>
    <v>9.6999999999999993</v>
    <v>10.01</v>
    <v>9.8800000000000008</v>
    <v>10.51</v>
    <v>10.4</v>
    <v>9.5500000000000007</v>
    <v>10.11</v>
    <v>8.77</v>
    <v>8.6999999999999993</v>
    <v>8.5299999999999994</v>
    <v>8.5299999999999994</v>
    <v>8.1300000000000008</v>
    <v>8.1300000000000008</v>
    <v>8.1</v>
    <v>8.2899999999999991</v>
    <v>8.2899999999999991</v>
    <v>8.11</v>
    <v>7.71</v>
    <v>7.88</v>
    <v>7.84</v>
    <v>8.19</v>
    <v>8.59</v>
    <v>8.41</v>
    <v>8.73</v>
    <v>8.65</v>
    <v>8.6199999999999992</v>
    <v>8.5299999999999994</v>
    <v>8.73</v>
    <v>8.93</v>
    <v>8.27</v>
    <v>8.2100000000000009</v>
    <v>8.6999999999999993</v>
    <v>9.24</v>
    <v>9.61</v>
    <v>10.19</v>
    <v>10.18</v>
    <v>9.92</v>
    <v>9.93</v>
    <v>9.9499999999999993</v>
    <v>9.84</v>
    <v>9.51</v>
  </a>
  <a r="1" c="234">
    <v>3.52</v>
    <v>3.4449999999999998</v>
    <v>3.4449999999999998</v>
    <v>3.4599000000000002</v>
    <v>3.4</v>
    <v>3.55</v>
    <v>3.4249999999999998</v>
    <v>3.32</v>
    <v>3.3889</v>
    <v>3.3450000000000002</v>
    <v>3.3149999999999999</v>
    <v>3.35</v>
    <v>3.34</v>
    <v>3.33</v>
    <v>3.25</v>
    <v>3.02</v>
    <v>3.1</v>
    <v>3.1349999999999998</v>
    <v>3.25</v>
    <v>3.23</v>
    <v>3.26</v>
    <v>3.25</v>
    <v>3.3201000000000001</v>
    <v>3.3889</v>
    <v>3.3519999999999999</v>
    <v>3.27</v>
    <v>3.28</v>
    <v>3.28</v>
    <v>3.36</v>
    <v>3.4</v>
    <v>3.24</v>
    <v>3.2250000000000001</v>
    <v>3.28</v>
    <v>3.25</v>
    <v>3.0790000000000002</v>
    <v>3.01</v>
    <v>3.0550000000000002</v>
    <v>3.0150000000000001</v>
    <v>3.01</v>
    <v>3.13</v>
    <v>3.14</v>
    <v>3.35</v>
    <v>3.38</v>
    <v>3.6</v>
    <v>3.54</v>
    <v>3.4049999999999998</v>
    <v>3.3106</v>
    <v>3.5</v>
    <v>3.5350000000000001</v>
    <v>3.4</v>
    <v>3.4666000000000001</v>
    <v>3.42</v>
    <v>3.5</v>
    <v>3.43</v>
    <v>3.4499</v>
    <v>3.35</v>
    <v>3.19</v>
    <v>3.15</v>
    <v>3.13</v>
    <v>2.99</v>
    <v>3.1150000000000002</v>
    <v>2.97</v>
    <v>2.9350000000000001</v>
    <v>2.8250000000000002</v>
    <v>2.76</v>
    <v>2.6850000000000001</v>
    <v>2.54</v>
    <v>2.61</v>
    <v>2.9</v>
    <v>3</v>
    <v>2.95</v>
    <v>3.1</v>
    <v>3.05</v>
    <v>3.14</v>
    <v>4.57</v>
    <v>5.0549999999999997</v>
    <v>5.0599999999999996</v>
    <v>4.91</v>
    <v>4.49</v>
    <v>4.38</v>
    <v>4.4199000000000002</v>
    <v>4.3</v>
    <v>4.2699999999999996</v>
    <v>4.3499999999999996</v>
    <v>4.2699999999999996</v>
    <v>4.29</v>
    <v>4.05</v>
    <v>3.89</v>
    <v>3.78</v>
    <v>3.6</v>
    <v>3.5449999999999999</v>
    <v>3.61</v>
    <v>3.63</v>
    <v>3.7</v>
    <v>3.7549999999999999</v>
    <v>3.75</v>
    <v>3.6949999999999998</v>
    <v>3.6678999999999999</v>
    <v>3.5649999999999999</v>
    <v>3.64</v>
    <v>3.6549999999999998</v>
    <v>3.6349999999999998</v>
    <v>3.8</v>
    <v>3.875</v>
    <v>4.7699999999999996</v>
    <v>4.8499999999999996</v>
    <v>4.46</v>
    <v>4.4400000000000004</v>
    <v>4.5599999999999996</v>
    <v>4.45</v>
    <v>4.43</v>
    <v>4.58</v>
    <v>4.5199999999999996</v>
    <v>4.45</v>
    <v>4.46</v>
    <v>4.415</v>
    <v>4.2252000000000001</v>
    <v>3.99</v>
    <v>3.9350000000000001</v>
    <v>4.165</v>
    <v>4.1100000000000003</v>
    <v>4.18</v>
    <v>4.2450000000000001</v>
    <v>4.5599999999999996</v>
    <v>4.7050000000000001</v>
    <v>4.6100000000000003</v>
    <v>4.59</v>
    <v>4.625</v>
    <v>4.7350000000000003</v>
    <v>4.8449999999999998</v>
    <v>5.01</v>
    <v>5.0049999999999999</v>
    <v>5.2649999999999997</v>
    <v>5.49</v>
    <v>5.5899000000000001</v>
    <v>5.91</v>
    <v>6.16</v>
    <v>6.16</v>
    <v>5.79</v>
    <v>5.6</v>
    <v>5.31</v>
    <v>5.38</v>
    <v>5.3997999999999999</v>
    <v>5.2450000000000001</v>
    <v>5.39</v>
    <v>5.59</v>
    <v>5.81</v>
    <v>5.8</v>
    <v>5.83</v>
    <v>5.835</v>
    <v>5.8898999999999999</v>
    <v>5.92</v>
    <v>6</v>
    <v>6.05</v>
    <v>6.06</v>
    <v>6.12</v>
    <v>6.08</v>
    <v>5.9950000000000001</v>
    <v>6.0198999999999998</v>
    <v>6.15</v>
    <v>6.56</v>
    <v>6.625</v>
    <v>6.5949999999999998</v>
    <v>6.6749999999999998</v>
    <v>6.9349999999999996</v>
    <v>6.95</v>
    <v>6.85</v>
    <v>6.78</v>
    <v>6.87</v>
    <v>6.8849999999999998</v>
    <v>6.8598999999999997</v>
    <v>6.98</v>
    <v>7.05</v>
    <v>7.05</v>
    <v>7.33</v>
    <v>7.31</v>
    <v>7.36</v>
    <v>7.27</v>
    <v>7.55</v>
    <v>7.81</v>
    <v>8.0549999999999997</v>
    <v>7.86</v>
    <v>7.97</v>
    <v>8.33</v>
    <v>8.58</v>
    <v>9.0549999999999997</v>
    <v>10.16</v>
    <v>10.435</v>
    <v>10.39</v>
    <v>10.3399</v>
    <v>10.16</v>
    <v>10.44</v>
    <v>10.36</v>
    <v>10</v>
    <v>10.185</v>
    <v>10.135</v>
    <v>10.9</v>
    <v>10.74</v>
    <v>10.25</v>
    <v>10.11</v>
    <v>9.42</v>
    <v>8.7799999999999994</v>
    <v>8.91</v>
    <v>8.5749999999999993</v>
    <v>8.31</v>
    <v>8.25</v>
    <v>8.4491999999999994</v>
    <v>8.33</v>
    <v>8.33</v>
    <v>8.3699999999999992</v>
    <v>8.0549999999999997</v>
    <v>7.95</v>
    <v>8.27</v>
    <v>8.2899999999999991</v>
    <v>8.7249999999999996</v>
    <v>8.7200000000000006</v>
    <v>8.93</v>
    <v>8.81</v>
    <v>8.7349999999999994</v>
    <v>8.86</v>
    <v>8.8550000000000004</v>
    <v>9.3000000000000007</v>
    <v>9.09</v>
    <v>8.41</v>
    <v>8.7200000000000006</v>
    <v>9.32</v>
    <v>9.61</v>
    <v>10.23</v>
    <v>10.465</v>
    <v>10.31</v>
    <v>10.106299999999999</v>
    <v>10.02</v>
    <v>10.24</v>
    <v>9.8800000000000008</v>
  </a>
  <a r="1" c="234">
    <v>3.34</v>
    <v>3.37</v>
    <v>3.29</v>
    <v>3.32</v>
    <v>3.3250000000000002</v>
    <v>3.34</v>
    <v>3.24</v>
    <v>3.19</v>
    <v>3.3</v>
    <v>3.24</v>
    <v>3.25</v>
    <v>3.2650000000000001</v>
    <v>3.2</v>
    <v>3.1</v>
    <v>2.895</v>
    <v>2.87</v>
    <v>2.98</v>
    <v>3.0150000000000001</v>
    <v>3.0950000000000002</v>
    <v>3.1</v>
    <v>3.07</v>
    <v>3.1349999999999998</v>
    <v>3.1800999999999999</v>
    <v>3.15</v>
    <v>3.14</v>
    <v>3.1349999999999998</v>
    <v>3.14</v>
    <v>3.12</v>
    <v>3.22</v>
    <v>3.15</v>
    <v>3.15</v>
    <v>3.12</v>
    <v>3.16</v>
    <v>3.01</v>
    <v>2.88</v>
    <v>2.92</v>
    <v>2.94</v>
    <v>2.94</v>
    <v>2.91</v>
    <v>3.03</v>
    <v>3.03</v>
    <v>3.09</v>
    <v>3.27</v>
    <v>3.33</v>
    <v>3.24</v>
    <v>3.25</v>
    <v>3.15</v>
    <v>3.2759999999999998</v>
    <v>3.33</v>
    <v>3.3</v>
    <v>3.24</v>
    <v>3.26</v>
    <v>3.32</v>
    <v>3.32</v>
    <v>3.24</v>
    <v>3.09</v>
    <v>3.04</v>
    <v>3.0350000000000001</v>
    <v>2.87</v>
    <v>2.8</v>
    <v>2.85</v>
    <v>2.85</v>
    <v>2.8149999999999999</v>
    <v>2.5499999999999998</v>
    <v>2.48</v>
    <v>2.2599999999999998</v>
    <v>2.2601</v>
    <v>2.4700000000000002</v>
    <v>2.6</v>
    <v>2.75</v>
    <v>2.84</v>
    <v>2.92</v>
    <v>2.89</v>
    <v>3.01</v>
    <v>3.3</v>
    <v>4.1500000000000004</v>
    <v>4.6100000000000003</v>
    <v>4.3499999999999996</v>
    <v>4.1749999999999998</v>
    <v>4.1900000000000004</v>
    <v>4.08</v>
    <v>4.085</v>
    <v>4.0949999999999998</v>
    <v>4.12</v>
    <v>4.0999999999999996</v>
    <v>3.8149999999999999</v>
    <v>3.72</v>
    <v>3.7450000000000001</v>
    <v>3.37</v>
    <v>3.48</v>
    <v>3.3650000000000002</v>
    <v>3.4</v>
    <v>3.45</v>
    <v>3.54</v>
    <v>3.6349999999999998</v>
    <v>3.51</v>
    <v>3.53</v>
    <v>3.5301</v>
    <v>3.415</v>
    <v>3.51</v>
    <v>3.5335000000000001</v>
    <v>3.49</v>
    <v>3.6549999999999998</v>
    <v>3.64</v>
    <v>3.96</v>
    <v>4.3449999999999998</v>
    <v>4.1399999999999997</v>
    <v>4.2</v>
    <v>4.3099999999999996</v>
    <v>4.2699999999999996</v>
    <v>4.3</v>
    <v>4.3250000000000002</v>
    <v>4.32</v>
    <v>4.3550000000000004</v>
    <v>4.3099999999999996</v>
    <v>4.12</v>
    <v>4.05</v>
    <v>3.86</v>
    <v>3.61</v>
    <v>3.71</v>
    <v>3.95</v>
    <v>4.05</v>
    <v>4.07</v>
    <v>4.1500000000000004</v>
    <v>4.4000000000000004</v>
    <v>4.4400000000000004</v>
    <v>4.34</v>
    <v>4.37</v>
    <v>4.59</v>
    <v>4.68</v>
    <v>4.7949999999999999</v>
    <v>4.84</v>
    <v>4.99</v>
    <v>5.1150000000000002</v>
    <v>5.3</v>
    <v>5.43</v>
    <v>5.82</v>
    <v>5.76</v>
    <v>5.56</v>
    <v>5.2850000000000001</v>
    <v>5.15</v>
    <v>5.17</v>
    <v>5.07</v>
    <v>5.0949999999999998</v>
    <v>5.14</v>
    <v>5.3879999999999999</v>
    <v>5.35</v>
    <v>5.6428000000000003</v>
    <v>5.6349999999999998</v>
    <v>5.6</v>
    <v>5.53</v>
    <v>5.76</v>
    <v>5.8150000000000004</v>
    <v>5.84</v>
    <v>5.89</v>
    <v>5.95</v>
    <v>5.85</v>
    <v>5.89</v>
    <v>5.81</v>
    <v>5.8550000000000004</v>
    <v>6.08</v>
    <v>6.4</v>
    <v>6.4050000000000002</v>
    <v>6.4349999999999996</v>
    <v>6.47</v>
    <v>6.55</v>
    <v>6.585</v>
    <v>6.56</v>
    <v>6.67</v>
    <v>6.67</v>
    <v>6.64</v>
    <v>6.585</v>
    <v>6.59</v>
    <v>6.83</v>
    <v>6.92</v>
    <v>7.1050000000000004</v>
    <v>6.95</v>
    <v>6.9</v>
    <v>7.26</v>
    <v>7.5049999999999999</v>
    <v>7.67</v>
    <v>7.6</v>
    <v>7.61</v>
    <v>7.97</v>
    <v>8.34</v>
    <v>8.4649999999999999</v>
    <v>8.27</v>
    <v>9.3244000000000007</v>
    <v>9.83</v>
    <v>9.6300000000000008</v>
    <v>9.59</v>
    <v>10.07</v>
    <v>9.67</v>
    <v>9.6150000000000002</v>
    <v>9.8949999999999996</v>
    <v>9.5399999999999991</v>
    <v>9.9700000000000006</v>
    <v>10.33</v>
    <v>9.36</v>
    <v>9.5890000000000004</v>
    <v>8.7200000000000006</v>
    <v>8.3101000000000003</v>
    <v>8.48</v>
    <v>8.32</v>
    <v>7.87</v>
    <v>7.67</v>
    <v>7.93</v>
    <v>7.96</v>
    <v>7.83</v>
    <v>7.9950000000000001</v>
    <v>7.6749999999999998</v>
    <v>7.7149999999999999</v>
    <v>7.8250000000000002</v>
    <v>7.78</v>
    <v>8.4600000000000009</v>
    <v>8.35</v>
    <v>8.33</v>
    <v>8.48</v>
    <v>8.11</v>
    <v>8.39</v>
    <v>8.4550000000000001</v>
    <v>8.74</v>
    <v>8.2349999999999994</v>
    <v>8.02</v>
    <v>8.25</v>
    <v>8.66</v>
    <v>9.24</v>
    <v>9.73</v>
    <v>10.15</v>
    <v>9.83</v>
    <v>9.77</v>
    <v>9.8000000000000007</v>
    <v>9.74</v>
    <v>9.4700000000000006</v>
  </a>
  <a r="1" c="234">
    <v>7.55</v>
    <v>7.84</v>
    <v>7.65</v>
    <v>7.52</v>
    <v>7.7</v>
    <v>7.73</v>
    <v>7.73</v>
    <v>7.76</v>
    <v>7.97</v>
    <v>7.98</v>
    <v>7.99</v>
    <v>8</v>
    <v>7.97</v>
    <v>7.99</v>
    <v>7.97</v>
    <v>8</v>
    <v>8.17</v>
    <v>8.08</v>
    <v>8.1199999999999992</v>
    <v>7.97</v>
    <v>8.0399999999999991</v>
    <v>8.0500000000000007</v>
    <v>8.15</v>
    <v>7.98</v>
    <v>7.91</v>
    <v>8.06</v>
    <v>7.94</v>
    <v>7.86</v>
    <v>7.99</v>
    <v>7.97</v>
    <v>8</v>
    <v>7.99</v>
    <v>7.89</v>
    <v>7.7</v>
    <v>7.59</v>
    <v>7.52</v>
    <v>7.51</v>
    <v>7.74</v>
    <v>7.79</v>
    <v>7.91</v>
    <v>8.02</v>
    <v>8.16</v>
    <v>7.88</v>
    <v>7.59</v>
    <v>7.11</v>
    <v>6.95</v>
    <v>6.85</v>
    <v>6.99</v>
    <v>6.92</v>
    <v>6.89</v>
    <v>6.74</v>
    <v>6.81</v>
    <v>6.82</v>
    <v>6.85</v>
    <v>6.76</v>
    <v>6.77</v>
    <v>6.6</v>
    <v>6.77</v>
    <v>6.7</v>
    <v>6.66</v>
    <v>6.63</v>
    <v>6.63</v>
    <v>6.74</v>
    <v>6.64</v>
    <v>6.51</v>
    <v>6.53</v>
    <v>6.91</v>
    <v>6.77</v>
    <v>6.84</v>
    <v>6.85</v>
    <v>6.82</v>
    <v>6.71</v>
    <v>6.7</v>
    <v>6.16</v>
    <v>6.13</v>
    <v>6.37</v>
    <v>6.49</v>
    <v>6.53</v>
    <v>6.53</v>
    <v>6.56</v>
    <v>6.57</v>
    <v>6.52</v>
    <v>6.8</v>
    <v>6.62</v>
    <v>6.55</v>
    <v>5.51</v>
    <v>5.81</v>
    <v>5.73</v>
    <v>5.85</v>
    <v>5.87</v>
    <v>5.74</v>
    <v>5.79</v>
    <v>5.84</v>
    <v>5.84</v>
    <v>5.83</v>
    <v>5.67</v>
    <v>5.63</v>
    <v>5.49</v>
    <v>6.06</v>
    <v>6.04</v>
    <v>5.91</v>
    <v>5.94</v>
    <v>5.88</v>
    <v>5.96</v>
    <v>5.95</v>
    <v>5.93</v>
    <v>5.84</v>
    <v>5.88</v>
    <v>5.72</v>
    <v>5.6</v>
    <v>5.42</v>
    <v>5.26</v>
    <v>5.17</v>
    <v>5.04</v>
    <v>4.93</v>
    <v>4.83</v>
    <v>4.96</v>
    <v>5.08</v>
    <v>4.95</v>
    <v>5.08</v>
    <v>5.15</v>
    <v>5.17</v>
    <v>4.99</v>
    <v>4.7750000000000004</v>
    <v>4.79</v>
    <v>4.6749999999999998</v>
    <v>4.7300000000000004</v>
    <v>4.75</v>
    <v>4.7300000000000004</v>
    <v>4.51</v>
    <v>4.57</v>
    <v>4.4000000000000004</v>
    <v>4.4000000000000004</v>
    <v>4.42</v>
    <v>4.22</v>
    <v>4.17</v>
    <v>4.2</v>
    <v>4.2699999999999996</v>
    <v>4.1399999999999997</v>
    <v>4.1399999999999997</v>
    <v>4.17</v>
    <v>4.13</v>
    <v>4.2300000000000004</v>
    <v>3.98</v>
    <v>3.79</v>
    <v>3.9</v>
    <v>3.89</v>
    <v>3.9</v>
    <v>3.86</v>
    <v>4.37</v>
    <v>4.57</v>
    <v>4.66</v>
    <v>5.17</v>
    <v>5.58</v>
    <v>5.44</v>
    <v>5.41</v>
    <v>5.35</v>
    <v>5.35</v>
    <v>5.5</v>
    <v>5.55</v>
    <v>5.39</v>
    <v>5.4</v>
    <v>5.49</v>
    <v>5.48</v>
    <v>5.48</v>
    <v>5.63</v>
    <v>5.49</v>
    <v>5.47</v>
    <v>5.37</v>
    <v>5.61</v>
    <v>5.4850000000000003</v>
    <v>5.17</v>
    <v>5.34</v>
    <v>5.23</v>
    <v>5.18</v>
    <v>5.23</v>
    <v>5.15</v>
    <v>5.37</v>
    <v>5.23</v>
    <v>5.38</v>
    <v>5.35</v>
    <v>5.41</v>
    <v>5.26</v>
    <v>5.42</v>
    <v>5.42</v>
    <v>5.5</v>
    <v>5.45</v>
    <v>5.35</v>
    <v>5.51</v>
    <v>5.61</v>
    <v>5.53</v>
    <v>5.64</v>
    <v>5.36</v>
    <v>5.05</v>
    <v>5.1100000000000003</v>
    <v>5.09</v>
    <v>5.19</v>
    <v>5.04</v>
    <v>5.04</v>
    <v>5.16</v>
    <v>5.2</v>
    <v>5.1100000000000003</v>
    <v>5.14</v>
    <v>5.2</v>
    <v>5.1100000000000003</v>
    <v>5.0999999999999996</v>
    <v>4.9800000000000004</v>
    <v>4.91</v>
    <v>4.9000000000000004</v>
    <v>4.92</v>
    <v>4.9800000000000004</v>
    <v>4.8099999999999996</v>
    <v>6.25</v>
    <v>6.29</v>
    <v>6.43</v>
    <v>6.47</v>
    <v>6.44</v>
    <v>6.31</v>
    <v>6.4</v>
    <v>6.25</v>
    <v>6.2</v>
    <v>6.18</v>
    <v>6.18</v>
    <v>6.44</v>
    <v>6.49</v>
    <v>6.63</v>
    <v>6.56</v>
    <v>6.5</v>
    <v>6.41</v>
    <v>6.3</v>
    <v>6.4</v>
    <v>6.46</v>
    <v>6.48</v>
    <v>6.41</v>
  </a>
  <a r="1" c="234">
    <v>7.58</v>
    <v>7.86</v>
    <v>7.96</v>
    <v>7.79</v>
    <v>7.75</v>
    <v>7.79</v>
    <v>7.73</v>
    <v>7.83</v>
    <v>8.0500000000000007</v>
    <v>8.02</v>
    <v>8.1</v>
    <v>8.1549999999999994</v>
    <v>8.0399999999999991</v>
    <v>7.9950000000000001</v>
    <v>8.06</v>
    <v>8.02</v>
    <v>8.25</v>
    <v>8.2100000000000009</v>
    <v>8.2050000000000001</v>
    <v>8.1300000000000008</v>
    <v>8.1150000000000002</v>
    <v>8.1050000000000004</v>
    <v>8.2050000000000001</v>
    <v>8.15</v>
    <v>8.02</v>
    <v>8.07</v>
    <v>8.0500000000000007</v>
    <v>7.8949999999999996</v>
    <v>8.0150000000000006</v>
    <v>8.0549999999999997</v>
    <v>8.0549999999999997</v>
    <v>8.1999999999999993</v>
    <v>8</v>
    <v>7.98</v>
    <v>7.7649999999999997</v>
    <v>7.69</v>
    <v>7.65</v>
    <v>8.2050000000000001</v>
    <v>7.9</v>
    <v>8.0150000000000006</v>
    <v>8.0760000000000005</v>
    <v>8.2949999999999999</v>
    <v>8.0950000000000006</v>
    <v>7.85</v>
    <v>7.58</v>
    <v>7.15</v>
    <v>7.03</v>
    <v>7.01</v>
    <v>7.1749999999999998</v>
    <v>7.01</v>
    <v>6.8849999999999998</v>
    <v>6.8449999999999998</v>
    <v>6.92</v>
    <v>6.89</v>
    <v>7.08</v>
    <v>6.9050000000000002</v>
    <v>6.8</v>
    <v>6.77</v>
    <v>6.81</v>
    <v>6.68</v>
    <v>6.7949999999999999</v>
    <v>6.71</v>
    <v>6.78</v>
    <v>6.76</v>
    <v>6.73</v>
    <v>7</v>
    <v>7.02</v>
    <v>6.93</v>
    <v>6.92</v>
    <v>6.93</v>
    <v>6.95</v>
    <v>6.86</v>
    <v>6.7350000000000003</v>
    <v>6.74</v>
    <v>6.2149999999999999</v>
    <v>6.45</v>
    <v>6.5</v>
    <v>6.54</v>
    <v>6.5949999999999998</v>
    <v>6.6050000000000004</v>
    <v>6.6</v>
    <v>6.6</v>
    <v>6.8650000000000002</v>
    <v>6.78</v>
    <v>6.64</v>
    <v>6.2850000000000001</v>
    <v>5.86</v>
    <v>5.8</v>
    <v>5.9</v>
    <v>6</v>
    <v>5.875</v>
    <v>5.8</v>
    <v>5.87</v>
    <v>5.9</v>
    <v>5.91</v>
    <v>5.85</v>
    <v>5.67</v>
    <v>5.59</v>
    <v>6.11</v>
    <v>6.18</v>
    <v>6.12</v>
    <v>6</v>
    <v>5.9550000000000001</v>
    <v>6.05</v>
    <v>6.01</v>
    <v>6.01</v>
    <v>6.0110999999999999</v>
    <v>6.03</v>
    <v>5.93</v>
    <v>5.79</v>
    <v>5.59</v>
    <v>5.39</v>
    <v>5.32</v>
    <v>5.15</v>
    <v>5.085</v>
    <v>5.01</v>
    <v>5.01</v>
    <v>5.13</v>
    <v>5.09</v>
    <v>5.0999999999999996</v>
    <v>5.19</v>
    <v>5.26</v>
    <v>5.17</v>
    <v>4.9800000000000004</v>
    <v>4.83</v>
    <v>4.7949999999999999</v>
    <v>4.7988999999999997</v>
    <v>4.7850000000000001</v>
    <v>4.875</v>
    <v>4.7249999999999996</v>
    <v>4.5999999999999996</v>
    <v>4.5999999999999996</v>
    <v>4.46</v>
    <v>4.5049999999999999</v>
    <v>4.45</v>
    <v>4.26</v>
    <v>4.32</v>
    <v>4.2988</v>
    <v>4.2699999999999996</v>
    <v>4.1950000000000003</v>
    <v>4.2300000000000004</v>
    <v>4.1900000000000004</v>
    <v>4.28</v>
    <v>4.1900000000000004</v>
    <v>3.95</v>
    <v>3.94</v>
    <v>3.94</v>
    <v>3.9449999999999998</v>
    <v>4.18</v>
    <v>4.3899999999999997</v>
    <v>4.63</v>
    <v>4.7249999999999996</v>
    <v>5.1749999999999998</v>
    <v>5.6050000000000004</v>
    <v>5.625</v>
    <v>5.58</v>
    <v>5.41</v>
    <v>5.39</v>
    <v>5.53</v>
    <v>5.72</v>
    <v>5.54</v>
    <v>5.43</v>
    <v>5.5250000000000004</v>
    <v>5.54</v>
    <v>5.4950000000000001</v>
    <v>5.67</v>
    <v>5.6449999999999996</v>
    <v>5.5</v>
    <v>5.57</v>
    <v>5.63</v>
    <v>5.6</v>
    <v>5.47</v>
    <v>5.35</v>
    <v>5.298</v>
    <v>5.3049999999999997</v>
    <v>5.28</v>
    <v>5.3949999999999996</v>
    <v>5.38</v>
    <v>5.4</v>
    <v>5.39</v>
    <v>5.5</v>
    <v>5.46</v>
    <v>5.39</v>
    <v>5.4249999999999998</v>
    <v>5.58</v>
    <v>5.52</v>
    <v>5.5</v>
    <v>5.5049999999999999</v>
    <v>5.625</v>
    <v>5.72</v>
    <v>5.6349999999999998</v>
    <v>5.66</v>
    <v>5.64</v>
    <v>5.4</v>
    <v>5.13</v>
    <v>5.16</v>
    <v>5.2182000000000004</v>
    <v>5.3</v>
    <v>5.1050000000000004</v>
    <v>5.2398999999999996</v>
    <v>5.2450000000000001</v>
    <v>5.25</v>
    <v>5.1550000000000002</v>
    <v>5.22</v>
    <v>5.25</v>
    <v>5.15</v>
    <v>5.19</v>
    <v>5.0350000000000001</v>
    <v>4.9749999999999996</v>
    <v>4.97</v>
    <v>5.0599999999999996</v>
    <v>5.0599999999999996</v>
    <v>6.3550000000000004</v>
    <v>6.37</v>
    <v>6.45</v>
    <v>6.4950000000000001</v>
    <v>6.49</v>
    <v>6.5949999999999998</v>
    <v>6.42</v>
    <v>6.4349999999999996</v>
    <v>6.2450000000000001</v>
    <v>6.28</v>
    <v>6.36</v>
    <v>6.5057999999999998</v>
    <v>6.6679000000000004</v>
    <v>6.6550000000000002</v>
    <v>6.63</v>
    <v>6.64</v>
    <v>6.52</v>
    <v>6.43</v>
    <v>6.43</v>
    <v>6.48</v>
    <v>6.49</v>
    <v>6.64</v>
  </a>
  <a r="1" c="234">
    <v>7.38</v>
    <v>7.62</v>
    <v>7.58</v>
    <v>7.36</v>
    <v>7.4649999999999999</v>
    <v>7.44</v>
    <v>7.5122</v>
    <v>7.61</v>
    <v>7.8</v>
    <v>7.7450000000000001</v>
    <v>7.9</v>
    <v>7.96</v>
    <v>7.87</v>
    <v>7.73</v>
    <v>7.9050000000000002</v>
    <v>7.8</v>
    <v>7.94</v>
    <v>7.95</v>
    <v>8.0850000000000009</v>
    <v>7.9450000000000003</v>
    <v>7.6616</v>
    <v>7.93</v>
    <v>8.06</v>
    <v>7.9</v>
    <v>7.87</v>
    <v>7.8449999999999998</v>
    <v>7.88</v>
    <v>7.78</v>
    <v>7.83</v>
    <v>7.9349999999999996</v>
    <v>7.87</v>
    <v>7.88</v>
    <v>7.73</v>
    <v>7.5650000000000004</v>
    <v>7.52</v>
    <v>7.45</v>
    <v>7.48</v>
    <v>7.28</v>
    <v>7.58</v>
    <v>7.82</v>
    <v>7.77</v>
    <v>7.97</v>
    <v>7.7249999999999996</v>
    <v>7.5</v>
    <v>7.0650000000000004</v>
    <v>6.87</v>
    <v>6.8150000000000004</v>
    <v>6.78</v>
    <v>6.91</v>
    <v>6.76</v>
    <v>6.71</v>
    <v>6.6449999999999996</v>
    <v>6.7649999999999997</v>
    <v>6.71</v>
    <v>6.6849999999999996</v>
    <v>6.7</v>
    <v>6.58</v>
    <v>6.52</v>
    <v>6.54</v>
    <v>6.57</v>
    <v>6.56</v>
    <v>6.53</v>
    <v>6.48</v>
    <v>6.4550000000000001</v>
    <v>6.2527999999999997</v>
    <v>6.51</v>
    <v>6.51</v>
    <v>6.5949999999999998</v>
    <v>6.665</v>
    <v>6.78</v>
    <v>6.78</v>
    <v>6.625</v>
    <v>6.57</v>
    <v>6.125</v>
    <v>6.03</v>
    <v>6.21</v>
    <v>6.31</v>
    <v>6.39</v>
    <v>6.4349999999999996</v>
    <v>6.49</v>
    <v>6.43</v>
    <v>6.4450000000000003</v>
    <v>6.58</v>
    <v>6.6</v>
    <v>6.4747000000000003</v>
    <v>5.39</v>
    <v>5.56</v>
    <v>5.6550000000000002</v>
    <v>5.61</v>
    <v>5.7350000000000003</v>
    <v>5.71</v>
    <v>5.6</v>
    <v>5.75</v>
    <v>5.79</v>
    <v>5.7350000000000003</v>
    <v>5.6550000000000002</v>
    <v>5.61</v>
    <v>5.47</v>
    <v>5.69</v>
    <v>5.94</v>
    <v>5.875</v>
    <v>5.86</v>
    <v>5.76</v>
    <v>5.79</v>
    <v>5.89</v>
    <v>5.875</v>
    <v>5.8</v>
    <v>5.78</v>
    <v>5.71</v>
    <v>5.57</v>
    <v>5.4</v>
    <v>5.2350000000000003</v>
    <v>5.16</v>
    <v>5.0199999999999996</v>
    <v>4.87</v>
    <v>4.76</v>
    <v>4.7549999999999999</v>
    <v>4.87</v>
    <v>4.92</v>
    <v>4.9400000000000004</v>
    <v>5.0149999999999997</v>
    <v>5.0549999999999997</v>
    <v>4.9800000000000004</v>
    <v>4.7</v>
    <v>4.7149999999999999</v>
    <v>4.6500000000000004</v>
    <v>4.6500000000000004</v>
    <v>4.6050000000000004</v>
    <v>4.6399999999999997</v>
    <v>4.47</v>
    <v>4.42</v>
    <v>4.37</v>
    <v>4.33</v>
    <v>4.3935000000000004</v>
    <v>4.22</v>
    <v>4.12</v>
    <v>4.1565000000000003</v>
    <v>4.1807999999999996</v>
    <v>4.09</v>
    <v>4.0999999999999996</v>
    <v>4.1349999999999998</v>
    <v>4.09</v>
    <v>4.08</v>
    <v>3.96</v>
    <v>3.74</v>
    <v>3.79</v>
    <v>3.8650000000000002</v>
    <v>3.85</v>
    <v>3.8050000000000002</v>
    <v>3.9024999999999999</v>
    <v>4.3899999999999997</v>
    <v>4.5199999999999996</v>
    <v>4.9215999999999998</v>
    <v>5.08</v>
    <v>5.42</v>
    <v>5.39</v>
    <v>5.26</v>
    <v>5.29</v>
    <v>5.26</v>
    <v>5.51</v>
    <v>5.32</v>
    <v>5.33</v>
    <v>5.375</v>
    <v>5.415</v>
    <v>5.3449999999999998</v>
    <v>5.37</v>
    <v>5.42</v>
    <v>5.3650000000000002</v>
    <v>5.33</v>
    <v>5.38</v>
    <v>5.4249999999999998</v>
    <v>5.13</v>
    <v>5.16</v>
    <v>5.2</v>
    <v>5.17</v>
    <v>5.1100000000000003</v>
    <v>5.13</v>
    <v>5.18</v>
    <v>5.2</v>
    <v>5.17</v>
    <v>5.34</v>
    <v>5.3101000000000003</v>
    <v>5.17</v>
    <v>5.23</v>
    <v>5.41</v>
    <v>5.39</v>
    <v>5.33</v>
    <v>5.27</v>
    <v>5.39</v>
    <v>5.5250000000000004</v>
    <v>5.5049999999999999</v>
    <v>5.46</v>
    <v>5.36</v>
    <v>5.0350000000000001</v>
    <v>5.0049999999999999</v>
    <v>5.0199999999999996</v>
    <v>5.0720000000000001</v>
    <v>5.0199999999999996</v>
    <v>4.97</v>
    <v>5.05</v>
    <v>5.1100000000000003</v>
    <v>5.0750000000000002</v>
    <v>5.0449999999999999</v>
    <v>5.15</v>
    <v>5.09</v>
    <v>5.01</v>
    <v>4.96</v>
    <v>4.8899999999999997</v>
    <v>4.84</v>
    <v>4.7699999999999996</v>
    <v>4.88</v>
    <v>4.79</v>
    <v>5.0999999999999996</v>
    <v>5.87</v>
    <v>5.98</v>
    <v>6.33</v>
    <v>6.3150000000000004</v>
    <v>6.2949999999999999</v>
    <v>6.16</v>
    <v>6.21</v>
    <v>6.0149999999999997</v>
    <v>6.05</v>
    <v>6.12</v>
    <v>6.09</v>
    <v>6.4649999999999999</v>
    <v>6.47</v>
    <v>6.4440999999999997</v>
    <v>6.4950000000000001</v>
    <v>6.3601000000000001</v>
    <v>6.3</v>
    <v>6.2549999999999999</v>
    <v>6.2949999999999999</v>
    <v>6.35</v>
    <v>6.335</v>
  </a>
  <a r="1" c="234">
    <v>8.98</v>
    <v>9.1199999999999992</v>
    <v>9.2799999999999994</v>
    <v>9.34</v>
    <v>9.15</v>
    <v>9.2100000000000009</v>
    <v>9.1300000000000008</v>
    <v>8.9700000000000006</v>
    <v>9.11</v>
    <v>9.4499999999999993</v>
    <v>9.3800000000000008</v>
    <v>9.5299999999999994</v>
    <v>9.5299999999999994</v>
    <v>9.85</v>
    <v>9.7949999999999999</v>
    <v>9.9700000000000006</v>
    <v>9.85</v>
    <v>9.8550000000000004</v>
    <v>9.74</v>
    <v>9.74</v>
    <v>9.85</v>
    <v>9.98</v>
    <v>9.91</v>
    <v>9.76</v>
    <v>9.6999999999999993</v>
    <v>9.65</v>
    <v>9.7799999999999994</v>
    <v>9.8800000000000008</v>
    <v>9.93</v>
    <v>9.92</v>
    <v>9.99</v>
    <v>10.25</v>
    <v>10.38</v>
    <v>10.43</v>
    <v>10.15</v>
    <v>10.26</v>
    <v>10.029999999999999</v>
    <v>10.07</v>
    <v>10.09</v>
    <v>10</v>
    <v>9.75</v>
    <v>9.83</v>
    <v>9.9</v>
    <v>10</v>
    <v>9.18</v>
    <v>8.94</v>
    <v>8.89</v>
    <v>8.8699999999999992</v>
    <v>9.5</v>
    <v>9.64</v>
    <v>9.5</v>
    <v>9.66</v>
    <v>9.67</v>
    <v>9.69</v>
    <v>9.41</v>
    <v>9.2799999999999994</v>
    <v>9.36</v>
    <v>9.3000000000000007</v>
    <v>9.2100000000000009</v>
    <v>9.06</v>
    <v>9.07</v>
    <v>9.1300000000000008</v>
    <v>8.9700000000000006</v>
    <v>8.25</v>
    <v>7.89</v>
    <v>7.8049999999999997</v>
    <v>8.43</v>
    <v>8.0299999999999994</v>
    <v>8.2100000000000009</v>
    <v>8.26</v>
    <v>8.39</v>
    <v>8.3699999999999992</v>
    <v>8.5399999999999991</v>
    <v>8.5500000000000007</v>
    <v>8.76</v>
    <v>8.66</v>
    <v>8.64</v>
    <v>8.51</v>
    <v>8.6999999999999993</v>
    <v>8.8800000000000008</v>
    <v>8.65</v>
    <v>8.81</v>
    <v>8.93</v>
    <v>8.86</v>
    <v>8.7200000000000006</v>
    <v>8.35</v>
    <v>8.5399999999999991</v>
    <v>8.75</v>
    <v>9.17</v>
    <v>9.19</v>
    <v>9.57</v>
    <v>9.67</v>
    <v>9.75</v>
    <v>8.8800000000000008</v>
    <v>8.5299999999999994</v>
    <v>8.49</v>
    <v>8.4700000000000006</v>
    <v>8.57</v>
    <v>8.6199999999999992</v>
    <v>8.36</v>
    <v>8.3800000000000008</v>
    <v>8.3000000000000007</v>
    <v>8.4499999999999993</v>
    <v>8.48</v>
    <v>8.6</v>
    <v>8.4499999999999993</v>
    <v>8.44</v>
    <v>8.39</v>
    <v>8.36</v>
    <v>8.2799999999999994</v>
    <v>8.15</v>
    <v>8.23</v>
    <v>8.6999999999999993</v>
    <v>8.73</v>
    <v>8.5500000000000007</v>
    <v>8.32</v>
    <v>8.15</v>
    <v>8.1300000000000008</v>
    <v>8</v>
    <v>8.24</v>
    <v>8.19</v>
    <v>8.0449999999999999</v>
    <v>8.31</v>
    <v>8.5299999999999994</v>
    <v>8.56</v>
    <v>8.4700000000000006</v>
    <v>8.75</v>
    <v>8.86</v>
    <v>8.94</v>
    <v>9.36</v>
    <v>9.3699999999999992</v>
    <v>9.35</v>
    <v>9.36</v>
    <v>9.3699999999999992</v>
    <v>9.07</v>
    <v>9.1199999999999992</v>
    <v>9.31</v>
    <v>9.6750000000000007</v>
    <v>9.3699999999999992</v>
    <v>9.36</v>
    <v>9.27</v>
    <v>9.4</v>
    <v>9.3000000000000007</v>
    <v>9.1300000000000008</v>
    <v>8.98</v>
    <v>8.9499999999999993</v>
    <v>9.0950000000000006</v>
    <v>9.25</v>
    <v>9.25</v>
    <v>9.27</v>
    <v>9.2899999999999991</v>
    <v>9.1999999999999993</v>
    <v>9.32</v>
    <v>9.34</v>
    <v>9.4</v>
    <v>8.57</v>
    <v>8.41</v>
    <v>8.4700000000000006</v>
    <v>8.3049999999999997</v>
    <v>8.4600000000000009</v>
    <v>8.3699999999999992</v>
    <v>8.36</v>
    <v>8.41</v>
    <v>8.6199999999999992</v>
    <v>8.4700000000000006</v>
    <v>8.44</v>
    <v>8.41</v>
    <v>8.44</v>
    <v>8.43</v>
    <v>8.43</v>
    <v>8.2899999999999991</v>
    <v>8.32</v>
    <v>8.36</v>
    <v>8.15</v>
    <v>8.14</v>
    <v>8.18</v>
    <v>8.17</v>
    <v>8.23</v>
    <v>8.19</v>
    <v>8.18</v>
    <v>8.19</v>
    <v>8.18</v>
    <v>8.2100000000000009</v>
    <v>8.2799999999999994</v>
    <v>8.4700000000000006</v>
    <v>8.42</v>
    <v>8.4</v>
    <v>8.3699999999999992</v>
    <v>8.36</v>
    <v>8.25</v>
    <v>8.35</v>
    <v>8.2799999999999994</v>
    <v>8.2100000000000009</v>
    <v>8.11</v>
    <v>8.23</v>
    <v>8.19</v>
    <v>8.1449999999999996</v>
    <v>8.09</v>
    <v>8.2200000000000006</v>
    <v>8.2899999999999991</v>
    <v>8.18</v>
    <v>8.18</v>
    <v>8.19</v>
    <v>8.1999999999999993</v>
    <v>8.14</v>
    <v>8.17</v>
    <v>8.09</v>
    <v>8.07</v>
    <v>8.06</v>
    <v>8.06</v>
    <v>8.11</v>
    <v>8.83</v>
    <v>9.15</v>
    <v>8.85</v>
    <v>9</v>
    <v>9.06</v>
    <v>9</v>
    <v>8.7799999999999994</v>
    <v>8.75</v>
    <v>7.93</v>
    <v>7.98</v>
    <v>7.83</v>
    <v>7.67</v>
    <v>7.76</v>
    <v>7.66</v>
    <v>7.82</v>
    <v>8</v>
    <v>8.1199999999999992</v>
    <v>8.08</v>
    <v>8.01</v>
    <v>8.09</v>
    <v>8.06</v>
    <v>7.9</v>
    <v>7.7249999999999996</v>
  </a>
  <a r="1" c="234">
    <v>2.63</v>
    <v>2.8</v>
    <v>2.69</v>
    <v>2.65</v>
    <v>2.54</v>
    <v>2.2400000000000002</v>
    <v>1.88</v>
    <v>1.99</v>
    <v>2.21</v>
    <v>2.2000000000000002</v>
    <v>2.0699999999999998</v>
    <v>2.0099999999999998</v>
    <v>2.37</v>
    <v>2.11</v>
    <v>2.04</v>
    <v>1.94</v>
    <v>1.81</v>
    <v>1.71</v>
    <v>1.69</v>
    <v>1.75</v>
    <v>1.6</v>
    <v>1.69</v>
    <v>1.64</v>
    <v>1.76</v>
    <v>1.91</v>
    <v>2.1</v>
    <v>2.1</v>
    <v>1.94</v>
    <v>1.92</v>
    <v>1.83</v>
    <v>1.65</v>
    <v>1.43</v>
    <v>1.39</v>
    <v>1.25</v>
    <v>1.1000000000000001</v>
    <v>1.04</v>
    <v>1.08</v>
    <v>0.97040000000000004</v>
    <v>0.98429999999999995</v>
    <v>0.85229999999999995</v>
    <v>0.87119999999999997</v>
    <v>0.88749999999999996</v>
    <v>0.80459999999999998</v>
    <v>0.8085</v>
    <v>0.72699999999999998</v>
    <v>0.72350000000000003</v>
    <v>0.69699999999999995</v>
    <v>0.67669999999999997</v>
    <v>0.73839999999999995</v>
    <v>0.77439999999999998</v>
    <v>0.74480000000000002</v>
    <v>0.75760000000000005</v>
    <v>0.69010000000000005</v>
    <v>0.70009999999999994</v>
    <v>0.81200000000000006</v>
    <v>0.88580000000000003</v>
    <v>0.84499999999999997</v>
    <v>0.99980000000000002</v>
    <v>1.1200000000000001</v>
    <v>1.07</v>
    <v>1.1000000000000001</v>
    <v>1.1100000000000001</v>
    <v>0.89939999999999998</v>
    <v>0.92090000000000005</v>
    <v>0.86</v>
    <v>0.75</v>
    <v>0.83009999999999995</v>
    <v>0.77510000000000001</v>
    <v>0.81399999999999995</v>
    <v>0.9143</v>
    <v>0.87419999999999998</v>
    <v>0.86370000000000002</v>
    <v>0.88790000000000002</v>
    <v>0.79810000000000003</v>
    <v>0.82010000000000005</v>
    <v>0.84189999999999998</v>
    <v>0.80049999999999999</v>
    <v>0.71509999999999996</v>
    <v>0.75109999999999999</v>
    <v>0.80679999999999996</v>
    <v>0.77680000000000005</v>
    <v>0.78849999999999998</v>
    <v>0.81859999999999999</v>
    <v>0.76429999999999998</v>
    <v>0.75719999999999998</v>
    <v>0.75349999999999995</v>
    <v>0.79090000000000005</v>
    <v>0.76500000000000001</v>
    <v>0.82979999999999998</v>
    <v>0.86370000000000002</v>
    <v>0.87590000000000001</v>
    <v>0.85670000000000002</v>
    <v>0.93010000000000004</v>
    <v>0.97940000000000005</v>
    <v>0.94259999999999999</v>
    <v>0.86509999999999998</v>
    <v>0.9093</v>
    <v>0.92679999999999996</v>
    <v>0.94220000000000004</v>
    <v>1.07</v>
    <v>1.07</v>
    <v>1.22</v>
    <v>1.47</v>
    <v>1.42</v>
    <v>1.75</v>
    <v>1.58</v>
    <v>1.7</v>
    <v>1.68</v>
    <v>1.52</v>
    <v>1.48</v>
    <v>1.71</v>
    <v>1.82</v>
    <v>1.69</v>
    <v>1.56</v>
    <v>1.55</v>
    <v>1.58</v>
    <v>1.43</v>
    <v>1.59</v>
    <v>1.6</v>
    <v>1.75</v>
    <v>1.83</v>
    <v>1.92</v>
    <v>1.96</v>
    <v>1.88</v>
    <v>1.85</v>
    <v>1.75</v>
    <v>1.79</v>
    <v>1.84</v>
    <v>2.0099999999999998</v>
    <v>2.12</v>
    <v>2.31</v>
    <v>2.29</v>
    <v>2.4</v>
    <v>2.4</v>
    <v>2.23</v>
    <v>2.25</v>
    <v>2.1</v>
    <v>2.1800000000000002</v>
    <v>2.14</v>
    <v>2.13</v>
    <v>2</v>
    <v>1.82</v>
    <v>2.0699999999999998</v>
    <v>2.12</v>
    <v>2.2000000000000002</v>
    <v>2.67</v>
    <v>3.07</v>
    <v>3.33</v>
    <v>3.25</v>
    <v>3.55</v>
    <v>3.43</v>
    <v>4.29</v>
    <v>3.52</v>
    <v>3.93</v>
    <v>3.86</v>
    <v>4.01</v>
    <v>3.59</v>
    <v>3.61</v>
    <v>3.8</v>
    <v>4.49</v>
    <v>4.8499999999999996</v>
    <v>4.97</v>
    <v>5.07</v>
    <v>5.7</v>
    <v>5.86</v>
    <v>5.46</v>
    <v>5.03</v>
    <v>5.33</v>
    <v>5.63</v>
    <v>6.06</v>
    <v>5.45</v>
    <v>5.56</v>
    <v>6.42</v>
    <v>6.56</v>
    <v>6.38</v>
    <v>6.09</v>
    <v>6.1</v>
    <v>6.6</v>
    <v>6.72</v>
    <v>7.26</v>
    <v>7.88</v>
    <v>7.35</v>
    <v>7.75</v>
    <v>7.66</v>
    <v>7.87</v>
    <v>7.72</v>
    <v>7.31</v>
    <v>9.2100000000000009</v>
    <v>9.91</v>
    <v>10.66</v>
    <v>11.09</v>
    <v>11.26</v>
    <v>10.49</v>
    <v>9.2200000000000006</v>
    <v>10.81</v>
    <v>10.41</v>
    <v>9.51</v>
    <v>8.1999999999999993</v>
    <v>7.61</v>
    <v>7.77</v>
    <v>7.19</v>
    <v>6.74</v>
    <v>7.06</v>
    <v>7.46</v>
    <v>7.53</v>
    <v>6.79</v>
    <v>6.75</v>
    <v>6.29</v>
    <v>6.44</v>
    <v>6.15</v>
    <v>5.96</v>
    <v>6</v>
    <v>5.25</v>
    <v>5.81</v>
    <v>5.88</v>
    <v>5.8</v>
    <v>5.51</v>
    <v>6.56</v>
    <v>7.18</v>
    <v>6.2549999999999999</v>
    <v>7.84</v>
    <v>7.5</v>
    <v>6.27</v>
    <v>6.7350000000000003</v>
    <v>8.7200000000000006</v>
    <v>8.44</v>
    <v>8.24</v>
    <v>7.9</v>
    <v>7.58</v>
    <v>8.07</v>
    <v>8.92</v>
    <v>9.19</v>
    <v>9.07</v>
    <v>9.02</v>
  </a>
  <a r="1" c="234">
    <v>2.79</v>
    <v>3.4</v>
    <v>3.13</v>
    <v>2.7591000000000001</v>
    <v>2.73</v>
    <v>2.46</v>
    <v>2.19</v>
    <v>2.13</v>
    <v>2.2578999999999998</v>
    <v>2.27</v>
    <v>2.2000000000000002</v>
    <v>2.1398999999999999</v>
    <v>2.46</v>
    <v>2.2999999999999998</v>
    <v>2.21</v>
    <v>2</v>
    <v>1.99</v>
    <v>1.81</v>
    <v>1.77</v>
    <v>1.835</v>
    <v>1.6794</v>
    <v>1.7</v>
    <v>1.72</v>
    <v>1.85</v>
    <v>1.92</v>
    <v>2.12</v>
    <v>2.23</v>
    <v>2.14</v>
    <v>1.9499</v>
    <v>1.9693000000000001</v>
    <v>1.94</v>
    <v>1.68</v>
    <v>1.46</v>
    <v>1.45</v>
    <v>1.26</v>
    <v>1.21</v>
    <v>1.1399999999999999</v>
    <v>1.1299999999999999</v>
    <v>1.0215000000000001</v>
    <v>1</v>
    <v>0.93620000000000003</v>
    <v>0.90339999999999998</v>
    <v>0.89900000000000002</v>
    <v>0.83</v>
    <v>0.81</v>
    <v>1.18</v>
    <v>0.70650000000000002</v>
    <v>0.7177</v>
    <v>0.74</v>
    <v>0.79100000000000004</v>
    <v>0.79579999999999995</v>
    <v>0.76580000000000004</v>
    <v>0.75680000000000003</v>
    <v>0.72</v>
    <v>0.82</v>
    <v>0.9</v>
    <v>0.97289999999999999</v>
    <v>1.01</v>
    <v>1.1399999999999999</v>
    <v>1.25</v>
    <v>1.1499999999999999</v>
    <v>1.1298999999999999</v>
    <v>1.07</v>
    <v>0.9677</v>
    <v>0.9899</v>
    <v>0.9</v>
    <v>0.84</v>
    <v>0.82030000000000003</v>
    <v>0.83</v>
    <v>0.96499999999999997</v>
    <v>0.93899999999999995</v>
    <v>0.87860000000000005</v>
    <v>0.91920000000000002</v>
    <v>0.87</v>
    <v>0.83</v>
    <v>0.9</v>
    <v>0.87929999999999997</v>
    <v>0.81559999999999999</v>
    <v>0.77890000000000004</v>
    <v>0.82930000000000004</v>
    <v>0.78859999999999997</v>
    <v>0.83289999999999997</v>
    <v>0.85370000000000001</v>
    <v>0.79890000000000005</v>
    <v>0.77900000000000003</v>
    <v>0.76239999999999997</v>
    <v>0.79879999999999995</v>
    <v>0.79630000000000001</v>
    <v>0.83899999999999997</v>
    <v>0.88639999999999997</v>
    <v>0.92</v>
    <v>0.87</v>
    <v>0.94</v>
    <v>1</v>
    <v>1.05</v>
    <v>0.99650000000000005</v>
    <v>0.91900000000000004</v>
    <v>0.96</v>
    <v>0.95369999999999999</v>
    <v>1.1499999999999999</v>
    <v>1.1000000000000001</v>
    <v>1.23</v>
    <v>1.52</v>
    <v>1.66</v>
    <v>1.79</v>
    <v>1.885</v>
    <v>1.87</v>
    <v>2.0449999999999999</v>
    <v>1.7</v>
    <v>1.6</v>
    <v>1.75</v>
    <v>1.87</v>
    <v>1.9</v>
    <v>1.6988000000000001</v>
    <v>1.61</v>
    <v>1.67</v>
    <v>1.58</v>
    <v>1.6</v>
    <v>1.85</v>
    <v>1.79</v>
    <v>1.91</v>
    <v>2.29</v>
    <v>1.96</v>
    <v>1.95</v>
    <v>2.0150000000000001</v>
    <v>1.97</v>
    <v>1.825</v>
    <v>1.93</v>
    <v>2.0499999999999998</v>
    <v>2.2400000000000002</v>
    <v>2.4500000000000002</v>
    <v>2.35</v>
    <v>2.44</v>
    <v>2.6398999999999999</v>
    <v>2.48</v>
    <v>2.7</v>
    <v>2.27</v>
    <v>2.2000000000000002</v>
    <v>2.33</v>
    <v>2.14</v>
    <v>2.2000000000000002</v>
    <v>2.0099999999999998</v>
    <v>2.14</v>
    <v>2.2200000000000002</v>
    <v>2.27</v>
    <v>2.67</v>
    <v>3.09</v>
    <v>3.37</v>
    <v>3.5</v>
    <v>3.95</v>
    <v>3.76</v>
    <v>4.3899999999999997</v>
    <v>3.79</v>
    <v>3.93</v>
    <v>4.2300000000000004</v>
    <v>4.09</v>
    <v>4.33</v>
    <v>3.66</v>
    <v>3.89</v>
    <v>4.51</v>
    <v>4.9800000000000004</v>
    <v>5.2666000000000004</v>
    <v>5.5049999999999999</v>
    <v>6.01</v>
    <v>6.1879999999999997</v>
    <v>5.95</v>
    <v>5.6779999999999999</v>
    <v>5.39</v>
    <v>5.68</v>
    <v>6.5</v>
    <v>5.59</v>
    <v>6</v>
    <v>6.44</v>
    <v>6.72</v>
    <v>6.8598999999999997</v>
    <v>6.35</v>
    <v>6.25</v>
    <v>6.64</v>
    <v>6.84</v>
    <v>7.36</v>
    <v>8.1198999999999995</v>
    <v>8.07</v>
    <v>7.84</v>
    <v>7.89</v>
    <v>8.7100000000000009</v>
    <v>8.17</v>
    <v>7.95</v>
    <v>9.34</v>
    <v>10.28</v>
    <v>11.63</v>
    <v>11.545</v>
    <v>11.6999</v>
    <v>11.39</v>
    <v>10.51</v>
    <v>11.215</v>
    <v>10.56</v>
    <v>10.87</v>
    <v>9.6300000000000008</v>
    <v>8.16</v>
    <v>8.19</v>
    <v>7.91</v>
    <v>7.26</v>
    <v>7.3</v>
    <v>8.17</v>
    <v>8.3149999999999995</v>
    <v>7.64</v>
    <v>6.95</v>
    <v>6.6150000000000002</v>
    <v>6.5</v>
    <v>6.69</v>
    <v>6.57</v>
    <v>6.25</v>
    <v>5.93</v>
    <v>5.8949999999999996</v>
    <v>6.39</v>
    <v>6.0949999999999998</v>
    <v>6.165</v>
    <v>7.34</v>
    <v>7.86</v>
    <v>7.5149999999999997</v>
    <v>7.92</v>
    <v>8.0350000000000001</v>
    <v>7.97</v>
    <v>6.85</v>
    <v>8.8000000000000007</v>
    <v>8.8800000000000008</v>
    <v>8.68</v>
    <v>8.4694000000000003</v>
    <v>8.07</v>
    <v>8.5500000000000007</v>
    <v>9.1050000000000004</v>
    <v>9.34</v>
    <v>9.3000000000000007</v>
    <v>9.75</v>
  </a>
  <a r="1" c="234">
    <v>2.4500000000000002</v>
    <v>2.76</v>
    <v>2.63</v>
    <v>2.4</v>
    <v>2.09</v>
    <v>2.2000000000000002</v>
    <v>1.8201000000000001</v>
    <v>1.9</v>
    <v>1.9993000000000001</v>
    <v>2.0049999999999999</v>
    <v>2.02</v>
    <v>1.94</v>
    <v>1.99</v>
    <v>2.1</v>
    <v>1.98</v>
    <v>1.83</v>
    <v>1.81</v>
    <v>1.64</v>
    <v>1.68</v>
    <v>1.665</v>
    <v>1.5</v>
    <v>1.62</v>
    <v>1.61</v>
    <v>1.68</v>
    <v>1.76</v>
    <v>1.8206</v>
    <v>2</v>
    <v>1.93</v>
    <v>1.84</v>
    <v>1.8049999999999999</v>
    <v>1.61</v>
    <v>1.4</v>
    <v>1.325</v>
    <v>1.24</v>
    <v>1.1000000000000001</v>
    <v>1</v>
    <v>1.03</v>
    <v>0.97</v>
    <v>0.9163</v>
    <v>0.83899999999999997</v>
    <v>0.78849999999999998</v>
    <v>0.83</v>
    <v>0.8</v>
    <v>0.75070000000000003</v>
    <v>0.68500000000000005</v>
    <v>0.68110000000000004</v>
    <v>0.56999999999999995</v>
    <v>0.65029999999999999</v>
    <v>0.65</v>
    <v>0.72440000000000004</v>
    <v>0.72009999999999996</v>
    <v>0.72099999999999997</v>
    <v>0.68</v>
    <v>0.68</v>
    <v>0.69110000000000005</v>
    <v>0.79500000000000004</v>
    <v>0.80869999999999997</v>
    <v>0.83309999999999995</v>
    <v>0.89</v>
    <v>0.89139999999999997</v>
    <v>1.0101</v>
    <v>0.99</v>
    <v>0.86</v>
    <v>0.8337</v>
    <v>0.81689999999999996</v>
    <v>0.72</v>
    <v>0.65910000000000002</v>
    <v>0.71399999999999997</v>
    <v>0.75</v>
    <v>0.85509999999999997</v>
    <v>0.85</v>
    <v>0.81530000000000002</v>
    <v>0.85099999999999998</v>
    <v>0.7712</v>
    <v>0.77</v>
    <v>0.83140000000000003</v>
    <v>0.78339999999999999</v>
    <v>0.69040000000000001</v>
    <v>0.72840000000000005</v>
    <v>0.73109999999999997</v>
    <v>0.73499999999999999</v>
    <v>0.77170000000000005</v>
    <v>0.78849999999999998</v>
    <v>0.76039999999999996</v>
    <v>0.73540000000000005</v>
    <v>0.73109999999999997</v>
    <v>0.73170000000000002</v>
    <v>0.76170000000000004</v>
    <v>0.76019999999999999</v>
    <v>0.80689999999999995</v>
    <v>0.84389999999999998</v>
    <v>0.76</v>
    <v>0.84009999999999996</v>
    <v>0.85499999999999998</v>
    <v>0.93100000000000005</v>
    <v>0.8276</v>
    <v>0.84350000000000003</v>
    <v>0.86</v>
    <v>0.89</v>
    <v>0.93200000000000005</v>
    <v>1</v>
    <v>1.07</v>
    <v>1.26</v>
    <v>1.4</v>
    <v>1.46</v>
    <v>1.5</v>
    <v>1.58</v>
    <v>1.67</v>
    <v>1.45</v>
    <v>1.4000999999999999</v>
    <v>1.51</v>
    <v>1.66</v>
    <v>1.665</v>
    <v>1.52</v>
    <v>1.46</v>
    <v>1.52</v>
    <v>1.36</v>
    <v>1.4650000000000001</v>
    <v>1.55</v>
    <v>1.53</v>
    <v>1.69</v>
    <v>1.91</v>
    <v>1.8</v>
    <v>1.8</v>
    <v>1.82</v>
    <v>1.72</v>
    <v>1.71</v>
    <v>1.7949999999999999</v>
    <v>1.8</v>
    <v>2.0499999999999998</v>
    <v>2.12</v>
    <v>2.2000000000000002</v>
    <v>2.19</v>
    <v>2.2799999999999998</v>
    <v>2.19</v>
    <v>2.2400000000000002</v>
    <v>2.02</v>
    <v>2.0499999999999998</v>
    <v>2.13</v>
    <v>2.06</v>
    <v>1.98</v>
    <v>1.78</v>
    <v>1.85</v>
    <v>2.0299999999999998</v>
    <v>2.0099999999999998</v>
    <v>2.25</v>
    <v>2.66</v>
    <v>2.92</v>
    <v>3.085</v>
    <v>3.395</v>
    <v>3.31</v>
    <v>3.86</v>
    <v>3.44</v>
    <v>3.43</v>
    <v>3.7450000000000001</v>
    <v>3.7250000000000001</v>
    <v>3.56</v>
    <v>3.2</v>
    <v>3.51</v>
    <v>3.8</v>
    <v>4.53</v>
    <v>4.71</v>
    <v>5.01</v>
    <v>5.2</v>
    <v>5.54</v>
    <v>5.33</v>
    <v>5.01</v>
    <v>4.9000000000000004</v>
    <v>5.03</v>
    <v>5.6</v>
    <v>5.21</v>
    <v>5.3849999999999998</v>
    <v>5.41</v>
    <v>6.2</v>
    <v>6.25</v>
    <v>5.92</v>
    <v>5.75</v>
    <v>6.01</v>
    <v>6.42</v>
    <v>6.58</v>
    <v>7.23</v>
    <v>7.25</v>
    <v>6.79</v>
    <v>7.36</v>
    <v>7.8</v>
    <v>7.57</v>
    <v>7.18</v>
    <v>7.66</v>
    <v>9.1900999999999993</v>
    <v>10.27</v>
    <v>10.45</v>
    <v>10.713200000000001</v>
    <v>10.375</v>
    <v>9.1900999999999993</v>
    <v>9.6831999999999994</v>
    <v>9.8800000000000008</v>
    <v>9.16</v>
    <v>7.92</v>
    <v>7.5549999999999997</v>
    <v>7.33</v>
    <v>7.1245000000000003</v>
    <v>6.4649999999999999</v>
    <v>6.65</v>
    <v>7.4050000000000002</v>
    <v>7.52</v>
    <v>6.66</v>
    <v>6.52</v>
    <v>6.2050000000000001</v>
    <v>6.12</v>
    <v>5.78</v>
    <v>5.77</v>
    <v>5.83</v>
    <v>5.2149999999999999</v>
    <v>4.95</v>
    <v>5.77</v>
    <v>5.6</v>
    <v>5.48</v>
    <v>6.31</v>
    <v>6.1</v>
    <v>5.98</v>
    <v>6.15</v>
    <v>7.26</v>
    <v>6.25</v>
    <v>5.93</v>
    <v>6.67</v>
    <v>8.07</v>
    <v>7.6849999999999996</v>
    <v>7.8</v>
    <v>7.47</v>
    <v>7.32</v>
    <v>7.46</v>
    <v>8.52</v>
    <v>8.58</v>
    <v>8.9700000000000006</v>
  </a>
  <a r="1" c="50">
    <v t="i">1</v>
    <v t="i">8</v>
    <v t="i">15</v>
    <v t="i">23</v>
    <v t="i">29</v>
    <v t="i">36</v>
    <v t="i">43</v>
    <v t="i">51</v>
    <v t="i">57</v>
    <v t="i">64</v>
    <v t="i">71</v>
    <v t="i">78</v>
    <v t="i">85</v>
    <v t="i">92</v>
    <v t="i">99</v>
    <v t="i">106</v>
    <v t="i">113</v>
    <v t="i">120</v>
    <v t="i">127</v>
    <v t="i">134</v>
    <v t="i">141</v>
    <v t="i">149</v>
    <v t="i">155</v>
    <v t="i">162</v>
    <v t="i">169</v>
    <v t="i">176</v>
    <v t="i">183</v>
    <v t="i">190</v>
    <v t="i">197</v>
    <v t="i">204</v>
    <v t="i">211</v>
    <v t="i">218</v>
    <v t="i">225</v>
    <v t="i">232</v>
    <v t="i">239</v>
    <v t="i">247</v>
    <v t="i">253</v>
    <v t="i">260</v>
    <v t="i">267</v>
    <v t="i">274</v>
    <v t="i">281</v>
    <v t="i">288</v>
    <v t="i">295</v>
    <v t="i">302</v>
    <v t="i">309</v>
    <v t="i">316</v>
    <v t="i">323</v>
    <v t="i">330</v>
    <v t="i">337</v>
    <v t="i">344</v>
  </a>
  <a r="1" c="50">
    <v>2.8</v>
    <v>2.2400000000000002</v>
    <v>2.0699999999999998</v>
    <v>2.04</v>
    <v>1.75</v>
    <v>1.91</v>
    <v>1.83</v>
    <v>1.25</v>
    <v>0.98429999999999995</v>
    <v>0.8085</v>
    <v>0.73839999999999995</v>
    <v>0.70009999999999994</v>
    <v>1.1200000000000001</v>
    <v>0.92090000000000005</v>
    <v>0.81399999999999995</v>
    <v>0.88790000000000002</v>
    <v>0.71509999999999996</v>
    <v>0.81859999999999999</v>
    <v>0.76500000000000001</v>
    <v>0.93010000000000004</v>
    <v>0.92679999999999996</v>
    <v>1.22</v>
    <v>1.7</v>
    <v>1.82</v>
    <v>1.58</v>
    <v>1.83</v>
    <v>1.85</v>
    <v>2.12</v>
    <v>2.23</v>
    <v>2.13</v>
    <v>2.2000000000000002</v>
    <v>3.55</v>
    <v>3.86</v>
    <v>4.49</v>
    <v>5.86</v>
    <v>5.63</v>
    <v>6.56</v>
    <v>6.72</v>
    <v>7.66</v>
    <v>9.91</v>
    <v>9.2200000000000006</v>
    <v>7.61</v>
    <v>7.46</v>
    <v>6.44</v>
    <v>5.81</v>
    <v>7.18</v>
    <v>6.7350000000000003</v>
    <v>7.9</v>
    <v>9.07</v>
    <v>9.02</v>
  </a>
  <a r="1" c="50">
    <v>3.4</v>
    <v>3.13</v>
    <v>2.27</v>
    <v>2.46</v>
    <v>2</v>
    <v>1.92</v>
    <v>2.23</v>
    <v>1.94</v>
    <v>1.26</v>
    <v>1</v>
    <v>1.18</v>
    <v>0.79579999999999995</v>
    <v>1.1399999999999999</v>
    <v>1.25</v>
    <v>0.9899</v>
    <v>0.96499999999999997</v>
    <v>0.9</v>
    <v>0.85370000000000001</v>
    <v>0.79890000000000005</v>
    <v>0.94</v>
    <v>1.05</v>
    <v>1.23</v>
    <v>1.885</v>
    <v>2.0449999999999999</v>
    <v>1.9</v>
    <v>1.91</v>
    <v>2.29</v>
    <v>2.2400000000000002</v>
    <v>2.6398999999999999</v>
    <v>2.7</v>
    <v>2.27</v>
    <v>3.95</v>
    <v>4.3899999999999997</v>
    <v>4.51</v>
    <v>6.1879999999999997</v>
    <v>5.95</v>
    <v>6.72</v>
    <v>6.8598999999999997</v>
    <v>8.1198999999999995</v>
    <v>10.28</v>
    <v>11.6999</v>
    <v>11.215</v>
    <v>8.19</v>
    <v>8.3149999999999995</v>
    <v>6.69</v>
    <v>7.86</v>
    <v>8.0350000000000001</v>
    <v>8.8800000000000008</v>
    <v>9.34</v>
    <v>9.75</v>
  </a>
  <a r="1" c="50">
    <v>2.2799999999999998</v>
    <v>2.09</v>
    <v>1.8201000000000001</v>
    <v>1.94</v>
    <v>1.64</v>
    <v>1.5</v>
    <v>1.8049999999999999</v>
    <v>1.24</v>
    <v>0.9163</v>
    <v>0.75070000000000003</v>
    <v>0.56999999999999995</v>
    <v>0.68</v>
    <v>0.69110000000000005</v>
    <v>0.8337</v>
    <v>0.65910000000000002</v>
    <v>0.81530000000000002</v>
    <v>0.69040000000000001</v>
    <v>0.72840000000000005</v>
    <v>0.73109999999999997</v>
    <v>0.76</v>
    <v>0.8276</v>
    <v>0.89</v>
    <v>1.26</v>
    <v>1.4000999999999999</v>
    <v>1.46</v>
    <v>1.36</v>
    <v>1.8</v>
    <v>1.71</v>
    <v>2.12</v>
    <v>2.02</v>
    <v>1.78</v>
    <v>2.25</v>
    <v>3.31</v>
    <v>3.2</v>
    <v>4.53</v>
    <v>4.9000000000000004</v>
    <v>5.21</v>
    <v>5.75</v>
    <v>6.58</v>
    <v>7.18</v>
    <v>9.1900999999999993</v>
    <v>7.5549999999999997</v>
    <v>6.4649999999999999</v>
    <v>6.12</v>
    <v>4.95</v>
    <v>5.48</v>
    <v>5.93</v>
    <v>6.67</v>
    <v>7.32</v>
    <v>8.9700000000000006</v>
  </a>
</arrayData>
</file>

<file path=xl/richData/rdrichvalue.xml><?xml version="1.0" encoding="utf-8"?>
<rvData xmlns="http://schemas.microsoft.com/office/spreadsheetml/2017/richdata" count="1960">
  <rv s="0">
    <fb>45856</fb>
    <v>0</v>
  </rv>
  <rv s="0">
    <fb>8.73</fb>
    <v>1</v>
  </rv>
  <rv s="0">
    <fb>8.98</fb>
    <v>1</v>
  </rv>
  <rv s="0">
    <fb>8.5399999999999991</fb>
    <v>1</v>
  </rv>
  <rv s="0">
    <fb>45659</fb>
    <v>0</v>
  </rv>
  <rv s="0">
    <fb>14.88</fb>
    <v>1</v>
  </rv>
  <rv s="0">
    <fb>14.99</fb>
    <v>1</v>
  </rv>
  <rv s="0">
    <fb>14.7</fb>
    <v>1</v>
  </rv>
  <rv s="0">
    <fb>45859</fb>
    <v>0</v>
  </rv>
  <rv s="0">
    <fb>8.4499999999999993</fb>
    <v>1</v>
  </rv>
  <rv s="0">
    <fb>8.7788000000000004</fb>
    <v>1</v>
  </rv>
  <rv s="0">
    <fb>8.42</fb>
    <v>1</v>
  </rv>
  <rv s="0">
    <fb>45660</fb>
    <v>0</v>
  </rv>
  <rv s="0">
    <fb>15.05</fb>
    <v>1</v>
  </rv>
  <rv s="0">
    <fb>15.21</fb>
    <v>1</v>
  </rv>
  <rv s="0">
    <fb>14.872</fb>
    <v>1</v>
  </rv>
  <rv s="0">
    <fb>45860</fb>
    <v>0</v>
  </rv>
  <rv s="0">
    <fb>8.64</fb>
    <v>1</v>
  </rv>
  <rv s="0">
    <fb>8.69</fb>
    <v>1</v>
  </rv>
  <rv s="0">
    <fb>8.48</fb>
    <v>1</v>
  </rv>
  <rv s="0">
    <fb>45663</fb>
    <v>0</v>
  </rv>
  <rv s="0">
    <fb>15.37</fb>
    <v>1</v>
  </rv>
  <rv s="0">
    <fb>15.53</fb>
    <v>1</v>
  </rv>
  <rv s="0">
    <fb>15.11</fb>
    <v>1</v>
  </rv>
  <rv s="0">
    <fb>45861</fb>
    <v>0</v>
  </rv>
  <rv s="0">
    <fb>8.92</fb>
    <v>1</v>
  </rv>
  <rv s="0">
    <fb>8.9649999999999999</fb>
    <v>1</v>
  </rv>
  <rv s="0">
    <fb>8.5815999999999999</fb>
    <v>1</v>
  </rv>
  <rv s="0">
    <fb>45664</fb>
    <v>0</v>
  </rv>
  <rv s="0">
    <fb>15.72</fb>
    <v>1</v>
  </rv>
  <rv s="0">
    <fb>45862</fb>
    <v>0</v>
  </rv>
  <rv s="0">
    <fb>9.2799999999999994</fb>
    <v>1</v>
  </rv>
  <rv s="0">
    <fb>9.33</fb>
    <v>1</v>
  </rv>
  <rv s="0">
    <fb>8.86</fb>
    <v>1</v>
  </rv>
  <rv s="0">
    <fb>45665</fb>
    <v>0</v>
  </rv>
  <rv s="0">
    <fb>15.73</fb>
    <v>1</v>
  </rv>
  <rv s="0">
    <fb>15.765000000000001</fb>
    <v>1</v>
  </rv>
  <rv s="0">
    <fb>15.43</fb>
    <v>1</v>
  </rv>
  <rv s="0">
    <fb>45863</fb>
    <v>0</v>
  </rv>
  <rv s="0">
    <fb>9.1999999999999993</fb>
    <v>1</v>
  </rv>
  <rv s="0">
    <fb>9.3255999999999997</fb>
    <v>1</v>
  </rv>
  <rv s="0">
    <fb>9.125</fb>
    <v>1</v>
  </rv>
  <rv s="0">
    <fb>45667</fb>
    <v>0</v>
  </rv>
  <rv s="0">
    <fb>15.86</fb>
    <v>1</v>
  </rv>
  <rv s="0">
    <fb>16.239999999999998</fb>
    <v>1</v>
  </rv>
  <rv s="0">
    <fb>15.835000000000001</fb>
    <v>1</v>
  </rv>
  <rv s="0">
    <fb>45866</fb>
    <v>0</v>
  </rv>
  <rv s="0">
    <fb>9.5299999999999994</fb>
    <v>1</v>
  </rv>
  <rv s="0">
    <fb>9.56</fb>
    <v>1</v>
  </rv>
  <rv s="0">
    <fb>9.3000000000000007</fb>
    <v>1</v>
  </rv>
  <rv s="0">
    <fb>45670</fb>
    <v>0</v>
  </rv>
  <rv s="0">
    <fb>16.41</fb>
    <v>1</v>
  </rv>
  <rv s="0">
    <fb>16.559999999999999</fb>
    <v>1</v>
  </rv>
  <rv s="0">
    <fb>15.89</fb>
    <v>1</v>
  </rv>
  <rv s="0">
    <fb>45867</fb>
    <v>0</v>
  </rv>
  <rv s="0">
    <fb>9.65</fb>
    <v>1</v>
  </rv>
  <rv s="0">
    <fb>9.69</fb>
    <v>1</v>
  </rv>
  <rv s="0">
    <fb>45671</fb>
    <v>0</v>
  </rv>
  <rv s="0">
    <fb>16.59</fb>
    <v>1</v>
  </rv>
  <rv s="0">
    <fb>16.672499999999999</fb>
    <v>1</v>
  </rv>
  <rv s="0">
    <fb>16.29</fb>
    <v>1</v>
  </rv>
  <rv s="0">
    <fb>45868</fb>
    <v>0</v>
  </rv>
  <rv s="0">
    <fb>9.4499999999999993</fb>
    <v>1</v>
  </rv>
  <rv s="0">
    <fb>9.66</fb>
    <v>1</v>
  </rv>
  <rv s="0">
    <fb>9.375</fb>
    <v>1</v>
  </rv>
  <rv s="0">
    <fb>45672</fb>
    <v>0</v>
  </rv>
  <rv s="0">
    <fb>16.68</fb>
    <v>1</v>
  </rv>
  <rv s="0">
    <fb>16.939800000000002</fb>
    <v>1</v>
  </rv>
  <rv s="0">
    <fb>16.63</fb>
    <v>1</v>
  </rv>
  <rv s="0">
    <fb>45869</fb>
    <v>0</v>
  </rv>
  <rv s="0">
    <fb>9.24</fb>
    <v>1</v>
  </rv>
  <rv s="0">
    <fb>9.4600000000000009</fb>
    <v>1</v>
  </rv>
  <rv s="0">
    <fb>9.1199999999999992</fb>
    <v>1</v>
  </rv>
  <rv s="0">
    <fb>45673</fb>
    <v>0</v>
  </rv>
  <rv s="0">
    <fb>16.739999999999998</fb>
    <v>1</v>
  </rv>
  <rv s="0">
    <fb>16.885000000000002</fb>
    <v>1</v>
  </rv>
  <rv s="0">
    <fb>16.55</fb>
    <v>1</v>
  </rv>
  <rv s="0">
    <fb>45870</fb>
    <v>0</v>
  </rv>
  <rv s="0">
    <fb>8.9600000000000009</fb>
    <v>1</v>
  </rv>
  <rv s="0">
    <fb>9.1300000000000008</fb>
    <v>1</v>
  </rv>
  <rv s="0">
    <fb>45674</fb>
    <v>0</v>
  </rv>
  <rv s="0">
    <fb>16.62</fb>
    <v>1</v>
  </rv>
  <rv s="0">
    <fb>16.849399999999999</fb>
    <v>1</v>
  </rv>
  <rv s="0">
    <fb>16.38</fb>
    <v>1</v>
  </rv>
  <rv s="0">
    <fb>45873</fb>
    <v>0</v>
  </rv>
  <rv s="0">
    <fb>8.8800000000000008</fb>
    <v>1</v>
  </rv>
  <rv s="0">
    <fb>8.76</fb>
    <v>1</v>
  </rv>
  <rv s="0">
    <fb>45678</fb>
    <v>0</v>
  </rv>
  <rv s="0">
    <fb>16.260000000000002</fb>
    <v>1</v>
  </rv>
  <rv s="0">
    <fb>16.560099999999998</fb>
    <v>1</v>
  </rv>
  <rv s="0">
    <fb>16.055</fb>
    <v>1</v>
  </rv>
  <rv s="0">
    <fb>45874</fb>
    <v>0</v>
  </rv>
  <rv s="0">
    <fb>9.36</fb>
    <v>1</v>
  </rv>
  <rv s="0">
    <fb>9.5150000000000006</fb>
    <v>1</v>
  </rv>
  <rv s="0">
    <fb>9.01</fb>
    <v>1</v>
  </rv>
  <rv s="0">
    <fb>45679</fb>
    <v>0</v>
  </rv>
  <rv s="0">
    <fb>16.16</fb>
    <v>1</v>
  </rv>
  <rv s="0">
    <fb>16.434999999999999</fb>
    <v>1</v>
  </rv>
  <rv s="0">
    <fb>16.010000000000002</fb>
    <v>1</v>
  </rv>
  <rv s="0">
    <fb>45875</fb>
    <v>0</v>
  </rv>
  <rv s="0">
    <fb>9.23</fb>
    <v>1</v>
  </rv>
  <rv s="0">
    <fb>9.76</fb>
    <v>1</v>
  </rv>
  <rv s="0">
    <fb>9.2149999999999999</fb>
    <v>1</v>
  </rv>
  <rv s="0">
    <fb>45680</fb>
    <v>0</v>
  </rv>
  <rv s="0">
    <fb>16.34</fb>
    <v>1</v>
  </rv>
  <rv s="0">
    <fb>16.545000000000002</fb>
    <v>1</v>
  </rv>
  <rv s="0">
    <fb>16.11</fb>
    <v>1</v>
  </rv>
  <rv s="0">
    <fb>45876</fb>
    <v>0</v>
  </rv>
  <rv s="0">
    <fb>9.57</fb>
    <v>1</v>
  </rv>
  <rv s="0">
    <fb>9.15</fb>
    <v>1</v>
  </rv>
  <rv s="0">
    <fb>45681</fb>
    <v>0</v>
  </rv>
  <rv s="0">
    <fb>15.99</fb>
    <v>1</v>
  </rv>
  <rv s="0">
    <fb>16.489999999999998</fb>
    <v>1</v>
  </rv>
  <rv s="0">
    <fb>15.93</fb>
    <v>1</v>
  </rv>
  <rv s="0">
    <fb>45877</fb>
    <v>0</v>
  </rv>
  <rv s="0">
    <fb>9.4450000000000003</fb>
    <v>1</v>
  </rv>
  <rv s="0">
    <fb>9.0749999999999993</fb>
    <v>1</v>
  </rv>
  <rv s="0">
    <fb>45684</fb>
    <v>0</v>
  </rv>
  <rv s="0">
    <fb>15.82</fb>
    <v>1</v>
  </rv>
  <rv s="0">
    <fb>16.094999999999999</fb>
    <v>1</v>
  </rv>
  <rv s="0">
    <fb>15.48</fb>
    <v>1</v>
  </rv>
  <rv s="0">
    <fb>45880</fb>
    <v>0</v>
  </rv>
  <rv s="0">
    <fb>8.99</fb>
    <v>1</v>
  </rv>
  <rv s="0">
    <fb>45685</fb>
    <v>0</v>
  </rv>
  <rv s="0">
    <fb>15.63</fb>
    <v>1</v>
  </rv>
  <rv s="0">
    <fb>16.02</fb>
    <v>1</v>
  </rv>
  <rv s="0">
    <fb>15.31</fb>
    <v>1</v>
  </rv>
  <rv s="0">
    <fb>45881</fb>
    <v>0</v>
  </rv>
  <rv s="0">
    <fb>9.34</fb>
    <v>1</v>
  </rv>
  <rv s="0">
    <fb>9.3699999999999992</fb>
    <v>1</v>
  </rv>
  <rv s="0">
    <fb>45686</fb>
    <v>0</v>
  </rv>
  <rv s="0">
    <fb>15.64</fb>
    <v>1</v>
  </rv>
  <rv s="0">
    <fb>15.79</fb>
    <v>1</v>
  </rv>
  <rv s="0">
    <fb>15.44</fb>
    <v>1</v>
  </rv>
  <rv s="0">
    <fb>45882</fb>
    <v>0</v>
  </rv>
  <rv s="0">
    <fb>9.5749999999999993</fb>
    <v>1</v>
  </rv>
  <rv s="0">
    <fb>9.26</fb>
    <v>1</v>
  </rv>
  <rv s="0">
    <fb>45687</fb>
    <v>0</v>
  </rv>
  <rv s="0">
    <fb>15.45</fb>
    <v>1</v>
  </rv>
  <rv s="0">
    <fb>15.734999999999999</fb>
    <v>1</v>
  </rv>
  <rv s="0">
    <fb>15.38</fb>
    <v>1</v>
  </rv>
  <rv s="0">
    <fb>45883</fb>
    <v>0</v>
  </rv>
  <rv s="0">
    <fb>45688</fb>
    <v>0</v>
  </rv>
  <rv s="0">
    <fb>15.06</fb>
    <v>1</v>
  </rv>
  <rv s="0">
    <fb>14.82</fb>
    <v>1</v>
  </rv>
  <rv s="0">
    <fb>45884</fb>
    <v>0</v>
  </rv>
  <rv s="0">
    <fb>9.42</fb>
    <v>1</v>
  </rv>
  <rv s="0">
    <fb>9.6988000000000003</fb>
    <v>1</v>
  </rv>
  <rv s="0">
    <fb>9.3847000000000005</fb>
    <v>1</v>
  </rv>
  <rv s="0">
    <fb>45691</fb>
    <v>0</v>
  </rv>
  <rv s="0">
    <fb>15.03</fb>
    <v>1</v>
  </rv>
  <rv s="0">
    <fb>15.24</fb>
    <v>1</v>
  </rv>
  <rv s="0">
    <fb>14.73</fb>
    <v>1</v>
  </rv>
  <rv s="0">
    <fb>45887</fb>
    <v>0</v>
  </rv>
  <rv s="0">
    <fb>9.32</fb>
    <v>1</v>
  </rv>
  <rv s="0">
    <fb>9.4149999999999991</fb>
    <v>1</v>
  </rv>
  <rv s="0">
    <fb>9.14</fb>
    <v>1</v>
  </rv>
  <rv s="0">
    <fb>45692</fb>
    <v>0</v>
  </rv>
  <rv s="0">
    <fb>15.33</fb>
    <v>1</v>
  </rv>
  <rv s="0">
    <fb>14.8</fb>
    <v>1</v>
  </rv>
  <rv s="0">
    <fb>45888</fb>
    <v>0</v>
  </rv>
  <rv s="0">
    <fb>9.2200000000000006</fb>
    <v>1</v>
  </rv>
  <rv s="0">
    <fb>9.48</fb>
    <v>1</v>
  </rv>
  <rv s="0">
    <fb>9.1649999999999991</fb>
    <v>1</v>
  </rv>
  <rv s="0">
    <fb>45693</fb>
    <v>0</v>
  </rv>
  <rv s="0">
    <fb>15.09</fb>
    <v>1</v>
  </rv>
  <rv s="0">
    <fb>15.324999999999999</fb>
    <v>1</v>
  </rv>
  <rv s="0">
    <fb>45889</fb>
    <v>0</v>
  </rv>
  <rv s="0">
    <fb>9.39</fb>
    <v>1</v>
  </rv>
  <rv s="0">
    <fb>45694</fb>
    <v>0</v>
  </rv>
  <rv s="0">
    <fb>14.63</fb>
    <v>1</v>
  </rv>
  <rv s="0">
    <fb>15.179</fb>
    <v>1</v>
  </rv>
  <rv s="0">
    <fb>14.494999999999999</fb>
    <v>1</v>
  </rv>
  <rv s="0">
    <fb>45890</fb>
    <v>0</v>
  </rv>
  <rv s="0">
    <fb>9.3800000000000008</fb>
    <v>1</v>
  </rv>
  <rv s="0">
    <fb>9.5050000000000008</fb>
    <v>1</v>
  </rv>
  <rv s="0">
    <fb>45695</fb>
    <v>0</v>
  </rv>
  <rv s="0">
    <fb>14.66</fb>
    <v>1</v>
  </rv>
  <rv s="0">
    <fb>14.87</fb>
    <v>1</v>
  </rv>
  <rv s="0">
    <fb>45891</fb>
    <v>0</v>
  </rv>
  <rv s="0">
    <fb>9.94</fb>
    <v>1</v>
  </rv>
  <rv s="0">
    <fb>9.99</fb>
    <v>1</v>
  </rv>
  <rv s="0">
    <fb>45698</fb>
    <v>0</v>
  </rv>
  <rv s="0">
    <fb>15.02</fb>
    <v>1</v>
  </rv>
  <rv s="0">
    <fb>14.78</fb>
    <v>1</v>
  </rv>
  <rv s="0">
    <fb>45894</fb>
    <v>0</v>
  </rv>
  <rv s="0">
    <fb>9.5399999999999991</fb>
    <v>1</v>
  </rv>
  <rv s="0">
    <fb>9.61</fb>
    <v>1</v>
  </rv>
  <rv s="0">
    <fb>8.82</fb>
    <v>1</v>
  </rv>
  <rv s="0">
    <fb>45699</fb>
    <v>0</v>
  </rv>
  <rv s="0">
    <fb>15.51</fb>
    <v>1</v>
  </rv>
  <rv s="0">
    <fb>15.005000000000001</fb>
    <v>1</v>
  </rv>
  <rv s="0">
    <fb>45895</fb>
    <v>0</v>
  </rv>
  <rv s="0">
    <fb>9.02</fb>
    <v>1</v>
  </rv>
  <rv s="0">
    <fb>45700</fb>
    <v>0</v>
  </rv>
  <rv s="0">
    <fb>14.48</fb>
    <v>1</v>
  </rv>
  <rv s="0">
    <fb>15.04</fb>
    <v>1</v>
  </rv>
  <rv s="0">
    <fb>14.42</fb>
    <v>1</v>
  </rv>
  <rv s="0">
    <fb>45896</fb>
    <v>0</v>
  </rv>
  <rv s="0">
    <fb>9.625</fb>
    <v>1</v>
  </rv>
  <rv s="0">
    <fb>8.9949999999999992</fb>
    <v>1</v>
  </rv>
  <rv s="0">
    <fb>45701</fb>
    <v>0</v>
  </rv>
  <rv s="0">
    <fb>14.52</fb>
    <v>1</v>
  </rv>
  <rv s="0">
    <fb>14.57</fb>
    <v>1</v>
  </rv>
  <rv s="0">
    <fb>14.29</fb>
    <v>1</v>
  </rv>
  <rv s="0">
    <fb>45897</fb>
    <v>0</v>
  </rv>
  <rv s="0">
    <fb>9.6199999999999992</fb>
    <v>1</v>
  </rv>
  <rv s="0">
    <fb>45702</fb>
    <v>0</v>
  </rv>
  <rv s="0">
    <fb>15</fb>
    <v>1</v>
  </rv>
  <rv s="0">
    <fb>45898</fb>
    <v>0</v>
  </rv>
  <rv s="0">
    <fb>9.4747000000000003</fb>
    <v>1</v>
  </rv>
  <rv s="0">
    <fb>45706</fb>
    <v>0</v>
  </rv>
  <rv s="0">
    <fb>15.15</fb>
    <v>1</v>
  </rv>
  <rv s="0">
    <fb>15.49</fb>
    <v>1</v>
  </rv>
  <rv s="0">
    <fb>14.61</fb>
    <v>1</v>
  </rv>
  <rv s="0">
    <fb>45902</fb>
    <v>0</v>
  </rv>
  <rv s="0">
    <fb>9.9</fb>
    <v>1</v>
  </rv>
  <rv s="0">
    <fb>9.91</fb>
    <v>1</v>
  </rv>
  <rv s="0">
    <fb>45707</fb>
    <v>0</v>
  </rv>
  <rv s="0">
    <fb>15.18</fb>
    <v>1</v>
  </rv>
  <rv s="0">
    <fb>15.58</fb>
    <v>1</v>
  </rv>
  <rv s="0">
    <fb>15.1</fb>
    <v>1</v>
  </rv>
  <rv s="0">
    <fb>45903</fb>
    <v>0</v>
  </rv>
  <rv s="0">
    <fb>9.43</fb>
    <v>1</v>
  </rv>
  <rv s="0">
    <fb>45708</fb>
    <v>0</v>
  </rv>
  <rv s="0">
    <fb>15.01</fb>
    <v>1</v>
  </rv>
  <rv s="0">
    <fb>15.244999999999999</fb>
    <v>1</v>
  </rv>
  <rv s="0">
    <fb>14.845000000000001</fb>
    <v>1</v>
  </rv>
  <rv s="0">
    <fb>45904</fb>
    <v>0</v>
  </rv>
  <rv s="0">
    <fb>9.49</fb>
    <v>1</v>
  </rv>
  <rv s="0">
    <fb>45709</fb>
    <v>0</v>
  </rv>
  <rv s="0">
    <fb>14.26</fb>
    <v>1</v>
  </rv>
  <rv s="0">
    <fb>15.13</fb>
    <v>1</v>
  </rv>
  <rv s="0">
    <fb>14.1701</fb>
    <v>1</v>
  </rv>
  <rv s="0">
    <fb>45905</fb>
    <v>0</v>
  </rv>
  <rv s="0">
    <fb>9.2100000000000009</fb>
    <v>1</v>
  </rv>
  <rv s="0">
    <fb>8.6300000000000008</fb>
    <v>1</v>
  </rv>
  <rv s="0">
    <fb>45712</fb>
    <v>0</v>
  </rv>
  <rv s="0">
    <fb>14.2</fb>
    <v>1</v>
  </rv>
  <rv s="0">
    <fb>14.435</fb>
    <v>1</v>
  </rv>
  <rv s="0">
    <fb>14.12</fb>
    <v>1</v>
  </rv>
  <rv s="0">
    <fb>45908</fb>
    <v>0</v>
  </rv>
  <rv s="0">
    <fb>8.34</fb>
    <v>1</v>
  </rv>
  <rv s="0">
    <fb>8.84</fb>
    <v>1</v>
  </rv>
  <rv s="0">
    <fb>8.33</fb>
    <v>1</v>
  </rv>
  <rv s="0">
    <fb>45713</fb>
    <v>0</v>
  </rv>
  <rv s="0">
    <fb>13.69</fb>
    <v>1</v>
  </rv>
  <rv s="0">
    <fb>14.21</fb>
    <v>1</v>
  </rv>
  <rv s="0">
    <fb>13.664999999999999</fb>
    <v>1</v>
  </rv>
  <rv s="0">
    <fb>45909</fb>
    <v>0</v>
  </rv>
  <rv s="0">
    <fb>8.2200000000000006</fb>
    <v>1</v>
  </rv>
  <rv s="0">
    <fb>8.6</fb>
    <v>1</v>
  </rv>
  <rv s="0">
    <fb>45714</fb>
    <v>0</v>
  </rv>
  <rv s="0">
    <fb>13.47</fb>
    <v>1</v>
  </rv>
  <rv s="0">
    <fb>13.775</fb>
    <v>1</v>
  </rv>
  <rv s="0">
    <fb>13.26</fb>
    <v>1</v>
  </rv>
  <rv s="0">
    <fb>45910</fb>
    <v>0</v>
  </rv>
  <rv s="0">
    <fb>8.6999999999999993</fb>
    <v>1</v>
  </rv>
  <rv s="0">
    <fb>8.24</fb>
    <v>1</v>
  </rv>
  <rv s="0">
    <fb>45715</fb>
    <v>0</v>
  </rv>
  <rv s="0">
    <fb>12.78</fb>
    <v>1</v>
  </rv>
  <rv s="0">
    <fb>13.39</fb>
    <v>1</v>
  </rv>
  <rv s="0">
    <fb>12.643000000000001</fb>
    <v>1</v>
  </rv>
  <rv s="0">
    <fb>45911</fb>
    <v>0</v>
  </rv>
  <rv s="0">
    <fb>8.8000000000000007</fb>
    <v>1</v>
  </rv>
  <rv s="0">
    <fb>8.81</fb>
    <v>1</v>
  </rv>
  <rv s="0">
    <fb>45716</fb>
    <v>0</v>
  </rv>
  <rv s="0">
    <fb>12.62</fb>
    <v>1</v>
  </rv>
  <rv s="0">
    <fb>12.845000000000001</fb>
    <v>1</v>
  </rv>
  <rv s="0">
    <fb>12.42</fb>
    <v>1</v>
  </rv>
  <rv s="0">
    <fb>45912</fb>
    <v>0</v>
  </rv>
  <rv s="0">
    <fb>8.67</fb>
    <v>1</v>
  </rv>
  <rv s="0">
    <fb>8.93</fb>
    <v>1</v>
  </rv>
  <rv s="0">
    <fb>8.6199999999999992</fb>
    <v>1</v>
  </rv>
  <rv s="0">
    <fb>45719</fb>
    <v>0</v>
  </rv>
  <rv s="0">
    <fb>11.55</fb>
    <v>1</v>
  </rv>
  <rv s="0">
    <fb>12.71</fb>
    <v>1</v>
  </rv>
  <rv s="0">
    <fb>11.47</fb>
    <v>1</v>
  </rv>
  <rv s="0">
    <fb>45915</fb>
    <v>0</v>
  </rv>
  <rv s="0">
    <fb>8.74</fb>
    <v>1</v>
  </rv>
  <rv s="0">
    <fb>45720</fb>
    <v>0</v>
  </rv>
  <rv s="0">
    <fb>11.29</fb>
    <v>1</v>
  </rv>
  <rv s="0">
    <fb>11.62</fb>
    <v>1</v>
  </rv>
  <rv s="0">
    <fb>10.96</fb>
    <v>1</v>
  </rv>
  <rv s="0">
    <fb>45916</fb>
    <v>0</v>
  </rv>
  <rv s="0">
    <fb>8.8055000000000003</fb>
    <v>1</v>
  </rv>
  <rv s="0">
    <fb>8.51</fb>
    <v>1</v>
  </rv>
  <rv s="0">
    <fb>45721</fb>
    <v>0</v>
  </rv>
  <rv s="0">
    <fb>11.04</fb>
    <v>1</v>
  </rv>
  <rv s="0">
    <fb>11.1</fb>
    <v>1</v>
  </rv>
  <rv s="0">
    <fb>10.350099999999999</fb>
    <v>1</v>
  </rv>
  <rv s="0">
    <fb>45917</fb>
    <v>0</v>
  </rv>
  <rv s="0">
    <fb>9.1</fb>
    <v>1</v>
  </rv>
  <rv s="0">
    <fb>8.6649999999999991</fb>
    <v>1</v>
  </rv>
  <rv s="0">
    <fb>45722</fb>
    <v>0</v>
  </rv>
  <rv s="0">
    <fb>10.82</fb>
    <v>1</v>
  </rv>
  <rv s="0">
    <fb>10.58</fb>
    <v>1</v>
  </rv>
  <rv s="0">
    <fb>45918</fb>
    <v>0</v>
  </rv>
  <rv s="0">
    <fb>8.7799999999999994</fb>
    <v>1</v>
  </rv>
  <rv s="0">
    <fb>45723</fb>
    <v>0</v>
  </rv>
  <rv s="0">
    <fb>10.64</fb>
    <v>1</v>
  </rv>
  <rv s="0">
    <fb>11.18</fb>
    <v>1</v>
  </rv>
  <rv s="0">
    <fb>45919</fb>
    <v>0</v>
  </rv>
  <rv s="0">
    <fb>8.41</fb>
    <v>1</v>
  </rv>
  <rv s="0">
    <fb>8.35</fb>
    <v>1</v>
  </rv>
  <rv s="0">
    <fb>45726</fb>
    <v>0</v>
  </rv>
  <rv s="0">
    <fb>10.3</fb>
    <v>1</v>
  </rv>
  <rv s="0">
    <fb>10.89</fb>
    <v>1</v>
  </rv>
  <rv s="0">
    <fb>10.26</fb>
    <v>1</v>
  </rv>
  <rv s="0">
    <fb>45922</fb>
    <v>0</v>
  </rv>
  <rv s="0">
    <fb>8.5</fb>
    <v>1</v>
  </rv>
  <rv s="0">
    <fb>8.56</fb>
    <v>1</v>
  </rv>
  <rv s="0">
    <fb>8.2799999999999994</fb>
    <v>1</v>
  </rv>
  <rv s="0">
    <fb>45727</fb>
    <v>0</v>
  </rv>
  <rv s="0">
    <fb>10.51</fb>
    <v>1</v>
  </rv>
  <rv s="0">
    <fb>10.6</fb>
    <v>1</v>
  </rv>
  <rv s="0">
    <fb>45923</fb>
    <v>0</v>
  </rv>
  <rv s="0">
    <fb>9.09</fb>
    <v>1</v>
  </rv>
  <rv s="0">
    <fb>45728</fb>
    <v>0</v>
  </rv>
  <rv s="0">
    <fb>10.72</fb>
    <v>1</v>
  </rv>
  <rv s="0">
    <fb>10.95</fb>
    <v>1</v>
  </rv>
  <rv s="0">
    <fb>10.45</fb>
    <v>1</v>
  </rv>
  <rv s="0">
    <fb>45924</fb>
    <v>0</v>
  </rv>
  <rv s="0">
    <fb>9.58</fb>
    <v>1</v>
  </rv>
  <rv s="0">
    <fb>9.7750000000000004</fb>
    <v>1</v>
  </rv>
  <rv s="0">
    <fb>45729</fb>
    <v>0</v>
  </rv>
  <rv s="0">
    <fb>10.49</fb>
    <v>1</v>
  </rv>
  <rv s="0">
    <fb>45925</fb>
    <v>0</v>
  </rv>
  <rv s="0">
    <fb>9.31</fb>
    <v>1</v>
  </rv>
  <rv s="0">
    <fb>45730</fb>
    <v>0</v>
  </rv>
  <rv s="0">
    <fb>10.91</fb>
    <v>1</v>
  </rv>
  <rv s="0">
    <fb>11.13</fb>
    <v>1</v>
  </rv>
  <rv s="0">
    <fb>10.7</fb>
    <v>1</v>
  </rv>
  <rv s="0">
    <fb>45926</fb>
    <v>0</v>
  </rv>
  <rv s="0">
    <fb>9.77</fb>
    <v>1</v>
  </rv>
  <rv s="0">
    <fb>9.9700000000000006</fb>
    <v>1</v>
  </rv>
  <rv s="0">
    <fb>45733</fb>
    <v>0</v>
  </rv>
  <rv s="0">
    <fb>11.275</fb>
    <v>1</v>
  </rv>
  <rv s="0">
    <fb>10.88</fb>
    <v>1</v>
  </rv>
  <rv s="0">
    <fb>45929</fb>
    <v>0</v>
  </rv>
  <rv s="0">
    <fb>9.06</fb>
    <v>1</v>
  </rv>
  <rv s="0">
    <fb>45734</fb>
    <v>0</v>
  </rv>
  <rv s="0">
    <fb>11.2</fb>
    <v>1</v>
  </rv>
  <rv s="0">
    <fb>11.26</fb>
    <v>1</v>
  </rv>
  <rv s="0">
    <fb>11.01</fb>
    <v>1</v>
  </rv>
  <rv s="0">
    <fb>45930</fb>
    <v>0</v>
  </rv>
  <rv s="0">
    <fb>8.6850000000000005</fb>
    <v>1</v>
  </rv>
  <rv s="0">
    <fb>45735</fb>
    <v>0</v>
  </rv>
  <rv s="0">
    <fb>11.72</fb>
    <v>1</v>
  </rv>
  <rv s="0">
    <fb>11.82</fb>
    <v>1</v>
  </rv>
  <rv s="0">
    <fb>11.22</fb>
    <v>1</v>
  </rv>
  <rv s="0">
    <fb>45931</fb>
    <v>0</v>
  </rv>
  <rv s="0">
    <fb>45736</fb>
    <v>0</v>
  </rv>
  <rv s="0">
    <fb>11.65</fb>
    <v>1</v>
  </rv>
  <rv s="0">
    <fb>11.87</fb>
    <v>1</v>
  </rv>
  <rv s="0">
    <fb>11.565</fb>
    <v>1</v>
  </rv>
  <rv s="0">
    <fb>45932</fb>
    <v>0</v>
  </rv>
  <rv s="0">
    <fb>8.68</fb>
    <v>1</v>
  </rv>
  <rv s="0">
    <fb>8.6349999999999998</fb>
    <v>1</v>
  </rv>
  <rv s="0">
    <fb>45737</fb>
    <v>0</v>
  </rv>
  <rv s="0">
    <fb>11.46</fb>
    <v>1</v>
  </rv>
  <rv s="0">
    <fb>45933</fb>
    <v>0</v>
  </rv>
  <rv s="0">
    <fb>9.0399999999999991</fb>
    <v>1</v>
  </rv>
  <rv s="0">
    <fb>9.16</fb>
    <v>1</v>
  </rv>
  <rv s="0">
    <fb>8.7249999999999996</fb>
    <v>1</v>
  </rv>
  <rv s="0">
    <fb>45740</fb>
    <v>0</v>
  </rv>
  <rv s="0">
    <fb>11.66</fb>
    <v>1</v>
  </rv>
  <rv s="0">
    <fb>11.685</fb>
    <v>1</v>
  </rv>
  <rv s="0">
    <fb>11.440099999999999</fb>
    <v>1</v>
  </rv>
  <rv s="0">
    <fb>45936</fb>
    <v>0</v>
  </rv>
  <rv s="0">
    <fb>9.17</fb>
    <v>1</v>
  </rv>
  <rv s="0">
    <fb>9.4</fb>
    <v>1</v>
  </rv>
  <rv s="0">
    <fb>9.11</fb>
    <v>1</v>
  </rv>
  <rv s="0">
    <fb>45741</fb>
    <v>0</v>
  </rv>
  <rv s="0">
    <fb>11.56</fb>
    <v>1</v>
  </rv>
  <rv s="0">
    <fb>11.77</fb>
    <v>1</v>
  </rv>
  <rv s="0">
    <fb>11.38</fb>
    <v>1</v>
  </rv>
  <rv s="0">
    <fb>45937</fb>
    <v>0</v>
  </rv>
  <rv s="0">
    <fb>9.1598000000000006</fb>
    <v>1</v>
  </rv>
  <rv s="0">
    <fb>8.8849999999999998</fb>
    <v>1</v>
  </rv>
  <rv s="0">
    <fb>45742</fb>
    <v>0</v>
  </rv>
  <rv s="0">
    <fb>11.765000000000001</fb>
    <v>1</v>
  </rv>
  <rv s="0">
    <fb>45938</fb>
    <v>0</v>
  </rv>
  <rv s="0">
    <fb>9.19</fb>
    <v>1</v>
  </rv>
  <rv s="0">
    <fb>8.9700000000000006</fb>
    <v>1</v>
  </rv>
  <rv s="0">
    <fb>45743</fb>
    <v>0</v>
  </rv>
  <rv s="0">
    <fb>11.27</fb>
    <v>1</v>
  </rv>
  <rv s="0">
    <fb>11.175000000000001</fb>
    <v>1</v>
  </rv>
  <rv s="0">
    <fb>45939</fb>
    <v>0</v>
  </rv>
  <rv s="0">
    <fb>8.94</fb>
    <v>1</v>
  </rv>
  <rv s="0">
    <fb>45744</fb>
    <v>0</v>
  </rv>
  <rv s="0">
    <fb>11.14</fb>
    <v>1</v>
  </rv>
  <rv s="0">
    <fb>11.3</fb>
    <v>1</v>
  </rv>
  <rv s="0">
    <fb>11</fb>
    <v>1</v>
  </rv>
  <rv s="0">
    <fb>45940</fb>
    <v>0</v>
  </rv>
  <rv s="0">
    <fb>8.08</fb>
    <v>1</v>
  </rv>
  <rv s="0">
    <fb>8.06</fb>
    <v>1</v>
  </rv>
  <rv s="0">
    <fb>45747</fb>
    <v>0</v>
  </rv>
  <rv s="0">
    <fb>11.24</fb>
    <v>1</v>
  </rv>
  <rv s="0">
    <fb>11.42</fb>
    <v>1</v>
  </rv>
  <rv s="0">
    <fb>10.87</fb>
    <v>1</v>
  </rv>
  <rv s="0">
    <fb>45943</fb>
    <v>0</v>
  </rv>
  <rv s="0">
    <fb>8.1201000000000008</fb>
    <v>1</v>
  </rv>
  <rv s="0">
    <fb>45748</fb>
    <v>0</v>
  </rv>
  <rv s="0">
    <fb>11.08</fb>
    <v>1</v>
  </rv>
  <rv s="0">
    <fb>10.77</fb>
    <v>1</v>
  </rv>
  <rv s="0">
    <fb>45944</fb>
    <v>0</v>
  </rv>
  <rv s="0">
    <fb>8.36</fb>
    <v>1</v>
  </rv>
  <rv s="0">
    <fb>8.3049999999999997</fb>
    <v>1</v>
  </rv>
  <rv s="0">
    <fb>45749</fb>
    <v>0</v>
  </rv>
  <rv s="0">
    <fb>45945</fb>
    <v>0</v>
  </rv>
  <rv s="0">
    <fb>8.3699999999999992</fb>
    <v>1</v>
  </rv>
  <rv s="0">
    <fb>8.7100000000000009</fb>
    <v>1</v>
  </rv>
  <rv s="0">
    <fb>8.32</fb>
    <v>1</v>
  </rv>
  <rv s="0">
    <fb>45750</fb>
    <v>0</v>
  </rv>
  <rv s="0">
    <fb>45946</fb>
    <v>0</v>
  </rv>
  <rv s="0">
    <fb>8.3000000000000007</fb>
    <v>1</v>
  </rv>
  <rv s="0">
    <fb>45751</fb>
    <v>0</v>
  </rv>
  <rv s="0">
    <fb>7.82</fb>
    <v>1</v>
  </rv>
  <rv s="0">
    <fb>8.61</fb>
    <v>1</v>
  </rv>
  <rv s="0">
    <fb>7.6550000000000002</fb>
    <v>1</v>
  </rv>
  <rv s="0">
    <fb>45947</fb>
    <v>0</v>
  </rv>
  <rv s="0">
    <fb>8.25</fb>
    <v>1</v>
  </rv>
  <rv s="0">
    <fb>8.49</fb>
    <v>1</v>
  </rv>
  <rv s="0">
    <fb>8.09</fb>
    <v>1</v>
  </rv>
  <rv s="0">
    <fb>45754</fb>
    <v>0</v>
  </rv>
  <rv s="0">
    <fb>7.88</fb>
    <v>1</v>
  </rv>
  <rv s="0">
    <fb>8.1850000000000005</fb>
    <v>1</v>
  </rv>
  <rv s="0">
    <fb>7.14</fb>
    <v>1</v>
  </rv>
  <rv s="0">
    <fb>45950</fb>
    <v>0</v>
  </rv>
  <rv s="0">
    <fb>8.1</fb>
    <v>1</v>
  </rv>
  <rv s="0">
    <fb>45755</fb>
    <v>0</v>
  </rv>
  <rv s="0">
    <fb>7.29</fb>
    <v>1</v>
  </rv>
  <rv s="0">
    <fb>8.43</fb>
    <v>1</v>
  </rv>
  <rv s="0">
    <fb>7.13</fb>
    <v>1</v>
  </rv>
  <rv s="0">
    <fb>45951</fb>
    <v>0</v>
  </rv>
  <rv s="0">
    <fb>7.99</fb>
    <v>1</v>
  </rv>
  <rv s="0">
    <fb>8.1999999999999993</fb>
    <v>1</v>
  </rv>
  <rv s="0">
    <fb>45756</fb>
    <v>0</v>
  </rv>
  <rv s="0">
    <fb>8.57</fb>
    <v>1</v>
  </rv>
  <rv s="0">
    <fb>6.83</fb>
    <v>1</v>
  </rv>
  <rv s="0">
    <fb>45952</fb>
    <v>0</v>
  </rv>
  <rv s="0">
    <fb>7.9301000000000004</fb>
    <v>1</v>
  </rv>
  <rv s="0">
    <fb>45757</fb>
    <v>0</v>
  </rv>
  <rv s="0">
    <fb>7.43</fb>
    <v>1</v>
  </rv>
  <rv s="0">
    <fb>8.1374999999999993</fb>
    <v>1</v>
  </rv>
  <rv s="0">
    <fb>7.2</fb>
    <v>1</v>
  </rv>
  <rv s="0">
    <fb>45953</fb>
    <v>0</v>
  </rv>
  <rv s="0">
    <fb>8.5299999999999994</fb>
    <v>1</v>
  </rv>
  <rv s="0">
    <fb>8.39</fb>
    <v>1</v>
  </rv>
  <rv s="0">
    <fb>45758</fb>
    <v>0</v>
  </rv>
  <rv s="0">
    <fb>7.71</fb>
    <v>1</v>
  </rv>
  <rv s="0">
    <fb>7.7949999999999999</fb>
    <v>1</v>
  </rv>
  <rv s="0">
    <fb>7.2750000000000004</fb>
    <v>1</v>
  </rv>
  <rv s="0">
    <fb>45954</fb>
    <v>0</v>
  </rv>
  <rv s="0">
    <fb>8.3800000000000008</fb>
    <v>1</v>
  </rv>
  <rv s="0">
    <fb>8.375</fb>
    <v>1</v>
  </rv>
  <rv s="0">
    <fb>45761</fb>
    <v>0</v>
  </rv>
  <rv s="0">
    <fb>7.89</fb>
    <v>1</v>
  </rv>
  <rv s="0">
    <fb>8.0850000000000009</fb>
    <v>1</v>
  </rv>
  <rv s="0">
    <fb>7.68</fb>
    <v>1</v>
  </rv>
  <rv s="0">
    <fb>45957</fb>
    <v>0</v>
  </rv>
  <rv s="0">
    <fb>45762</fb>
    <v>0</v>
  </rv>
  <rv s="0">
    <fb>7.76</fb>
    <v>1</v>
  </rv>
  <rv s="0">
    <fb>8.0350000000000001</fb>
    <v>1</v>
  </rv>
  <rv s="0">
    <fb>7.73</fb>
    <v>1</v>
  </rv>
  <rv s="0">
    <fb>45958</fb>
    <v>0</v>
  </rv>
  <rv s="0">
    <fb>8.4</fb>
    <v>1</v>
  </rv>
  <rv s="0">
    <fb>8.0549999999999997</fb>
    <v>1</v>
  </rv>
  <rv s="0">
    <fb>45763</fb>
    <v>0</v>
  </rv>
  <rv s="0">
    <fb>8.1300000000000008</fb>
    <v>1</v>
  </rv>
  <rv s="0">
    <fb>8.2899999999999991</fb>
    <v>1</v>
  </rv>
  <rv s="0">
    <fb>7.77</fb>
    <v>1</v>
  </rv>
  <rv s="0">
    <fb>45959</fb>
    <v>0</v>
  </rv>
  <rv s="0">
    <fb>8.14</fb>
    <v>1</v>
  </rv>
  <rv s="0">
    <fb>8.2881999999999998</fb>
    <v>1</v>
  </rv>
  <rv s="0">
    <fb>8</fb>
    <v>1</v>
  </rv>
  <rv s="0">
    <fb>45764</fb>
    <v>0</v>
  </rv>
  <rv s="0">
    <fb>8.59</fb>
    <v>1</v>
  </rv>
  <rv s="0">
    <fb>8.1750000000000007</fb>
    <v>1</v>
  </rv>
  <rv s="0">
    <fb>45960</fb>
    <v>0</v>
  </rv>
  <rv s="0">
    <fb>8.15</fb>
    <v>1</v>
  </rv>
  <rv s="0">
    <fb>7.97</fb>
    <v>1</v>
  </rv>
  <rv s="0">
    <fb>45768</fb>
    <v>0</v>
  </rv>
  <rv s="0">
    <fb>8.19</fb>
    <v>1</v>
  </rv>
  <rv s="0">
    <fb>7.952</fb>
    <v>1</v>
  </rv>
  <rv s="0">
    <fb>45961</fb>
    <v>0</v>
  </rv>
  <rv s="0">
    <fb>45769</fb>
    <v>0</v>
  </rv>
  <rv s="0">
    <fb>8.1549999999999994</fb>
    <v>1</v>
  </rv>
  <rv s="0">
    <fb>45964</fb>
    <v>0</v>
  </rv>
  <rv s="0">
    <fb>45770</fb>
    <v>0</v>
  </rv>
  <rv s="0">
    <fb>8.27</fb>
    <v>1</v>
  </rv>
  <rv s="0">
    <fb>8.16</fb>
    <v>1</v>
  </rv>
  <rv s="0">
    <fb>45965</fb>
    <v>0</v>
  </rv>
  <rv s="0">
    <fb>8.0500000000000007</fb>
    <v>1</v>
  </rv>
  <rv s="0">
    <fb>8.52</fb>
    <v>1</v>
  </rv>
  <rv s="0">
    <fb>45771</fb>
    <v>0</v>
  </rv>
  <rv s="0">
    <fb>8.5250000000000004</fb>
    <v>1</v>
  </rv>
  <rv s="0">
    <fb>8.23</fb>
    <v>1</v>
  </rv>
  <rv s="0">
    <fb>45966</fb>
    <v>0</v>
  </rv>
  <rv s="0">
    <fb>8.3650000000000002</fb>
    <v>1</v>
  </rv>
  <rv s="0">
    <fb>8.0299999999999994</fb>
    <v>1</v>
  </rv>
  <rv s="0">
    <fb>45772</fb>
    <v>0</v>
  </rv>
  <rv s="0">
    <fb>8.7200000000000006</fb>
    <v>1</v>
  </rv>
  <rv s="0">
    <fb>8.75</fb>
    <v>1</v>
  </rv>
  <rv s="0">
    <fb>45967</fb>
    <v>0</v>
  </rv>
  <rv s="0">
    <fb>8.5982000000000003</fb>
    <v>1</v>
  </rv>
  <rv s="0">
    <fb>45775</fb>
    <v>0</v>
  </rv>
  <rv s="0">
    <fb>8.8450000000000006</fb>
    <v>1</v>
  </rv>
  <rv s="0">
    <fb>45968</fb>
    <v>0</v>
  </rv>
  <rv s="0">
    <fb>8.9</fb>
    <v>1</v>
  </rv>
  <rv s="0">
    <fb>45776</fb>
    <v>0</v>
  </rv>
  <rv s="0">
    <fb>8.4600000000000009</fb>
    <v>1</v>
  </rv>
  <rv s="0">
    <fb>45971</fb>
    <v>0</v>
  </rv>
  <rv s="0">
    <fb>9.08</fb>
    <v>1</v>
  </rv>
  <rv s="0">
    <fb>45777</fb>
    <v>0</v>
  </rv>
  <rv s="0">
    <fb>8.4849999999999994</fb>
    <v>1</v>
  </rv>
  <rv s="0">
    <fb>45972</fb>
    <v>0</v>
  </rv>
  <rv s="0">
    <fb>9.8149999999999995</fb>
    <v>1</v>
  </rv>
  <rv s="0">
    <fb>45778</fb>
    <v>0</v>
  </rv>
  <rv s="0">
    <fb>45973</fb>
    <v>0</v>
  </rv>
  <rv s="0">
    <fb>9.6999999999999993</fb>
    <v>1</v>
  </rv>
  <rv s="0">
    <fb>45779</fb>
    <v>0</v>
  </rv>
  <rv s="0">
    <fb>8.4550000000000001</fb>
    <v>1</v>
  </rv>
  <rv s="0">
    <fb>45974</fb>
    <v>0</v>
  </rv>
  <rv s="0">
    <fb>45782</fb>
    <v>0</v>
  </rv>
  <rv s="0">
    <fb>8.17</fb>
    <v>1</v>
  </rv>
  <rv s="0">
    <fb>45975</fb>
    <v>0</v>
  </rv>
  <rv s="0">
    <fb>9.44</fb>
    <v>1</v>
  </rv>
  <rv s="0">
    <fb>45783</fb>
    <v>0</v>
  </rv>
  <rv s="0">
    <fb>7.95</fb>
    <v>1</v>
  </rv>
  <rv s="0">
    <fb>7.7050000000000001</fb>
    <v>1</v>
  </rv>
  <rv s="0">
    <fb>45978</fb>
    <v>0</v>
  </rv>
  <rv s="0">
    <fb>8.8699999999999992</fb>
    <v>1</v>
  </rv>
  <rv s="0">
    <fb>9.3249999999999993</fb>
    <v>1</v>
  </rv>
  <rv s="0">
    <fb>8.7550000000000008</fb>
    <v>1</v>
  </rv>
  <rv s="0">
    <fb>45784</fb>
    <v>0</v>
  </rv>
  <rv s="0">
    <fb>7.94</fb>
    <v>1</v>
  </rv>
  <rv s="0">
    <fb>8.11</fb>
    <v>1</v>
  </rv>
  <rv s="0">
    <fb>45979</fb>
    <v>0</v>
  </rv>
  <rv s="0">
    <fb>45785</fb>
    <v>0</v>
  </rv>
  <rv s="0">
    <fb>8.44</fb>
    <v>1</v>
  </rv>
  <rv s="0">
    <fb>45980</fb>
    <v>0</v>
  </rv>
  <rv s="0">
    <fb>9.0500000000000007</fb>
    <v>1</v>
  </rv>
  <rv s="0">
    <fb>8.66</fb>
    <v>1</v>
  </rv>
  <rv s="0">
    <fb>45786</fb>
    <v>0</v>
  </rv>
  <rv s="0">
    <fb>8.3450000000000006</fb>
    <v>1</v>
  </rv>
  <rv s="0">
    <fb>45981</fb>
    <v>0</v>
  </rv>
  <rv s="0">
    <fb>8.7149999999999999</fb>
    <v>1</v>
  </rv>
  <rv s="0">
    <fb>45789</fb>
    <v>0</v>
  </rv>
  <rv s="0">
    <fb>9.41</fb>
    <v>1</v>
  </rv>
  <rv s="0">
    <fb>9.0050000000000008</fb>
    <v>1</v>
  </rv>
  <rv s="0">
    <fb>45982</fb>
    <v>0</v>
  </rv>
  <rv s="0">
    <fb>8.83</fb>
    <v>1</v>
  </rv>
  <rv s="0">
    <fb>8.2149999999999999</fb>
    <v>1</v>
  </rv>
  <rv s="0">
    <fb>45790</fb>
    <v>0</v>
  </rv>
  <rv s="0">
    <fb>9.5</fb>
    <v>1</v>
  </rv>
  <rv s="0">
    <fb>9.64</fb>
    <v>1</v>
  </rv>
  <rv s="0">
    <fb>45985</fb>
    <v>0</v>
  </rv>
  <rv s="0">
    <fb>45791</fb>
    <v>0</v>
  </rv>
  <rv s="0">
    <fb>9.4700000000000006</fb>
    <v>1</v>
  </rv>
  <rv s="0">
    <fb>45986</fb>
    <v>0</v>
  </rv>
  <rv s="0">
    <fb>8.9049999999999994</fb>
    <v>1</v>
  </rv>
  <rv s="0">
    <fb>45792</fb>
    <v>0</v>
  </rv>
  <rv s="0">
    <fb>9</fb>
    <v>1</v>
  </rv>
  <rv s="0">
    <fb>45987</fb>
    <v>0</v>
  </rv>
  <rv s="0">
    <fb>9.25</fb>
    <v>1</v>
  </rv>
  <rv s="0">
    <fb>9.18</fb>
    <v>1</v>
  </rv>
  <rv s="0">
    <fb>45793</fb>
    <v>0</v>
  </rv>
  <rv s="0">
    <fb>9.2899999999999991</fb>
    <v>1</v>
  </rv>
  <rv s="0">
    <fb>8.9499999999999993</fb>
    <v>1</v>
  </rv>
  <rv s="0">
    <fb>45989</fb>
    <v>0</v>
  </rv>
  <rv s="0">
    <fb>45796</fb>
    <v>0</v>
  </rv>
  <rv s="0">
    <fb>45992</fb>
    <v>0</v>
  </rv>
  <rv s="0">
    <fb>9.35</fb>
    <v>1</v>
  </rv>
  <rv s="0">
    <fb>9.6300000000000008</fb>
    <v>1</v>
  </rv>
  <rv s="0">
    <fb>45797</fb>
    <v>0</v>
  </rv>
  <rv s="0">
    <fb>8.8949999999999996</fb>
    <v>1</v>
  </rv>
  <rv s="0">
    <fb>45993</fb>
    <v>0</v>
  </rv>
  <rv s="0">
    <fb>45798</fb>
    <v>0</v>
  </rv>
  <rv s="0">
    <fb>45994</fb>
    <v>0</v>
  </rv>
  <rv s="0">
    <fb>9.8000000000000007</fb>
    <v>1</v>
  </rv>
  <rv s="0">
    <fb>45799</fb>
    <v>0</v>
  </rv>
  <rv s="0">
    <fb>8.65</fb>
    <v>1</v>
  </rv>
  <rv s="0">
    <fb>45995</fb>
    <v>0</v>
  </rv>
  <rv s="0">
    <fb>9.89</fb>
    <v>1</v>
  </rv>
  <rv s="0">
    <fb>9.7449999999999992</fb>
    <v>1</v>
  </rv>
  <rv s="0">
    <fb>45800</fb>
    <v>0</v>
  </rv>
  <rv s="0">
    <fb>8.58</fb>
    <v>1</v>
  </rv>
  <rv s="0">
    <fb>45996</fb>
    <v>0</v>
  </rv>
  <rv s="0">
    <fb>9.98</fb>
    <v>1</v>
  </rv>
  <rv s="0">
    <fb>10.225</fb>
    <v>1</v>
  </rv>
  <rv s="0">
    <fb>45804</fb>
    <v>0</v>
  </rv>
  <rv s="0">
    <fb>8.7050000000000001</fb>
    <v>1</v>
  </rv>
  <rv s="0">
    <fb>45999</fb>
    <v>0</v>
  </rv>
  <rv s="0">
    <fb>10.050000000000001</fb>
    <v>1</v>
  </rv>
  <rv s="0">
    <fb>9.81</fb>
    <v>1</v>
  </rv>
  <rv s="0">
    <fb>45805</fb>
    <v>0</v>
  </rv>
  <rv s="0">
    <fb>8.8282000000000007</fb>
    <v>1</v>
  </rv>
  <rv s="0">
    <fb>8.5749999999999993</fb>
    <v>1</v>
  </rv>
  <rv s="0">
    <fb>45806</fb>
    <v>0</v>
  </rv>
  <rv s="0">
    <fb>8.7646999999999995</fb>
    <v>1</v>
  </rv>
  <rv s="0">
    <fb>8.5500000000000007</fb>
    <v>1</v>
  </rv>
  <rv s="0">
    <fb>45807</fb>
    <v>0</v>
  </rv>
  <rv s="0">
    <fb>8.6449999999999996</fb>
    <v>1</v>
  </rv>
  <rv s="0">
    <fb>45810</fb>
    <v>0</v>
  </rv>
  <rv s="0">
    <fb>8.4749999999999996</fb>
    <v>1</v>
  </rv>
  <rv s="0">
    <fb>45811</fb>
    <v>0</v>
  </rv>
  <rv s="0">
    <fb>9.1549999999999994</fb>
    <v>1</v>
  </rv>
  <rv s="0">
    <fb>45812</fb>
    <v>0</v>
  </rv>
  <rv s="0">
    <fb>9.27</fb>
    <v>1</v>
  </rv>
  <rv s="0">
    <fb>45813</fb>
    <v>0</v>
  </rv>
  <rv s="0">
    <fb>8.89</fb>
    <v>1</v>
  </rv>
  <rv s="0">
    <fb>8.6150000000000002</fb>
    <v>1</v>
  </rv>
  <rv s="0">
    <fb>45814</fb>
    <v>0</v>
  </rv>
  <rv s="0">
    <fb>9.0299999999999994</fb>
    <v>1</v>
  </rv>
  <rv s="0">
    <fb>45817</fb>
    <v>0</v>
  </rv>
  <rv s="0">
    <fb>9.2550000000000008</fb>
    <v>1</v>
  </rv>
  <rv s="0">
    <fb>45818</fb>
    <v>0</v>
  </rv>
  <rv s="0">
    <fb>45819</fb>
    <v>0</v>
  </rv>
  <rv s="0">
    <fb>9.6</fb>
    <v>1</v>
  </rv>
  <rv s="0">
    <fb>45820</fb>
    <v>0</v>
  </rv>
  <rv s="0">
    <fb>9.52</fb>
    <v>1</v>
  </rv>
  <rv s="0">
    <fb>9.5350000000000001</fb>
    <v>1</v>
  </rv>
  <rv s="0">
    <fb>9.2091999999999992</fb>
    <v>1</v>
  </rv>
  <rv s="0">
    <fb>45821</fb>
    <v>0</v>
  </rv>
  <rv s="0">
    <fb>9.7799999999999994</fb>
    <v>1</v>
  </rv>
  <rv s="0">
    <fb>10</fb>
    <v>1</v>
  </rv>
  <rv s="0">
    <fb>45824</fb>
    <v>0</v>
  </rv>
  <rv s="0">
    <fb>9.7899999999999991</fb>
    <v>1</v>
  </rv>
  <rv s="0">
    <fb>9.4049999999999994</fb>
    <v>1</v>
  </rv>
  <rv s="0">
    <fb>45825</fb>
    <v>0</v>
  </rv>
  <rv s="0">
    <fb>9.8800000000000008</fb>
    <v>1</v>
  </rv>
  <rv s="0">
    <fb>45826</fb>
    <v>0</v>
  </rv>
  <rv s="0">
    <fb>9.4849999999999994</fb>
    <v>1</v>
  </rv>
  <rv s="0">
    <fb>45828</fb>
    <v>0</v>
  </rv>
  <rv s="0">
    <fb>9.3949999999999996</fb>
    <v>1</v>
  </rv>
  <rv s="0">
    <fb>45831</fb>
    <v>0</v>
  </rv>
  <rv s="0">
    <fb>9.6050000000000004</fb>
    <v>1</v>
  </rv>
  <rv s="0">
    <fb>45832</fb>
    <v>0</v>
  </rv>
  <rv s="0">
    <fb>8.77</fb>
    <v>1</v>
  </rv>
  <rv s="0">
    <fb>8.9749999999999996</fb>
    <v>1</v>
  </rv>
  <rv s="0">
    <fb>45833</fb>
    <v>0</v>
  </rv>
  <rv s="0">
    <fb>45834</fb>
    <v>0</v>
  </rv>
  <rv s="0">
    <fb>45835</fb>
    <v>0</v>
  </rv>
  <rv s="0">
    <fb>45838</fb>
    <v>0</v>
  </rv>
  <rv s="0">
    <fb>8.5950000000000006</fb>
    <v>1</v>
  </rv>
  <rv s="0">
    <fb>45839</fb>
    <v>0</v>
  </rv>
  <rv s="0">
    <fb>45840</fb>
    <v>0</v>
  </rv>
  <rv s="0">
    <fb>8.8249999999999993</fb>
    <v>1</v>
  </rv>
  <rv s="0">
    <fb>45841</fb>
    <v>0</v>
  </rv>
  <rv s="0">
    <fb>9.0850000000000009</fb>
    <v>1</v>
  </rv>
  <rv s="0">
    <fb>45845</fb>
    <v>0</v>
  </rv>
  <rv s="0">
    <fb>9.1750000000000007</fb>
    <v>1</v>
  </rv>
  <rv s="0">
    <fb>45846</fb>
    <v>0</v>
  </rv>
  <rv s="0">
    <fb>9.5549999999999997</fb>
    <v>1</v>
  </rv>
  <rv s="0">
    <fb>8.8524999999999991</fb>
    <v>1</v>
  </rv>
  <rv s="0">
    <fb>45847</fb>
    <v>0</v>
  </rv>
  <rv s="0">
    <fb>45848</fb>
    <v>0</v>
  </rv>
  <rv s="0">
    <fb>9.3450000000000006</fb>
    <v>1</v>
  </rv>
  <rv s="0">
    <fb>45849</fb>
    <v>0</v>
  </rv>
  <rv s="0">
    <fb>9.1349999999999998</fb>
    <v>1</v>
  </rv>
  <rv s="0">
    <fb>45852</fb>
    <v>0</v>
  </rv>
  <rv s="0">
    <fb>45853</fb>
    <v>0</v>
  </rv>
  <rv s="0">
    <fb>8.8752999999999993</fb>
    <v>1</v>
  </rv>
  <rv s="0">
    <fb>45854</fb>
    <v>0</v>
  </rv>
  <rv s="0">
    <fb>8.0399999999999991</fb>
    <v>1</v>
  </rv>
  <rv s="0">
    <fb>45855</fb>
    <v>0</v>
  </rv>
  <rv s="0">
    <fb>8.5649999999999995</fb>
    <v>1</v>
  </rv>
  <rv s="0">
    <fb>8.2750000000000004</fb>
    <v>1</v>
  </rv>
  <rv s="0">
    <fb>7.55</fb>
    <v>1</v>
  </rv>
  <rv s="0">
    <fb>7.58</fb>
    <v>1</v>
  </rv>
  <rv s="0">
    <fb>7.38</fb>
    <v>1</v>
  </rv>
  <rv s="0">
    <fb>7.84</fb>
    <v>1</v>
  </rv>
  <rv s="0">
    <fb>7.86</fb>
    <v>1</v>
  </rv>
  <rv s="0">
    <fb>7.62</fb>
    <v>1</v>
  </rv>
  <rv s="0">
    <fb>7.65</fb>
    <v>1</v>
  </rv>
  <rv s="0">
    <fb>7.96</fb>
    <v>1</v>
  </rv>
  <rv s="0">
    <fb>7.52</fb>
    <v>1</v>
  </rv>
  <rv s="0">
    <fb>7.79</fb>
    <v>1</v>
  </rv>
  <rv s="0">
    <fb>7.36</fb>
    <v>1</v>
  </rv>
  <rv s="0">
    <fb>7.7</fb>
    <v>1</v>
  </rv>
  <rv s="0">
    <fb>7.75</fb>
    <v>1</v>
  </rv>
  <rv s="0">
    <fb>7.4649999999999999</fb>
    <v>1</v>
  </rv>
  <rv s="0">
    <fb>7.44</fb>
    <v>1</v>
  </rv>
  <rv s="0">
    <fb>7.5122</fb>
    <v>1</v>
  </rv>
  <rv s="0">
    <fb>7.83</fb>
    <v>1</v>
  </rv>
  <rv s="0">
    <fb>7.61</fb>
    <v>1</v>
  </rv>
  <rv s="0">
    <fb>7.8</fb>
    <v>1</v>
  </rv>
  <rv s="0">
    <fb>7.98</fb>
    <v>1</v>
  </rv>
  <rv s="0">
    <fb>8.02</fb>
    <v>1</v>
  </rv>
  <rv s="0">
    <fb>7.7450000000000001</fb>
    <v>1</v>
  </rv>
  <rv s="0">
    <fb>7.9</fb>
    <v>1</v>
  </rv>
  <rv s="0">
    <fb>7.87</fb>
    <v>1</v>
  </rv>
  <rv s="0">
    <fb>7.9950000000000001</fb>
    <v>1</v>
  </rv>
  <rv s="0">
    <fb>7.9050000000000002</fb>
    <v>1</v>
  </rv>
  <rv s="0">
    <fb>8.2100000000000009</fb>
    <v>1</v>
  </rv>
  <rv s="0">
    <fb>8.1199999999999992</fb>
    <v>1</v>
  </rv>
  <rv s="0">
    <fb>8.2050000000000001</fb>
    <v>1</v>
  </rv>
  <rv s="0">
    <fb>7.9450000000000003</fb>
    <v>1</v>
  </rv>
  <rv s="0">
    <fb>8.1150000000000002</fb>
    <v>1</v>
  </rv>
  <rv s="0">
    <fb>7.6616</fb>
    <v>1</v>
  </rv>
  <rv s="0">
    <fb>8.1050000000000004</fb>
    <v>1</v>
  </rv>
  <rv s="0">
    <fb>7.93</fb>
    <v>1</v>
  </rv>
  <rv s="0">
    <fb>7.91</fb>
    <v>1</v>
  </rv>
  <rv s="0">
    <fb>8.07</fb>
    <v>1</v>
  </rv>
  <rv s="0">
    <fb>7.8449999999999998</fb>
    <v>1</v>
  </rv>
  <rv s="0">
    <fb>7.8949999999999996</fb>
    <v>1</v>
  </rv>
  <rv s="0">
    <fb>7.78</fb>
    <v>1</v>
  </rv>
  <rv s="0">
    <fb>8.0150000000000006</fb>
    <v>1</v>
  </rv>
  <rv s="0">
    <fb>7.9349999999999996</fb>
    <v>1</v>
  </rv>
  <rv s="0">
    <fb>7.5650000000000004</fb>
    <v>1</v>
  </rv>
  <rv s="0">
    <fb>7.59</fb>
    <v>1</v>
  </rv>
  <rv s="0">
    <fb>7.7649999999999997</fb>
    <v>1</v>
  </rv>
  <rv s="0">
    <fb>7.69</fb>
    <v>1</v>
  </rv>
  <rv s="0">
    <fb>7.45</fb>
    <v>1</v>
  </rv>
  <rv s="0">
    <fb>7.51</fb>
    <v>1</v>
  </rv>
  <rv s="0">
    <fb>7.48</fb>
    <v>1</v>
  </rv>
  <rv s="0">
    <fb>7.74</fb>
    <v>1</v>
  </rv>
  <rv s="0">
    <fb>7.28</fb>
    <v>1</v>
  </rv>
  <rv s="0">
    <fb>8.0760000000000005</fb>
    <v>1</v>
  </rv>
  <rv s="0">
    <fb>8.2949999999999999</fb>
    <v>1</v>
  </rv>
  <rv s="0">
    <fb>8.0950000000000006</fb>
    <v>1</v>
  </rv>
  <rv s="0">
    <fb>7.7249999999999996</fb>
    <v>1</v>
  </rv>
  <rv s="0">
    <fb>7.85</fb>
    <v>1</v>
  </rv>
  <rv s="0">
    <fb>7.5</fb>
    <v>1</v>
  </rv>
  <rv s="0">
    <fb>7.11</fb>
    <v>1</v>
  </rv>
  <rv s="0">
    <fb>7.0650000000000004</fb>
    <v>1</v>
  </rv>
  <rv s="0">
    <fb>6.95</fb>
    <v>1</v>
  </rv>
  <rv s="0">
    <fb>7.15</fb>
    <v>1</v>
  </rv>
  <rv s="0">
    <fb>6.87</fb>
    <v>1</v>
  </rv>
  <rv s="0">
    <fb>6.85</fb>
    <v>1</v>
  </rv>
  <rv s="0">
    <fb>7.03</fb>
    <v>1</v>
  </rv>
  <rv s="0">
    <fb>6.8150000000000004</fb>
    <v>1</v>
  </rv>
  <rv s="0">
    <fb>6.99</fb>
    <v>1</v>
  </rv>
  <rv s="0">
    <fb>7.01</fb>
    <v>1</v>
  </rv>
  <rv s="0">
    <fb>6.78</fb>
    <v>1</v>
  </rv>
  <rv s="0">
    <fb>6.92</fb>
    <v>1</v>
  </rv>
  <rv s="0">
    <fb>7.1749999999999998</fb>
    <v>1</v>
  </rv>
  <rv s="0">
    <fb>6.91</fb>
    <v>1</v>
  </rv>
  <rv s="0">
    <fb>6.89</fb>
    <v>1</v>
  </rv>
  <rv s="0">
    <fb>6.76</fb>
    <v>1</v>
  </rv>
  <rv s="0">
    <fb>6.74</fb>
    <v>1</v>
  </rv>
  <rv s="0">
    <fb>6.8849999999999998</fb>
    <v>1</v>
  </rv>
  <rv s="0">
    <fb>6.71</fb>
    <v>1</v>
  </rv>
  <rv s="0">
    <fb>6.81</fb>
    <v>1</v>
  </rv>
  <rv s="0">
    <fb>6.8449999999999998</fb>
    <v>1</v>
  </rv>
  <rv s="0">
    <fb>6.6449999999999996</fb>
    <v>1</v>
  </rv>
  <rv s="0">
    <fb>6.82</fb>
    <v>1</v>
  </rv>
  <rv s="0">
    <fb>6.7649999999999997</fb>
    <v>1</v>
  </rv>
  <rv s="0">
    <fb>7.08</fb>
    <v>1</v>
  </rv>
  <rv s="0">
    <fb>6.6849999999999996</fb>
    <v>1</v>
  </rv>
  <rv s="0">
    <fb>6.77</fb>
    <v>1</v>
  </rv>
  <rv s="0">
    <fb>6.9050000000000002</fb>
    <v>1</v>
  </rv>
  <rv s="0">
    <fb>6.7</fb>
    <v>1</v>
  </rv>
  <rv s="0">
    <fb>6.6</fb>
    <v>1</v>
  </rv>
  <rv s="0">
    <fb>6.8</fb>
    <v>1</v>
  </rv>
  <rv s="0">
    <fb>6.58</fb>
    <v>1</v>
  </rv>
  <rv s="0">
    <fb>6.52</fb>
    <v>1</v>
  </rv>
  <rv s="0">
    <fb>6.54</fb>
    <v>1</v>
  </rv>
  <rv s="0">
    <fb>6.66</fb>
    <v>1</v>
  </rv>
  <rv s="0">
    <fb>6.68</fb>
    <v>1</v>
  </rv>
  <rv s="0">
    <fb>6.57</fb>
    <v>1</v>
  </rv>
  <rv s="0">
    <fb>6.63</fb>
    <v>1</v>
  </rv>
  <rv s="0">
    <fb>6.7949999999999999</fb>
    <v>1</v>
  </rv>
  <rv s="0">
    <fb>6.56</fb>
    <v>1</v>
  </rv>
  <rv s="0">
    <fb>6.53</fb>
    <v>1</v>
  </rv>
  <rv s="0">
    <fb>6.48</fb>
    <v>1</v>
  </rv>
  <rv s="0">
    <fb>6.64</fb>
    <v>1</v>
  </rv>
  <rv s="0">
    <fb>6.4550000000000001</fb>
    <v>1</v>
  </rv>
  <rv s="0">
    <fb>6.51</fb>
    <v>1</v>
  </rv>
  <rv s="0">
    <fb>6.73</fb>
    <v>1</v>
  </rv>
  <rv s="0">
    <fb>6.2527999999999997</fb>
    <v>1</v>
  </rv>
  <rv s="0">
    <fb>7</fb>
    <v>1</v>
  </rv>
  <rv s="0">
    <fb>7.02</fb>
    <v>1</v>
  </rv>
  <rv s="0">
    <fb>6.93</fb>
    <v>1</v>
  </rv>
  <rv s="0">
    <fb>6.5949999999999998</fb>
    <v>1</v>
  </rv>
  <rv s="0">
    <fb>6.84</fb>
    <v>1</v>
  </rv>
  <rv s="0">
    <fb>6.665</fb>
    <v>1</v>
  </rv>
  <rv s="0">
    <fb>6.86</fb>
    <v>1</v>
  </rv>
  <rv s="0">
    <fb>6.625</fb>
    <v>1</v>
  </rv>
  <rv s="0">
    <fb>6.7350000000000003</fb>
    <v>1</v>
  </rv>
  <rv s="0">
    <fb>6.16</fb>
    <v>1</v>
  </rv>
  <rv s="0">
    <fb>6.125</fb>
    <v>1</v>
  </rv>
  <rv s="0">
    <fb>6.13</fb>
    <v>1</v>
  </rv>
  <rv s="0">
    <fb>6.2149999999999999</fb>
    <v>1</v>
  </rv>
  <rv s="0">
    <fb>6.03</fb>
    <v>1</v>
  </rv>
  <rv s="0">
    <fb>6.37</fb>
    <v>1</v>
  </rv>
  <rv s="0">
    <fb>6.45</fb>
    <v>1</v>
  </rv>
  <rv s="0">
    <fb>6.21</fb>
    <v>1</v>
  </rv>
  <rv s="0">
    <fb>6.49</fb>
    <v>1</v>
  </rv>
  <rv s="0">
    <fb>6.5</fb>
    <v>1</v>
  </rv>
  <rv s="0">
    <fb>6.31</fb>
    <v>1</v>
  </rv>
  <rv s="0">
    <fb>6.39</fb>
    <v>1</v>
  </rv>
  <rv s="0">
    <fb>6.4349999999999996</fb>
    <v>1</v>
  </rv>
  <rv s="0">
    <fb>6.6050000000000004</fb>
    <v>1</v>
  </rv>
  <rv s="0">
    <fb>6.43</fb>
    <v>1</v>
  </rv>
  <rv s="0">
    <fb>6.4450000000000003</fb>
    <v>1</v>
  </rv>
  <rv s="0">
    <fb>6.8650000000000002</fb>
    <v>1</v>
  </rv>
  <rv s="0">
    <fb>6.62</fb>
    <v>1</v>
  </rv>
  <rv s="0">
    <fb>6.55</fb>
    <v>1</v>
  </rv>
  <rv s="0">
    <fb>6.4747000000000003</fb>
    <v>1</v>
  </rv>
  <rv s="0">
    <fb>5.51</fb>
    <v>1</v>
  </rv>
  <rv s="0">
    <fb>6.2850000000000001</fb>
    <v>1</v>
  </rv>
  <rv s="0">
    <fb>5.39</fb>
    <v>1</v>
  </rv>
  <rv s="0">
    <fb>5.81</fb>
    <v>1</v>
  </rv>
  <rv s="0">
    <fb>5.86</fb>
    <v>1</v>
  </rv>
  <rv s="0">
    <fb>5.56</fb>
    <v>1</v>
  </rv>
  <rv s="0">
    <fb>5.73</fb>
    <v>1</v>
  </rv>
  <rv s="0">
    <fb>5.8</fb>
    <v>1</v>
  </rv>
  <rv s="0">
    <fb>5.6550000000000002</fb>
    <v>1</v>
  </rv>
  <rv s="0">
    <fb>5.85</fb>
    <v>1</v>
  </rv>
  <rv s="0">
    <fb>5.9</fb>
    <v>1</v>
  </rv>
  <rv s="0">
    <fb>5.61</fb>
    <v>1</v>
  </rv>
  <rv s="0">
    <fb>5.87</fb>
    <v>1</v>
  </rv>
  <rv s="0">
    <fb>6</fb>
    <v>1</v>
  </rv>
  <rv s="0">
    <fb>5.7350000000000003</fb>
    <v>1</v>
  </rv>
  <rv s="0">
    <fb>5.74</fb>
    <v>1</v>
  </rv>
  <rv s="0">
    <fb>5.875</fb>
    <v>1</v>
  </rv>
  <rv s="0">
    <fb>5.71</fb>
    <v>1</v>
  </rv>
  <rv s="0">
    <fb>5.79</fb>
    <v>1</v>
  </rv>
  <rv s="0">
    <fb>5.6</fb>
    <v>1</v>
  </rv>
  <rv s="0">
    <fb>5.84</fb>
    <v>1</v>
  </rv>
  <rv s="0">
    <fb>5.75</fb>
    <v>1</v>
  </rv>
  <rv s="0">
    <fb>5.83</fb>
    <v>1</v>
  </rv>
  <rv s="0">
    <fb>5.91</fb>
    <v>1</v>
  </rv>
  <rv s="0">
    <fb>5.67</fb>
    <v>1</v>
  </rv>
  <rv s="0">
    <fb>5.63</fb>
    <v>1</v>
  </rv>
  <rv s="0">
    <fb>5.49</fb>
    <v>1</v>
  </rv>
  <rv s="0">
    <fb>5.59</fb>
    <v>1</v>
  </rv>
  <rv s="0">
    <fb>5.47</fb>
    <v>1</v>
  </rv>
  <rv s="0">
    <fb>6.06</fb>
    <v>1</v>
  </rv>
  <rv s="0">
    <fb>6.11</fb>
    <v>1</v>
  </rv>
  <rv s="0">
    <fb>5.69</fb>
    <v>1</v>
  </rv>
  <rv s="0">
    <fb>6.04</fb>
    <v>1</v>
  </rv>
  <rv s="0">
    <fb>6.18</fb>
    <v>1</v>
  </rv>
  <rv s="0">
    <fb>5.94</fb>
    <v>1</v>
  </rv>
  <rv s="0">
    <fb>6.12</fb>
    <v>1</v>
  </rv>
  <rv s="0">
    <fb>5.88</fb>
    <v>1</v>
  </rv>
  <rv s="0">
    <fb>5.9550000000000001</fb>
    <v>1</v>
  </rv>
  <rv s="0">
    <fb>5.76</fb>
    <v>1</v>
  </rv>
  <rv s="0">
    <fb>5.96</fb>
    <v>1</v>
  </rv>
  <rv s="0">
    <fb>6.05</fb>
    <v>1</v>
  </rv>
  <rv s="0">
    <fb>5.95</fb>
    <v>1</v>
  </rv>
  <rv s="0">
    <fb>6.01</fb>
    <v>1</v>
  </rv>
  <rv s="0">
    <fb>5.89</fb>
    <v>1</v>
  </rv>
  <rv s="0">
    <fb>5.93</fb>
    <v>1</v>
  </rv>
  <rv s="0">
    <fb>6.0110999999999999</fb>
    <v>1</v>
  </rv>
  <rv s="0">
    <fb>5.78</fb>
    <v>1</v>
  </rv>
  <rv s="0">
    <fb>5.72</fb>
    <v>1</v>
  </rv>
  <rv s="0">
    <fb>5.57</fb>
    <v>1</v>
  </rv>
  <rv s="0">
    <fb>5.42</fb>
    <v>1</v>
  </rv>
  <rv s="0">
    <fb>5.4</fb>
    <v>1</v>
  </rv>
  <rv s="0">
    <fb>5.26</fb>
    <v>1</v>
  </rv>
  <rv s="0">
    <fb>5.2350000000000003</fb>
    <v>1</v>
  </rv>
  <rv s="0">
    <fb>5.17</fb>
    <v>1</v>
  </rv>
  <rv s="0">
    <fb>5.32</fb>
    <v>1</v>
  </rv>
  <rv s="0">
    <fb>5.16</fb>
    <v>1</v>
  </rv>
  <rv s="0">
    <fb>5.04</fb>
    <v>1</v>
  </rv>
  <rv s="0">
    <fb>5.15</fb>
    <v>1</v>
  </rv>
  <rv s="0">
    <fb>5.0199999999999996</fb>
    <v>1</v>
  </rv>
  <rv s="0">
    <fb>4.93</fb>
    <v>1</v>
  </rv>
  <rv s="0">
    <fb>5.085</fb>
    <v>1</v>
  </rv>
  <rv s="0">
    <fb>4.87</fb>
    <v>1</v>
  </rv>
  <rv s="0">
    <fb>4.83</fb>
    <v>1</v>
  </rv>
  <rv s="0">
    <fb>5.01</fb>
    <v>1</v>
  </rv>
  <rv s="0">
    <fb>4.76</fb>
    <v>1</v>
  </rv>
  <rv s="0">
    <fb>4.96</fb>
    <v>1</v>
  </rv>
  <rv s="0">
    <fb>4.7549999999999999</fb>
    <v>1</v>
  </rv>
  <rv s="0">
    <fb>5.08</fb>
    <v>1</v>
  </rv>
  <rv s="0">
    <fb>5.13</fb>
    <v>1</v>
  </rv>
  <rv s="0">
    <fb>4.95</fb>
    <v>1</v>
  </rv>
  <rv s="0">
    <fb>5.09</fb>
    <v>1</v>
  </rv>
  <rv s="0">
    <fb>4.92</fb>
    <v>1</v>
  </rv>
  <rv s="0">
    <fb>5.0999999999999996</fb>
    <v>1</v>
  </rv>
  <rv s="0">
    <fb>4.9400000000000004</fb>
    <v>1</v>
  </rv>
  <rv s="0">
    <fb>5.19</fb>
    <v>1</v>
  </rv>
  <rv s="0">
    <fb>5.0149999999999997</fb>
    <v>1</v>
  </rv>
  <rv s="0">
    <fb>5.0549999999999997</fb>
    <v>1</v>
  </rv>
  <rv s="0">
    <fb>4.99</fb>
    <v>1</v>
  </rv>
  <rv s="0">
    <fb>4.9800000000000004</fb>
    <v>1</v>
  </rv>
  <rv s="0">
    <fb>4.7750000000000004</fb>
    <v>1</v>
  </rv>
  <rv s="0">
    <fb>4.7</fb>
    <v>1</v>
  </rv>
  <rv s="0">
    <fb>4.79</fb>
    <v>1</v>
  </rv>
  <rv s="0">
    <fb>4.7149999999999999</fb>
    <v>1</v>
  </rv>
  <rv s="0">
    <fb>4.6749999999999998</fb>
    <v>1</v>
  </rv>
  <rv s="0">
    <fb>4.7949999999999999</fb>
    <v>1</v>
  </rv>
  <rv s="0">
    <fb>4.6500000000000004</fb>
    <v>1</v>
  </rv>
  <rv s="0">
    <fb>4.7300000000000004</fb>
    <v>1</v>
  </rv>
  <rv s="0">
    <fb>4.7988999999999997</fb>
    <v>1</v>
  </rv>
  <rv s="0">
    <fb>4.75</fb>
    <v>1</v>
  </rv>
  <rv s="0">
    <fb>4.7850000000000001</fb>
    <v>1</v>
  </rv>
  <rv s="0">
    <fb>4.6050000000000004</fb>
    <v>1</v>
  </rv>
  <rv s="0">
    <fb>4.875</fb>
    <v>1</v>
  </rv>
  <rv s="0">
    <fb>4.6399999999999997</fb>
    <v>1</v>
  </rv>
  <rv s="0">
    <fb>4.51</fb>
    <v>1</v>
  </rv>
  <rv s="0">
    <fb>4.7249999999999996</fb>
    <v>1</v>
  </rv>
  <rv s="0">
    <fb>4.47</fb>
    <v>1</v>
  </rv>
  <rv s="0">
    <fb>4.57</fb>
    <v>1</v>
  </rv>
  <rv s="0">
    <fb>4.5999999999999996</fb>
    <v>1</v>
  </rv>
  <rv s="0">
    <fb>4.42</fb>
    <v>1</v>
  </rv>
  <rv s="0">
    <fb>4.4000000000000004</fb>
    <v>1</v>
  </rv>
  <rv s="0">
    <fb>4.37</fb>
    <v>1</v>
  </rv>
  <rv s="0">
    <fb>4.46</fb>
    <v>1</v>
  </rv>
  <rv s="0">
    <fb>4.33</fb>
    <v>1</v>
  </rv>
  <rv s="0">
    <fb>4.5049999999999999</fb>
    <v>1</v>
  </rv>
  <rv s="0">
    <fb>4.3935000000000004</fb>
    <v>1</v>
  </rv>
  <rv s="0">
    <fb>4.22</fb>
    <v>1</v>
  </rv>
  <rv s="0">
    <fb>4.45</fb>
    <v>1</v>
  </rv>
  <rv s="0">
    <fb>4.17</fb>
    <v>1</v>
  </rv>
  <rv s="0">
    <fb>4.26</fb>
    <v>1</v>
  </rv>
  <rv s="0">
    <fb>4.12</fb>
    <v>1</v>
  </rv>
  <rv s="0">
    <fb>4.2</fb>
    <v>1</v>
  </rv>
  <rv s="0">
    <fb>4.32</fb>
    <v>1</v>
  </rv>
  <rv s="0">
    <fb>4.1565000000000003</fb>
    <v>1</v>
  </rv>
  <rv s="0">
    <fb>4.2699999999999996</fb>
    <v>1</v>
  </rv>
  <rv s="0">
    <fb>4.2988</fb>
    <v>1</v>
  </rv>
  <rv s="0">
    <fb>4.1807999999999996</fb>
    <v>1</v>
  </rv>
  <rv s="0">
    <fb>4.1399999999999997</fb>
    <v>1</v>
  </rv>
  <rv s="0">
    <fb>4.09</fb>
    <v>1</v>
  </rv>
  <rv s="0">
    <fb>4.1950000000000003</fb>
    <v>1</v>
  </rv>
  <rv s="0">
    <fb>4.0999999999999996</fb>
    <v>1</v>
  </rv>
  <rv s="0">
    <fb>4.2300000000000004</fb>
    <v>1</v>
  </rv>
  <rv s="0">
    <fb>4.1349999999999998</fb>
    <v>1</v>
  </rv>
  <rv s="0">
    <fb>4.13</fb>
    <v>1</v>
  </rv>
  <rv s="0">
    <fb>4.1900000000000004</fb>
    <v>1</v>
  </rv>
  <rv s="0">
    <fb>4.28</fb>
    <v>1</v>
  </rv>
  <rv s="0">
    <fb>4.08</fb>
    <v>1</v>
  </rv>
  <rv s="0">
    <fb>3.98</fb>
    <v>1</v>
  </rv>
  <rv s="0">
    <fb>3.96</fb>
    <v>1</v>
  </rv>
  <rv s="0">
    <fb>3.79</fb>
    <v>1</v>
  </rv>
  <rv s="0">
    <fb>3.95</fb>
    <v>1</v>
  </rv>
  <rv s="0">
    <fb>3.74</fb>
    <v>1</v>
  </rv>
  <rv s="0">
    <fb>3.9</fb>
    <v>1</v>
  </rv>
  <rv s="0">
    <fb>3.94</fb>
    <v>1</v>
  </rv>
  <rv s="0">
    <fb>3.89</fb>
    <v>1</v>
  </rv>
  <rv s="0">
    <fb>3.8650000000000002</fb>
    <v>1</v>
  </rv>
  <rv s="0">
    <fb>3.9449999999999998</fb>
    <v>1</v>
  </rv>
  <rv s="0">
    <fb>3.85</fb>
    <v>1</v>
  </rv>
  <rv s="0">
    <fb>3.86</fb>
    <v>1</v>
  </rv>
  <rv s="0">
    <fb>4.18</fb>
    <v>1</v>
  </rv>
  <rv s="0">
    <fb>3.8050000000000002</fb>
    <v>1</v>
  </rv>
  <rv s="0">
    <fb>4.3899999999999997</fb>
    <v>1</v>
  </rv>
  <rv s="0">
    <fb>3.9024999999999999</fb>
    <v>1</v>
  </rv>
  <rv s="0">
    <fb>4.63</fb>
    <v>1</v>
  </rv>
  <rv s="0">
    <fb>4.66</fb>
    <v>1</v>
  </rv>
  <rv s="0">
    <fb>4.5199999999999996</fb>
    <v>1</v>
  </rv>
  <rv s="0">
    <fb>5.1749999999999998</fb>
    <v>1</v>
  </rv>
  <rv s="0">
    <fb>4.9215999999999998</fb>
    <v>1</v>
  </rv>
  <rv s="0">
    <fb>5.58</fb>
    <v>1</v>
  </rv>
  <rv s="0">
    <fb>5.6050000000000004</fb>
    <v>1</v>
  </rv>
  <rv s="0">
    <fb>5.44</fb>
    <v>1</v>
  </rv>
  <rv s="0">
    <fb>5.625</fb>
    <v>1</v>
  </rv>
  <rv s="0">
    <fb>5.41</fb>
    <v>1</v>
  </rv>
  <rv s="0">
    <fb>5.35</fb>
    <v>1</v>
  </rv>
  <rv s="0">
    <fb>5.29</fb>
    <v>1</v>
  </rv>
  <rv s="0">
    <fb>5.5</fb>
    <v>1</v>
  </rv>
  <rv s="0">
    <fb>5.53</fb>
    <v>1</v>
  </rv>
  <rv s="0">
    <fb>5.55</fb>
    <v>1</v>
  </rv>
  <rv s="0">
    <fb>5.54</fb>
    <v>1</v>
  </rv>
  <rv s="0">
    <fb>5.43</fb>
    <v>1</v>
  </rv>
  <rv s="0">
    <fb>5.33</fb>
    <v>1</v>
  </rv>
  <rv s="0">
    <fb>5.5250000000000004</fb>
    <v>1</v>
  </rv>
  <rv s="0">
    <fb>5.375</fb>
    <v>1</v>
  </rv>
  <rv s="0">
    <fb>5.48</fb>
    <v>1</v>
  </rv>
  <rv s="0">
    <fb>5.415</fb>
    <v>1</v>
  </rv>
  <rv s="0">
    <fb>5.4950000000000001</fb>
    <v>1</v>
  </rv>
  <rv s="0">
    <fb>5.3449999999999998</fb>
    <v>1</v>
  </rv>
  <rv s="0">
    <fb>5.37</fb>
    <v>1</v>
  </rv>
  <rv s="0">
    <fb>5.6449999999999996</fb>
    <v>1</v>
  </rv>
  <rv s="0">
    <fb>5.3650000000000002</fb>
    <v>1</v>
  </rv>
  <rv s="0">
    <fb>5.38</fb>
    <v>1</v>
  </rv>
  <rv s="0">
    <fb>5.4850000000000003</fb>
    <v>1</v>
  </rv>
  <rv s="0">
    <fb>5.4249999999999998</fb>
    <v>1</v>
  </rv>
  <rv s="0">
    <fb>5.34</fb>
    <v>1</v>
  </rv>
  <rv s="0">
    <fb>5.23</fb>
    <v>1</v>
  </rv>
  <rv s="0">
    <fb>5.298</fb>
    <v>1</v>
  </rv>
  <rv s="0">
    <fb>5.2</fb>
    <v>1</v>
  </rv>
  <rv s="0">
    <fb>5.18</fb>
    <v>1</v>
  </rv>
  <rv s="0">
    <fb>5.3049999999999997</fb>
    <v>1</v>
  </rv>
  <rv s="0">
    <fb>5.28</fb>
    <v>1</v>
  </rv>
  <rv s="0">
    <fb>5.1100000000000003</fb>
    <v>1</v>
  </rv>
  <rv s="0">
    <fb>5.3949999999999996</fb>
    <v>1</v>
  </rv>
  <rv s="0">
    <fb>5.46</fb>
    <v>1</v>
  </rv>
  <rv s="0">
    <fb>5.3101000000000003</fb>
    <v>1</v>
  </rv>
  <rv s="0">
    <fb>5.52</fb>
    <v>1</v>
  </rv>
  <rv s="0">
    <fb>5.45</fb>
    <v>1</v>
  </rv>
  <rv s="0">
    <fb>5.5049999999999999</fb>
    <v>1</v>
  </rv>
  <rv s="0">
    <fb>5.27</fb>
    <v>1</v>
  </rv>
  <rv s="0">
    <fb>5.6349999999999998</fb>
    <v>1</v>
  </rv>
  <rv s="0">
    <fb>5.64</fb>
    <v>1</v>
  </rv>
  <rv s="0">
    <fb>5.66</fb>
    <v>1</v>
  </rv>
  <rv s="0">
    <fb>5.36</fb>
    <v>1</v>
  </rv>
  <rv s="0">
    <fb>5.05</fb>
    <v>1</v>
  </rv>
  <rv s="0">
    <fb>5.0350000000000001</fb>
    <v>1</v>
  </rv>
  <rv s="0">
    <fb>5.0049999999999999</fb>
    <v>1</v>
  </rv>
  <rv s="0">
    <fb>5.2182000000000004</fb>
    <v>1</v>
  </rv>
  <rv s="0">
    <fb>5.0720000000000001</fb>
    <v>1</v>
  </rv>
  <rv s="0">
    <fb>5.3</fb>
    <v>1</v>
  </rv>
  <rv s="0">
    <fb>5.1050000000000004</fb>
    <v>1</v>
  </rv>
  <rv s="0">
    <fb>4.97</fb>
    <v>1</v>
  </rv>
  <rv s="0">
    <fb>5.2398999999999996</fb>
    <v>1</v>
  </rv>
  <rv s="0">
    <fb>5.2450000000000001</fb>
    <v>1</v>
  </rv>
  <rv s="0">
    <fb>5.25</fb>
    <v>1</v>
  </rv>
  <rv s="0">
    <fb>5.0750000000000002</fb>
    <v>1</v>
  </rv>
  <rv s="0">
    <fb>5.14</fb>
    <v>1</v>
  </rv>
  <rv s="0">
    <fb>5.1550000000000002</fb>
    <v>1</v>
  </rv>
  <rv s="0">
    <fb>5.0449999999999999</fb>
    <v>1</v>
  </rv>
  <rv s="0">
    <fb>5.22</fb>
    <v>1</v>
  </rv>
  <rv s="0">
    <fb>4.91</fb>
    <v>1</v>
  </rv>
  <rv s="0">
    <fb>4.8899999999999997</fb>
    <v>1</v>
  </rv>
  <rv s="0">
    <fb>4.9000000000000004</fb>
    <v>1</v>
  </rv>
  <rv s="0">
    <fb>4.9749999999999996</fb>
    <v>1</v>
  </rv>
  <rv s="0">
    <fb>4.84</fb>
    <v>1</v>
  </rv>
  <rv s="0">
    <fb>4.7699999999999996</fb>
    <v>1</v>
  </rv>
  <rv s="0">
    <fb>5.0599999999999996</fb>
    <v>1</v>
  </rv>
  <rv s="0">
    <fb>4.88</fb>
    <v>1</v>
  </rv>
  <rv s="0">
    <fb>4.8099999999999996</fb>
    <v>1</v>
  </rv>
  <rv s="0">
    <fb>6.25</fb>
    <v>1</v>
  </rv>
  <rv s="0">
    <fb>6.3550000000000004</fb>
    <v>1</v>
  </rv>
  <rv s="0">
    <fb>6.29</fb>
    <v>1</v>
  </rv>
  <rv s="0">
    <fb>5.98</fb>
    <v>1</v>
  </rv>
  <rv s="0">
    <fb>6.47</fb>
    <v>1</v>
  </rv>
  <rv s="0">
    <fb>6.4950000000000001</fb>
    <v>1</v>
  </rv>
  <rv s="0">
    <fb>6.33</fb>
    <v>1</v>
  </rv>
  <rv s="0">
    <fb>6.44</fb>
    <v>1</v>
  </rv>
  <rv s="0">
    <fb>6.3150000000000004</fb>
    <v>1</v>
  </rv>
  <rv s="0">
    <fb>6.2949999999999999</fb>
    <v>1</v>
  </rv>
  <rv s="0">
    <fb>6.4</fb>
    <v>1</v>
  </rv>
  <rv s="0">
    <fb>6.42</fb>
    <v>1</v>
  </rv>
  <rv s="0">
    <fb>6.2</fb>
    <v>1</v>
  </rv>
  <rv s="0">
    <fb>6.2450000000000001</fb>
    <v>1</v>
  </rv>
  <rv s="0">
    <fb>6.0149999999999997</fb>
    <v>1</v>
  </rv>
  <rv s="0">
    <fb>6.28</fb>
    <v>1</v>
  </rv>
  <rv s="0">
    <fb>6.36</fb>
    <v>1</v>
  </rv>
  <rv s="0">
    <fb>6.5057999999999998</fb>
    <v>1</v>
  </rv>
  <rv s="0">
    <fb>6.09</fb>
    <v>1</v>
  </rv>
  <rv s="0">
    <fb>6.6679000000000004</fb>
    <v>1</v>
  </rv>
  <rv s="0">
    <fb>6.4649999999999999</fb>
    <v>1</v>
  </rv>
  <rv s="0">
    <fb>6.6550000000000002</fb>
    <v>1</v>
  </rv>
  <rv s="0">
    <fb>6.4440999999999997</fb>
    <v>1</v>
  </rv>
  <rv s="0">
    <fb>6.41</fb>
    <v>1</v>
  </rv>
  <rv s="0">
    <fb>6.3601000000000001</fb>
    <v>1</v>
  </rv>
  <rv s="0">
    <fb>6.3</fb>
    <v>1</v>
  </rv>
  <rv s="0">
    <fb>6.2549999999999999</fb>
    <v>1</v>
  </rv>
  <rv s="0">
    <fb>6.46</fb>
    <v>1</v>
  </rv>
  <rv s="0">
    <fb>6.35</fb>
    <v>1</v>
  </rv>
  <rv s="0">
    <fb>6.335</fb>
    <v>1</v>
  </rv>
  <rv s="0">
    <fb>3.43</fb>
    <v>1</v>
  </rv>
  <rv s="0">
    <fb>3.52</fb>
    <v>1</v>
  </rv>
  <rv s="0">
    <fb>3.34</fb>
    <v>1</v>
  </rv>
  <rv s="0">
    <fb>3.41</fb>
    <v>1</v>
  </rv>
  <rv s="0">
    <fb>3.4449999999999998</fb>
    <v>1</v>
  </rv>
  <rv s="0">
    <fb>3.37</fb>
    <v>1</v>
  </rv>
  <rv s="0">
    <fb>3.3</fb>
    <v>1</v>
  </rv>
  <rv s="0">
    <fb>3.29</fb>
    <v>1</v>
  </rv>
  <rv s="0">
    <fb>3.4599000000000002</fb>
    <v>1</v>
  </rv>
  <rv s="0">
    <fb>3.32</fb>
    <v>1</v>
  </rv>
  <rv s="0">
    <fb>3.4</fb>
    <v>1</v>
  </rv>
  <rv s="0">
    <fb>3.3250000000000002</fb>
    <v>1</v>
  </rv>
  <rv s="0">
    <fb>3.47</fb>
    <v>1</v>
  </rv>
  <rv s="0">
    <fb>3.55</fb>
    <v>1</v>
  </rv>
  <rv s="0">
    <fb>3.26</fb>
    <v>1</v>
  </rv>
  <rv s="0">
    <fb>3.4249999999999998</fb>
    <v>1</v>
  </rv>
  <rv s="0">
    <fb>3.24</fb>
    <v>1</v>
  </rv>
  <rv s="0">
    <fb>3.19</fb>
    <v>1</v>
  </rv>
  <rv s="0">
    <fb>3.31</fb>
    <v>1</v>
  </rv>
  <rv s="0">
    <fb>3.3889</fb>
    <v>1</v>
  </rv>
  <rv s="0">
    <fb>3.3450000000000002</fb>
    <v>1</v>
  </rv>
  <rv s="0">
    <fb>3.28</fb>
    <v>1</v>
  </rv>
  <rv s="0">
    <fb>3.3149999999999999</fb>
    <v>1</v>
  </rv>
  <rv s="0">
    <fb>3.25</fb>
    <v>1</v>
  </rv>
  <rv s="0">
    <fb>3.35</fb>
    <v>1</v>
  </rv>
  <rv s="0">
    <fb>3.2650000000000001</fb>
    <v>1</v>
  </rv>
  <rv s="0">
    <fb>3.22</fb>
    <v>1</v>
  </rv>
  <rv s="0">
    <fb>3.2</fb>
    <v>1</v>
  </rv>
  <rv s="0">
    <fb>3.15</fb>
    <v>1</v>
  </rv>
  <rv s="0">
    <fb>3.33</fb>
    <v>1</v>
  </rv>
  <rv s="0">
    <fb>3.1</fb>
    <v>1</v>
  </rv>
  <rv s="0">
    <fb>3</fb>
    <v>1</v>
  </rv>
  <rv s="0">
    <fb>2.895</fb>
    <v>1</v>
  </rv>
  <rv s="0">
    <fb>3.01</fb>
    <v>1</v>
  </rv>
  <rv s="0">
    <fb>3.02</fb>
    <v>1</v>
  </rv>
  <rv s="0">
    <fb>2.87</fb>
    <v>1</v>
  </rv>
  <rv s="0">
    <fb>3.06</fb>
    <v>1</v>
  </rv>
  <rv s="0">
    <fb>2.98</fb>
    <v>1</v>
  </rv>
  <rv s="0">
    <fb>3.08</fb>
    <v>1</v>
  </rv>
  <rv s="0">
    <fb>3.1349999999999998</fb>
    <v>1</v>
  </rv>
  <rv s="0">
    <fb>3.0150000000000001</fb>
    <v>1</v>
  </rv>
  <rv s="0">
    <fb>3.13</fb>
    <v>1</v>
  </rv>
  <rv s="0">
    <fb>3.0950000000000002</fb>
    <v>1</v>
  </rv>
  <rv s="0">
    <fb>3.23</fb>
    <v>1</v>
  </rv>
  <rv s="0">
    <fb>3.07</fb>
    <v>1</v>
  </rv>
  <rv s="0">
    <fb>3.3201000000000001</fb>
    <v>1</v>
  </rv>
  <rv s="0">
    <fb>3.1800999999999999</fb>
    <v>1</v>
  </rv>
  <rv s="0">
    <fb>3.17</fb>
    <v>1</v>
  </rv>
  <rv s="0">
    <fb>3.3519999999999999</fb>
    <v>1</v>
  </rv>
  <rv s="0">
    <fb>3.14</fb>
    <v>1</v>
  </rv>
  <rv s="0">
    <fb>3.27</fb>
    <v>1</v>
  </rv>
  <rv s="0">
    <fb>3.16</fb>
    <v>1</v>
  </rv>
  <rv s="0">
    <fb>3.12</fb>
    <v>1</v>
  </rv>
  <rv s="0">
    <fb>3.36</fb>
    <v>1</v>
  </rv>
  <rv s="0">
    <fb>3.18</fb>
    <v>1</v>
  </rv>
  <rv s="0">
    <fb>3.2250000000000001</fb>
    <v>1</v>
  </rv>
  <rv s="0">
    <fb>3.04</fb>
    <v>1</v>
  </rv>
  <rv s="0">
    <fb>2.99</fb>
    <v>1</v>
  </rv>
  <rv s="0">
    <fb>3.0790000000000002</fb>
    <v>1</v>
  </rv>
  <rv s="0">
    <fb>2.88</fb>
    <v>1</v>
  </rv>
  <rv s="0">
    <fb>2.97</fb>
    <v>1</v>
  </rv>
  <rv s="0">
    <fb>2.92</fb>
    <v>1</v>
  </rv>
  <rv s="0">
    <fb>3.03</fb>
    <v>1</v>
  </rv>
  <rv s="0">
    <fb>3.0550000000000002</fb>
    <v>1</v>
  </rv>
  <rv s="0">
    <fb>2.94</fb>
    <v>1</v>
  </rv>
  <rv s="0">
    <fb>2.95</fb>
    <v>1</v>
  </rv>
  <rv s="0">
    <fb>2.91</fb>
    <v>1</v>
  </rv>
  <rv s="0">
    <fb>3.09</fb>
    <v>1</v>
  </rv>
  <rv s="0">
    <fb>3.38</fb>
    <v>1</v>
  </rv>
  <rv s="0">
    <fb>3.57</fb>
    <v>1</v>
  </rv>
  <rv s="0">
    <fb>3.6</fb>
    <v>1</v>
  </rv>
  <rv s="0">
    <fb>3.54</fb>
    <v>1</v>
  </rv>
  <rv s="0">
    <fb>3.4049999999999998</fb>
    <v>1</v>
  </rv>
  <rv s="0">
    <fb>3.3106</fb>
    <v>1</v>
  </rv>
  <rv s="0">
    <fb>3.45</fb>
    <v>1</v>
  </rv>
  <rv s="0">
    <fb>3.5</fb>
    <v>1</v>
  </rv>
  <rv s="0">
    <fb>3.2759999999999998</fb>
    <v>1</v>
  </rv>
  <rv s="0">
    <fb>3.5350000000000001</fb>
    <v>1</v>
  </rv>
  <rv s="0">
    <fb>3.4666000000000001</fb>
    <v>1</v>
  </rv>
  <rv s="0">
    <fb>3.42</fb>
    <v>1</v>
  </rv>
  <rv s="0">
    <fb>3.39</fb>
    <v>1</v>
  </rv>
  <rv s="0">
    <fb>3.4499</fb>
    <v>1</v>
  </rv>
  <rv s="0">
    <fb>3.11</fb>
    <v>1</v>
  </rv>
  <rv s="0">
    <fb>3.0350000000000001</fb>
    <v>1</v>
  </rv>
  <rv s="0">
    <fb>2.8</fb>
    <v>1</v>
  </rv>
  <rv s="0">
    <fb>3.1150000000000002</fb>
    <v>1</v>
  </rv>
  <rv s="0">
    <fb>2.85</fb>
    <v>1</v>
  </rv>
  <rv s="0">
    <fb>2.84</fb>
    <v>1</v>
  </rv>
  <rv s="0">
    <fb>2.9350000000000001</fb>
    <v>1</v>
  </rv>
  <rv s="0">
    <fb>2.8149999999999999</fb>
    <v>1</v>
  </rv>
  <rv s="0">
    <fb>2.61</fb>
    <v>1</v>
  </rv>
  <rv s="0">
    <fb>2.8250000000000002</fb>
    <v>1</v>
  </rv>
  <rv s="0">
    <fb>2.5499999999999998</fb>
    <v>1</v>
  </rv>
  <rv s="0">
    <fb>2.58</fb>
    <v>1</v>
  </rv>
  <rv s="0">
    <fb>2.76</fb>
    <v>1</v>
  </rv>
  <rv s="0">
    <fb>2.48</fb>
    <v>1</v>
  </rv>
  <rv s="0">
    <fb>2.2799999999999998</fb>
    <v>1</v>
  </rv>
  <rv s="0">
    <fb>2.6850000000000001</fb>
    <v>1</v>
  </rv>
  <rv s="0">
    <fb>2.2599999999999998</fb>
    <v>1</v>
  </rv>
  <rv s="0">
    <fb>2.5099999999999998</fb>
    <v>1</v>
  </rv>
  <rv s="0">
    <fb>2.54</fb>
    <v>1</v>
  </rv>
  <rv s="0">
    <fb>2.2601</fb>
    <v>1</v>
  </rv>
  <rv s="0">
    <fb>2.4700000000000002</fb>
    <v>1</v>
  </rv>
  <rv s="0">
    <fb>2.81</fb>
    <v>1</v>
  </rv>
  <rv s="0">
    <fb>2.9</fb>
    <v>1</v>
  </rv>
  <rv s="0">
    <fb>2.6</fb>
    <v>1</v>
  </rv>
  <rv s="0">
    <fb>2.75</fb>
    <v>1</v>
  </rv>
  <rv s="0">
    <fb>3.05</fb>
    <v>1</v>
  </rv>
  <rv s="0">
    <fb>2.89</fb>
    <v>1</v>
  </rv>
  <rv s="0">
    <fb>4.3499999999999996</fb>
    <v>1</v>
  </rv>
  <rv s="0">
    <fb>4.67</fb>
    <v>1</v>
  </rv>
  <rv s="0">
    <fb>4.1500000000000004</fb>
    <v>1</v>
  </rv>
  <rv s="0">
    <fb>4.6100000000000003</fb>
    <v>1</v>
  </rv>
  <rv s="0">
    <fb>4.4400000000000004</fb>
    <v>1</v>
  </rv>
  <rv s="0">
    <fb>4.49</fb>
    <v>1</v>
  </rv>
  <rv s="0">
    <fb>4.1749999999999998</fb>
    <v>1</v>
  </rv>
  <rv s="0">
    <fb>4.38</fb>
    <v>1</v>
  </rv>
  <rv s="0">
    <fb>4.4199000000000002</fb>
    <v>1</v>
  </rv>
  <rv s="0">
    <fb>4.3</fb>
    <v>1</v>
  </rv>
  <rv s="0">
    <fb>4.085</fb>
    <v>1</v>
  </rv>
  <rv s="0">
    <fb>4.1100000000000003</fb>
    <v>1</v>
  </rv>
  <rv s="0">
    <fb>4.0949999999999998</fb>
    <v>1</v>
  </rv>
  <rv s="0">
    <fb>4.21</fb>
    <v>1</v>
  </rv>
  <rv s="0">
    <fb>3.91</fb>
    <v>1</v>
  </rv>
  <rv s="0">
    <fb>4.29</fb>
    <v>1</v>
  </rv>
  <rv s="0">
    <fb>3.8149999999999999</fb>
    <v>1</v>
  </rv>
  <rv s="0">
    <fb>3.76</fb>
    <v>1</v>
  </rv>
  <rv s="0">
    <fb>4.05</fb>
    <v>1</v>
  </rv>
  <rv s="0">
    <fb>3.72</fb>
    <v>1</v>
  </rv>
  <rv s="0">
    <fb>3.78</fb>
    <v>1</v>
  </rv>
  <rv s="0">
    <fb>3.7450000000000001</fb>
    <v>1</v>
  </rv>
  <rv s="0">
    <fb>3.46</fb>
    <v>1</v>
  </rv>
  <rv s="0">
    <fb>3.48</fb>
    <v>1</v>
  </rv>
  <rv s="0">
    <fb>3.5449999999999999</fb>
    <v>1</v>
  </rv>
  <rv s="0">
    <fb>3.3650000000000002</fb>
    <v>1</v>
  </rv>
  <rv s="0">
    <fb>3.61</fb>
    <v>1</v>
  </rv>
  <rv s="0">
    <fb>3.63</fb>
    <v>1</v>
  </rv>
  <rv s="0">
    <fb>3.64</fb>
    <v>1</v>
  </rv>
  <rv s="0">
    <fb>3.7</fb>
    <v>1</v>
  </rv>
  <rv s="0">
    <fb>3.7549999999999999</fb>
    <v>1</v>
  </rv>
  <rv s="0">
    <fb>3.6349999999999998</fb>
    <v>1</v>
  </rv>
  <rv s="0">
    <fb>3.59</fb>
    <v>1</v>
  </rv>
  <rv s="0">
    <fb>3.75</fb>
    <v>1</v>
  </rv>
  <rv s="0">
    <fb>3.51</fb>
    <v>1</v>
  </rv>
  <rv s="0">
    <fb>3.6949999999999998</fb>
    <v>1</v>
  </rv>
  <rv s="0">
    <fb>3.53</fb>
    <v>1</v>
  </rv>
  <rv s="0">
    <fb>3.58</fb>
    <v>1</v>
  </rv>
  <rv s="0">
    <fb>3.6678999999999999</fb>
    <v>1</v>
  </rv>
  <rv s="0">
    <fb>3.5301</fb>
    <v>1</v>
  </rv>
  <rv s="0">
    <fb>3.5649999999999999</fb>
    <v>1</v>
  </rv>
  <rv s="0">
    <fb>3.415</fb>
    <v>1</v>
  </rv>
  <rv s="0">
    <fb>3.6549999999999998</fb>
    <v>1</v>
  </rv>
  <rv s="0">
    <fb>3.5335000000000001</fb>
    <v>1</v>
  </rv>
  <rv s="0">
    <fb>3.49</fb>
    <v>1</v>
  </rv>
  <rv s="0">
    <fb>3.8</fb>
    <v>1</v>
  </rv>
  <rv s="0">
    <fb>3.77</fb>
    <v>1</v>
  </rv>
  <rv s="0">
    <fb>3.875</fb>
    <v>1</v>
  </rv>
  <rv s="0">
    <fb>4.6900000000000004</fb>
    <v>1</v>
  </rv>
  <rv s="0">
    <fb>4.41</fb>
    <v>1</v>
  </rv>
  <rv s="0">
    <fb>4.8499999999999996</fb>
    <v>1</v>
  </rv>
  <rv s="0">
    <fb>4.3449999999999998</fb>
    <v>1</v>
  </rv>
  <rv s="0">
    <fb>4.5599999999999996</fb>
    <v>1</v>
  </rv>
  <rv s="0">
    <fb>4.3099999999999996</fb>
    <v>1</v>
  </rv>
  <rv s="0">
    <fb>4.34</fb>
    <v>1</v>
  </rv>
  <rv s="0">
    <fb>4.43</fb>
    <v>1</v>
  </rv>
  <rv s="0">
    <fb>4.58</fb>
    <v>1</v>
  </rv>
  <rv s="0">
    <fb>4.3250000000000002</fb>
    <v>1</v>
  </rv>
  <rv s="0">
    <fb>4.3550000000000004</fb>
    <v>1</v>
  </rv>
  <rv s="0">
    <fb>4.3600000000000003</fb>
    <v>1</v>
  </rv>
  <rv s="0">
    <fb>4.415</fb>
    <v>1</v>
  </rv>
  <rv s="0">
    <fb>4.2252000000000001</fb>
    <v>1</v>
  </rv>
  <rv s="0">
    <fb>3.99</fb>
    <v>1</v>
  </rv>
  <rv s="0">
    <fb>3.9350000000000001</fb>
    <v>1</v>
  </rv>
  <rv s="0">
    <fb>4.165</fb>
    <v>1</v>
  </rv>
  <rv s="0">
    <fb>3.71</fb>
    <v>1</v>
  </rv>
  <rv s="0">
    <fb>4.2450000000000001</fb>
    <v>1</v>
  </rv>
  <rv s="0">
    <fb>4.07</fb>
    <v>1</v>
  </rv>
  <rv s="0">
    <fb>4.4800000000000004</fb>
    <v>1</v>
  </rv>
  <rv s="0">
    <fb>4.7050000000000001</fb>
    <v>1</v>
  </rv>
  <rv s="0">
    <fb>4.55</fb>
    <v>1</v>
  </rv>
  <rv s="0">
    <fb>4.59</fb>
    <v>1</v>
  </rv>
  <rv s="0">
    <fb>4.625</fb>
    <v>1</v>
  </rv>
  <rv s="0">
    <fb>4.72</fb>
    <v>1</v>
  </rv>
  <rv s="0">
    <fb>4.7350000000000003</fb>
    <v>1</v>
  </rv>
  <rv s="0">
    <fb>4.8</fb>
    <v>1</v>
  </rv>
  <rv s="0">
    <fb>4.8449999999999998</fb>
    <v>1</v>
  </rv>
  <rv s="0">
    <fb>4.68</fb>
    <v>1</v>
  </rv>
  <rv s="0">
    <fb>5.2649999999999997</fb>
    <v>1</v>
  </rv>
  <rv s="0">
    <fb>5.1150000000000002</fb>
    <v>1</v>
  </rv>
  <rv s="0">
    <fb>5.5899000000000001</fb>
    <v>1</v>
  </rv>
  <rv s="0">
    <fb>5.82</fb>
    <v>1</v>
  </rv>
  <rv s="0">
    <fb>5.2850000000000001</fb>
    <v>1</v>
  </rv>
  <rv s="0">
    <fb>5.31</fb>
    <v>1</v>
  </rv>
  <rv s="0">
    <fb>5.12</fb>
    <v>1</v>
  </rv>
  <rv s="0">
    <fb>5.3997999999999999</fb>
    <v>1</v>
  </rv>
  <rv s="0">
    <fb>5.07</fb>
    <v>1</v>
  </rv>
  <rv s="0">
    <fb>5.0949999999999998</fb>
    <v>1</v>
  </rv>
  <rv s="0">
    <fb>5.3879999999999999</fb>
    <v>1</v>
  </rv>
  <rv s="0">
    <fb>5.6428000000000003</fb>
    <v>1</v>
  </rv>
  <rv s="0">
    <fb>5.835</fb>
    <v>1</v>
  </rv>
  <rv s="0">
    <fb>5.8898999999999999</fb>
    <v>1</v>
  </rv>
  <rv s="0">
    <fb>5.92</fb>
    <v>1</v>
  </rv>
  <rv s="0">
    <fb>5.8150000000000004</fb>
    <v>1</v>
  </rv>
  <rv s="0">
    <fb>5.97</fb>
    <v>1</v>
  </rv>
  <rv s="0">
    <fb>6.08</fb>
    <v>1</v>
  </rv>
  <rv s="0">
    <fb>5.9950000000000001</fb>
    <v>1</v>
  </rv>
  <rv s="0">
    <fb>6.0198999999999998</fb>
    <v>1</v>
  </rv>
  <rv s="0">
    <fb>6.15</fb>
    <v>1</v>
  </rv>
  <rv s="0">
    <fb>5.8550000000000004</fb>
    <v>1</v>
  </rv>
  <rv s="0">
    <fb>6.59</fb>
    <v>1</v>
  </rv>
  <rv s="0">
    <fb>6.4050000000000002</fb>
    <v>1</v>
  </rv>
  <rv s="0">
    <fb>6.6749999999999998</fb>
    <v>1</v>
  </rv>
  <rv s="0">
    <fb>6.9349999999999996</fb>
    <v>1</v>
  </rv>
  <rv s="0">
    <fb>6.69</fb>
    <v>1</v>
  </rv>
  <rv s="0">
    <fb>6.585</fb>
    <v>1</v>
  </rv>
  <rv s="0">
    <fb>6.75</fb>
    <v>1</v>
  </rv>
  <rv s="0">
    <fb>6.67</fb>
    <v>1</v>
  </rv>
  <rv s="0">
    <fb>6.8598999999999997</fb>
    <v>1</v>
  </rv>
  <rv s="0">
    <fb>6.61</fb>
    <v>1</v>
  </rv>
  <rv s="0">
    <fb>6.98</fb>
    <v>1</v>
  </rv>
  <rv s="0">
    <fb>7.05</fb>
    <v>1</v>
  </rv>
  <rv s="0">
    <fb>7.3</fb>
    <v>1</v>
  </rv>
  <rv s="0">
    <fb>7.33</fb>
    <v>1</v>
  </rv>
  <rv s="0">
    <fb>7.31</fb>
    <v>1</v>
  </rv>
  <rv s="0">
    <fb>7.1050000000000004</fb>
    <v>1</v>
  </rv>
  <rv s="0">
    <fb>7.04</fb>
    <v>1</v>
  </rv>
  <rv s="0">
    <fb>7.25</fb>
    <v>1</v>
  </rv>
  <rv s="0">
    <fb>7.27</fb>
    <v>1</v>
  </rv>
  <rv s="0">
    <fb>6.9</fb>
    <v>1</v>
  </rv>
  <rv s="0">
    <fb>7.53</fb>
    <v>1</v>
  </rv>
  <rv s="0">
    <fb>7.26</fb>
    <v>1</v>
  </rv>
  <rv s="0">
    <fb>7.64</fb>
    <v>1</v>
  </rv>
  <rv s="0">
    <fb>7.81</fb>
    <v>1</v>
  </rv>
  <rv s="0">
    <fb>7.5049999999999999</fb>
    <v>1</v>
  </rv>
  <rv s="0">
    <fb>7.67</fb>
    <v>1</v>
  </rv>
  <rv s="0">
    <fb>7.6</fb>
    <v>1</v>
  </rv>
  <rv s="0">
    <fb>9.0549999999999997</fb>
    <v>1</v>
  </rv>
  <rv s="0">
    <fb>8.4649999999999999</fb>
    <v>1</v>
  </rv>
  <rv s="0">
    <fb>10.119999999999999</fb>
    <v>1</v>
  </rv>
  <rv s="0">
    <fb>10.16</fb>
    <v>1</v>
  </rv>
  <rv s="0">
    <fb>10.435</fb>
    <v>1</v>
  </rv>
  <rv s="0">
    <fb>9.3244000000000007</fb>
    <v>1</v>
  </rv>
  <rv s="0">
    <fb>10.39</fb>
    <v>1</v>
  </rv>
  <rv s="0">
    <fb>9.83</fb>
    <v>1</v>
  </rv>
  <rv s="0">
    <fb>10.3399</fb>
    <v>1</v>
  </rv>
  <rv s="0">
    <fb>10.07</fb>
    <v>1</v>
  </rv>
  <rv s="0">
    <fb>9.59</fb>
    <v>1</v>
  </rv>
  <rv s="0">
    <fb>10.31</fb>
    <v>1</v>
  </rv>
  <rv s="0">
    <fb>10.44</fb>
    <v>1</v>
  </rv>
  <rv s="0">
    <fb>9.75</fb>
    <v>1</v>
  </rv>
  <rv s="0">
    <fb>10.36</fb>
    <v>1</v>
  </rv>
  <rv s="0">
    <fb>9.67</fb>
    <v>1</v>
  </rv>
  <rv s="0">
    <fb>9.6150000000000002</fb>
    <v>1</v>
  </rv>
  <rv s="0">
    <fb>10.01</fb>
    <v>1</v>
  </rv>
  <rv s="0">
    <fb>10.185</fb>
    <v>1</v>
  </rv>
  <rv s="0">
    <fb>9.8949999999999996</fb>
    <v>1</v>
  </rv>
  <rv s="0">
    <fb>10.135</fb>
    <v>1</v>
  </rv>
  <rv s="0">
    <fb>10.9</fb>
    <v>1</v>
  </rv>
  <rv s="0">
    <fb>10.4</fb>
    <v>1</v>
  </rv>
  <rv s="0">
    <fb>10.74</fb>
    <v>1</v>
  </rv>
  <rv s="0">
    <fb>10.33</fb>
    <v>1</v>
  </rv>
  <rv s="0">
    <fb>9.5500000000000007</fb>
    <v>1</v>
  </rv>
  <rv s="0">
    <fb>10.25</fb>
    <v>1</v>
  </rv>
  <rv s="0">
    <fb>10.11</fb>
    <v>1</v>
  </rv>
  <rv s="0">
    <fb>9.5890000000000004</fb>
    <v>1</v>
  </rv>
  <rv s="0">
    <fb>8.3101000000000003</fb>
    <v>1</v>
  </rv>
  <rv s="0">
    <fb>8.91</fb>
    <v>1</v>
  </rv>
  <rv s="0">
    <fb>8.31</fb>
    <v>1</v>
  </rv>
  <rv s="0">
    <fb>8.4491999999999994</fb>
    <v>1</v>
  </rv>
  <rv s="0">
    <fb>7.6749999999999998</fb>
    <v>1</v>
  </rv>
  <rv s="0">
    <fb>7.7149999999999999</fb>
    <v>1</v>
  </rv>
  <rv s="0">
    <fb>7.8250000000000002</fb>
    <v>1</v>
  </rv>
  <rv s="0">
    <fb>8.7349999999999994</fb>
    <v>1</v>
  </rv>
  <rv s="0">
    <fb>8.8550000000000004</fb>
    <v>1</v>
  </rv>
  <rv s="0">
    <fb>8.2349999999999994</fb>
    <v>1</v>
  </rv>
  <rv s="0">
    <fb>10.19</fb>
    <v>1</v>
  </rv>
  <rv s="0">
    <fb>10.23</fb>
    <v>1</v>
  </rv>
  <rv s="0">
    <fb>9.73</fb>
    <v>1</v>
  </rv>
  <rv s="0">
    <fb>10.18</fb>
    <v>1</v>
  </rv>
  <rv s="0">
    <fb>10.465</fb>
    <v>1</v>
  </rv>
  <rv s="0">
    <fb>10.15</fb>
    <v>1</v>
  </rv>
  <rv s="0">
    <fb>9.92</fb>
    <v>1</v>
  </rv>
  <rv s="0">
    <fb>9.93</fb>
    <v>1</v>
  </rv>
  <rv s="0">
    <fb>10.106299999999999</fb>
    <v>1</v>
  </rv>
  <rv s="0">
    <fb>9.9499999999999993</fb>
    <v>1</v>
  </rv>
  <rv s="0">
    <fb>10.02</fb>
    <v>1</v>
  </rv>
  <rv s="0">
    <fb>9.84</fb>
    <v>1</v>
  </rv>
  <rv s="0">
    <fb>10.24</fb>
    <v>1</v>
  </rv>
  <rv s="0">
    <fb>9.74</fb>
    <v>1</v>
  </rv>
  <rv s="0">
    <fb>9.51</fb>
    <v>1</v>
  </rv>
  <rv s="0">
    <fb>45656</fb>
    <v>0</v>
  </rv>
  <rv s="0">
    <fb>2.2400000000000002</fb>
    <v>1</v>
  </rv>
  <rv s="0">
    <fb>2.09</fb>
    <v>1</v>
  </rv>
  <rv s="0">
    <fb>2.0699999999999998</fb>
    <v>1</v>
  </rv>
  <rv s="0">
    <fb>2.27</fb>
    <v>1</v>
  </rv>
  <rv s="0">
    <fb>1.8201000000000001</fb>
    <v>1</v>
  </rv>
  <rv s="0">
    <fb>2.04</fb>
    <v>1</v>
  </rv>
  <rv s="0">
    <fb>2.46</fb>
    <v>1</v>
  </rv>
  <rv s="0">
    <fb>1.94</fb>
    <v>1</v>
  </rv>
  <rv s="0">
    <fb>1.75</fb>
    <v>1</v>
  </rv>
  <rv s="0">
    <fb>2</fb>
    <v>1</v>
  </rv>
  <rv s="0">
    <fb>1.64</fb>
    <v>1</v>
  </rv>
  <rv s="0">
    <fb>1.91</fb>
    <v>1</v>
  </rv>
  <rv s="0">
    <fb>1.92</fb>
    <v>1</v>
  </rv>
  <rv s="0">
    <fb>1.5</fb>
    <v>1</v>
  </rv>
  <rv s="0">
    <fb>1.83</fb>
    <v>1</v>
  </rv>
  <rv s="0">
    <fb>2.23</fb>
    <v>1</v>
  </rv>
  <rv s="0">
    <fb>1.8049999999999999</fb>
    <v>1</v>
  </rv>
  <rv s="0">
    <fb>1.25</fb>
    <v>1</v>
  </rv>
  <rv s="0">
    <fb>1.24</fb>
    <v>1</v>
  </rv>
  <rv s="0">
    <fb>0.98429999999999995</fb>
    <v>1</v>
  </rv>
  <rv s="0">
    <fb>1.26</fb>
    <v>1</v>
  </rv>
  <rv s="0">
    <fb>0.9163</fb>
    <v>1</v>
  </rv>
  <rv s="0">
    <fb>0.8085</fb>
    <v>1</v>
  </rv>
  <rv s="0">
    <fb>1</fb>
    <v>1</v>
  </rv>
  <rv s="0">
    <fb>0.75070000000000003</fb>
    <v>1</v>
  </rv>
  <rv s="0">
    <fb>0.73839999999999995</fb>
    <v>1</v>
  </rv>
  <rv s="0">
    <fb>1.18</fb>
    <v>1</v>
  </rv>
  <rv s="0">
    <fb>0.56999999999999995</fb>
    <v>1</v>
  </rv>
  <rv s="0">
    <fb>0.70009999999999994</fb>
    <v>1</v>
  </rv>
  <rv s="0">
    <fb>0.79579999999999995</fb>
    <v>1</v>
  </rv>
  <rv s="0">
    <fb>0.68</fb>
    <v>1</v>
  </rv>
  <rv s="0">
    <fb>1.1200000000000001</fb>
    <v>1</v>
  </rv>
  <rv s="0">
    <fb>1.1399999999999999</fb>
    <v>1</v>
  </rv>
  <rv s="0">
    <fb>0.69110000000000005</fb>
    <v>1</v>
  </rv>
  <rv s="0">
    <fb>0.92090000000000005</fb>
    <v>1</v>
  </rv>
  <rv s="0">
    <fb>0.8337</fb>
    <v>1</v>
  </rv>
  <rv s="0">
    <fb>0.81399999999999995</fb>
    <v>1</v>
  </rv>
  <rv s="0">
    <fb>0.9899</fb>
    <v>1</v>
  </rv>
  <rv s="0">
    <fb>0.65910000000000002</fb>
    <v>1</v>
  </rv>
  <rv s="0">
    <fb>0.88790000000000002</fb>
    <v>1</v>
  </rv>
  <rv s="0">
    <fb>0.96499999999999997</fb>
    <v>1</v>
  </rv>
  <rv s="0">
    <fb>0.81530000000000002</fb>
    <v>1</v>
  </rv>
  <rv s="0">
    <fb>0.71509999999999996</fb>
    <v>1</v>
  </rv>
  <rv s="0">
    <fb>0.9</fb>
    <v>1</v>
  </rv>
  <rv s="0">
    <fb>0.69040000000000001</fb>
    <v>1</v>
  </rv>
  <rv s="0">
    <fb>0.81859999999999999</fb>
    <v>1</v>
  </rv>
  <rv s="0">
    <fb>0.85370000000000001</fb>
    <v>1</v>
  </rv>
  <rv s="0">
    <fb>0.72840000000000005</fb>
    <v>1</v>
  </rv>
  <rv s="0">
    <fb>0.76500000000000001</fb>
    <v>1</v>
  </rv>
  <rv s="0">
    <fb>0.79890000000000005</fb>
    <v>1</v>
  </rv>
  <rv s="0">
    <fb>0.73109999999999997</fb>
    <v>1</v>
  </rv>
  <rv s="0">
    <fb>0.93010000000000004</fb>
    <v>1</v>
  </rv>
  <rv s="0">
    <fb>0.94</fb>
    <v>1</v>
  </rv>
  <rv s="0">
    <fb>0.76</fb>
    <v>1</v>
  </rv>
  <rv s="0">
    <fb>0.92679999999999996</fb>
    <v>1</v>
  </rv>
  <rv s="0">
    <fb>1.05</fb>
    <v>1</v>
  </rv>
  <rv s="0">
    <fb>0.8276</fb>
    <v>1</v>
  </rv>
  <rv s="0">
    <fb>1.22</fb>
    <v>1</v>
  </rv>
  <rv s="0">
    <fb>1.23</fb>
    <v>1</v>
  </rv>
  <rv s="0">
    <fb>0.89</fb>
    <v>1</v>
  </rv>
  <rv s="0">
    <fb>1.7</fb>
    <v>1</v>
  </rv>
  <rv s="0">
    <fb>1.885</fb>
    <v>1</v>
  </rv>
  <rv s="0">
    <fb>1.82</fb>
    <v>1</v>
  </rv>
  <rv s="0">
    <fb>2.0449999999999999</fb>
    <v>1</v>
  </rv>
  <rv s="0">
    <fb>1.4000999999999999</fb>
    <v>1</v>
  </rv>
  <rv s="0">
    <fb>1.58</fb>
    <v>1</v>
  </rv>
  <rv s="0">
    <fb>1.9</fb>
    <v>1</v>
  </rv>
  <rv s="0">
    <fb>1.46</fb>
    <v>1</v>
  </rv>
  <rv s="0">
    <fb>1.36</fb>
    <v>1</v>
  </rv>
  <rv s="0">
    <fb>1.85</fb>
    <v>1</v>
  </rv>
  <rv s="0">
    <fb>2.29</fb>
    <v>1</v>
  </rv>
  <rv s="0">
    <fb>1.8</fb>
    <v>1</v>
  </rv>
  <rv s="0">
    <fb>2.12</fb>
    <v>1</v>
  </rv>
  <rv s="0">
    <fb>1.71</fb>
    <v>1</v>
  </rv>
  <rv s="0">
    <fb>2.6398999999999999</fb>
    <v>1</v>
  </rv>
  <rv s="0">
    <fb>2.13</fb>
    <v>1</v>
  </rv>
  <rv s="0">
    <fb>2.7</fb>
    <v>1</v>
  </rv>
  <rv s="0">
    <fb>2.02</fb>
    <v>1</v>
  </rv>
  <rv s="0">
    <fb>2.2000000000000002</fb>
    <v>1</v>
  </rv>
  <rv s="0">
    <fb>1.78</fb>
    <v>1</v>
  </rv>
  <rv s="0">
    <fb>2.25</fb>
    <v>1</v>
  </rv>
  <rv s="0">
    <fb>6.1879999999999997</fb>
    <v>1</v>
  </rv>
  <rv s="0">
    <fb>4.53</fb>
    <v>1</v>
  </rv>
  <rv s="0">
    <fb>6.72</fb>
    <v>1</v>
  </rv>
  <rv s="0">
    <fb>5.21</fb>
    <v>1</v>
  </rv>
  <rv s="0">
    <fb>7.66</fb>
    <v>1</v>
  </rv>
  <rv s="0">
    <fb>8.1198999999999995</fb>
    <v>1</v>
  </rv>
  <rv s="0">
    <fb>10.28</fb>
    <v>1</v>
  </rv>
  <rv s="0">
    <fb>7.18</fb>
    <v>1</v>
  </rv>
  <rv s="0">
    <fb>11.6999</fb>
    <v>1</v>
  </rv>
  <rv s="0">
    <fb>9.1900999999999993</fb>
    <v>1</v>
  </rv>
  <rv s="0">
    <fb>11.215</fb>
    <v>1</v>
  </rv>
  <rv s="0">
    <fb>7.5549999999999997</fb>
    <v>1</v>
  </rv>
  <rv s="0">
    <fb>7.46</fb>
    <v>1</v>
  </rv>
  <rv s="0">
    <fb>8.3149999999999995</fb>
    <v>1</v>
  </rv>
  <rv s="0">
    <fb>9.07</fb>
    <v>1</v>
  </rv>
  <rv s="0">
    <fb>7.32</fb>
    <v>1</v>
  </rv>
  <rv s="0">
    <fb>2.63</fb>
    <v>1</v>
  </rv>
  <rv s="0">
    <fb>2.79</fb>
    <v>1</v>
  </rv>
  <rv s="0">
    <fb>2.4500000000000002</fb>
    <v>1</v>
  </rv>
  <rv s="0">
    <fb>2.69</fb>
    <v>1</v>
  </rv>
  <rv s="0">
    <fb>2.65</fb>
    <v>1</v>
  </rv>
  <rv s="0">
    <fb>2.7591000000000001</fb>
    <v>1</v>
  </rv>
  <rv s="0">
    <fb>2.4</fb>
    <v>1</v>
  </rv>
  <rv s="0">
    <fb>2.73</fb>
    <v>1</v>
  </rv>
  <rv s="0">
    <fb>1.88</fb>
    <v>1</v>
  </rv>
  <rv s="0">
    <fb>2.19</fb>
    <v>1</v>
  </rv>
  <rv s="0">
    <fb>1.99</fb>
    <v>1</v>
  </rv>
  <rv s="0">
    <fb>2.21</fb>
    <v>1</v>
  </rv>
  <rv s="0">
    <fb>2.2578999999999998</fb>
    <v>1</v>
  </rv>
  <rv s="0">
    <fb>1.9993000000000001</fb>
    <v>1</v>
  </rv>
  <rv s="0">
    <fb>2.0049999999999999</fb>
    <v>1</v>
  </rv>
  <rv s="0">
    <fb>2.0099999999999998</fb>
    <v>1</v>
  </rv>
  <rv s="0">
    <fb>2.1398999999999999</fb>
    <v>1</v>
  </rv>
  <rv s="0">
    <fb>2.37</fb>
    <v>1</v>
  </rv>
  <rv s="0">
    <fb>2.11</fb>
    <v>1</v>
  </rv>
  <rv s="0">
    <fb>2.2999999999999998</fb>
    <v>1</v>
  </rv>
  <rv s="0">
    <fb>2.1</fb>
    <v>1</v>
  </rv>
  <rv s="0">
    <fb>1.98</fb>
    <v>1</v>
  </rv>
  <rv s="0">
    <fb>1.81</fb>
    <v>1</v>
  </rv>
  <rv s="0">
    <fb>1.69</fb>
    <v>1</v>
  </rv>
  <rv s="0">
    <fb>1.77</fb>
    <v>1</v>
  </rv>
  <rv s="0">
    <fb>1.68</fb>
    <v>1</v>
  </rv>
  <rv s="0">
    <fb>1.835</fb>
    <v>1</v>
  </rv>
  <rv s="0">
    <fb>1.665</fb>
    <v>1</v>
  </rv>
  <rv s="0">
    <fb>1.6</fb>
    <v>1</v>
  </rv>
  <rv s="0">
    <fb>1.6794</fb>
    <v>1</v>
  </rv>
  <rv s="0">
    <fb>1.62</fb>
    <v>1</v>
  </rv>
  <rv s="0">
    <fb>1.72</fb>
    <v>1</v>
  </rv>
  <rv s="0">
    <fb>1.61</fb>
    <v>1</v>
  </rv>
  <rv s="0">
    <fb>1.76</fb>
    <v>1</v>
  </rv>
  <rv s="0">
    <fb>1.8206</fb>
    <v>1</v>
  </rv>
  <rv s="0">
    <fb>2.14</fb>
    <v>1</v>
  </rv>
  <rv s="0">
    <fb>1.93</fb>
    <v>1</v>
  </rv>
  <rv s="0">
    <fb>1.9499</fb>
    <v>1</v>
  </rv>
  <rv s="0">
    <fb>1.84</fb>
    <v>1</v>
  </rv>
  <rv s="0">
    <fb>1.9693000000000001</fb>
    <v>1</v>
  </rv>
  <rv s="0">
    <fb>1.65</fb>
    <v>1</v>
  </rv>
  <rv s="0">
    <fb>1.43</fb>
    <v>1</v>
  </rv>
  <rv s="0">
    <fb>1.4</fb>
    <v>1</v>
  </rv>
  <rv s="0">
    <fb>1.39</fb>
    <v>1</v>
  </rv>
  <rv s="0">
    <fb>1.325</fb>
    <v>1</v>
  </rv>
  <rv s="0">
    <fb>1.45</fb>
    <v>1</v>
  </rv>
  <rv s="0">
    <fb>1.1000000000000001</fb>
    <v>1</v>
  </rv>
  <rv s="0">
    <fb>1.04</fb>
    <v>1</v>
  </rv>
  <rv s="0">
    <fb>1.21</fb>
    <v>1</v>
  </rv>
  <rv s="0">
    <fb>1.08</fb>
    <v>1</v>
  </rv>
  <rv s="0">
    <fb>1.03</fb>
    <v>1</v>
  </rv>
  <rv s="0">
    <fb>0.97040000000000004</fb>
    <v>1</v>
  </rv>
  <rv s="0">
    <fb>1.1299999999999999</fb>
    <v>1</v>
  </rv>
  <rv s="0">
    <fb>0.97</fb>
    <v>1</v>
  </rv>
  <rv s="0">
    <fb>1.0215000000000001</fb>
    <v>1</v>
  </rv>
  <rv s="0">
    <fb>0.85229999999999995</fb>
    <v>1</v>
  </rv>
  <rv s="0">
    <fb>0.83899999999999997</fb>
    <v>1</v>
  </rv>
  <rv s="0">
    <fb>0.87119999999999997</fb>
    <v>1</v>
  </rv>
  <rv s="0">
    <fb>0.93620000000000003</fb>
    <v>1</v>
  </rv>
  <rv s="0">
    <fb>0.78849999999999998</fb>
    <v>1</v>
  </rv>
  <rv s="0">
    <fb>0.88749999999999996</fb>
    <v>1</v>
  </rv>
  <rv s="0">
    <fb>0.90339999999999998</fb>
    <v>1</v>
  </rv>
  <rv s="0">
    <fb>0.83</fb>
    <v>1</v>
  </rv>
  <rv s="0">
    <fb>0.80459999999999998</fb>
    <v>1</v>
  </rv>
  <rv s="0">
    <fb>0.89900000000000002</fb>
    <v>1</v>
  </rv>
  <rv s="0">
    <fb>0.8</fb>
    <v>1</v>
  </rv>
  <rv s="0">
    <fb>0.72699999999999998</fb>
    <v>1</v>
  </rv>
  <rv s="0">
    <fb>0.81</fb>
    <v>1</v>
  </rv>
  <rv s="0">
    <fb>0.68500000000000005</fb>
    <v>1</v>
  </rv>
  <rv s="0">
    <fb>0.72350000000000003</fb>
    <v>1</v>
  </rv>
  <rv s="0">
    <fb>0.68110000000000004</fb>
    <v>1</v>
  </rv>
  <rv s="0">
    <fb>0.69699999999999995</fb>
    <v>1</v>
  </rv>
  <rv s="0">
    <fb>0.70650000000000002</fb>
    <v>1</v>
  </rv>
  <rv s="0">
    <fb>0.67669999999999997</fb>
    <v>1</v>
  </rv>
  <rv s="0">
    <fb>0.7177</fb>
    <v>1</v>
  </rv>
  <rv s="0">
    <fb>0.65029999999999999</fb>
    <v>1</v>
  </rv>
  <rv s="0">
    <fb>0.74</fb>
    <v>1</v>
  </rv>
  <rv s="0">
    <fb>0.65</fb>
    <v>1</v>
  </rv>
  <rv s="0">
    <fb>0.77439999999999998</fb>
    <v>1</v>
  </rv>
  <rv s="0">
    <fb>0.79100000000000004</fb>
    <v>1</v>
  </rv>
  <rv s="0">
    <fb>0.72440000000000004</fb>
    <v>1</v>
  </rv>
  <rv s="0">
    <fb>0.74480000000000002</fb>
    <v>1</v>
  </rv>
  <rv s="0">
    <fb>0.72009999999999996</fb>
    <v>1</v>
  </rv>
  <rv s="0">
    <fb>0.75760000000000005</fb>
    <v>1</v>
  </rv>
  <rv s="0">
    <fb>0.76580000000000004</fb>
    <v>1</v>
  </rv>
  <rv s="0">
    <fb>0.72099999999999997</fb>
    <v>1</v>
  </rv>
  <rv s="0">
    <fb>0.69010000000000005</fb>
    <v>1</v>
  </rv>
  <rv s="0">
    <fb>0.75680000000000003</fb>
    <v>1</v>
  </rv>
  <rv s="0">
    <fb>0.72</fb>
    <v>1</v>
  </rv>
  <rv s="0">
    <fb>0.81200000000000006</fb>
    <v>1</v>
  </rv>
  <rv s="0">
    <fb>0.82</fb>
    <v>1</v>
  </rv>
  <rv s="0">
    <fb>0.88580000000000003</fb>
    <v>1</v>
  </rv>
  <rv s="0">
    <fb>0.79500000000000004</fb>
    <v>1</v>
  </rv>
  <rv s="0">
    <fb>0.84499999999999997</fb>
    <v>1</v>
  </rv>
  <rv s="0">
    <fb>0.97289999999999999</fb>
    <v>1</v>
  </rv>
  <rv s="0">
    <fb>0.80869999999999997</fb>
    <v>1</v>
  </rv>
  <rv s="0">
    <fb>0.99980000000000002</fb>
    <v>1</v>
  </rv>
  <rv s="0">
    <fb>1.01</fb>
    <v>1</v>
  </rv>
  <rv s="0">
    <fb>0.83309999999999995</fb>
    <v>1</v>
  </rv>
  <rv s="0">
    <fb>1.07</fb>
    <v>1</v>
  </rv>
  <rv s="0">
    <fb>0.89139999999999997</fb>
    <v>1</v>
  </rv>
  <rv s="0">
    <fb>1.1499999999999999</fb>
    <v>1</v>
  </rv>
  <rv s="0">
    <fb>1.0101</fb>
    <v>1</v>
  </rv>
  <rv s="0">
    <fb>1.1100000000000001</fb>
    <v>1</v>
  </rv>
  <rv s="0">
    <fb>1.1298999999999999</fb>
    <v>1</v>
  </rv>
  <rv s="0">
    <fb>0.99</fb>
    <v>1</v>
  </rv>
  <rv s="0">
    <fb>0.89939999999999998</fb>
    <v>1</v>
  </rv>
  <rv s="0">
    <fb>0.86</fb>
    <v>1</v>
  </rv>
  <rv s="0">
    <fb>0.9677</fb>
    <v>1</v>
  </rv>
  <rv s="0">
    <fb>0.81689999999999996</fb>
    <v>1</v>
  </rv>
  <rv s="0">
    <fb>0.75</fb>
    <v>1</v>
  </rv>
  <rv s="0">
    <fb>0.83009999999999995</fb>
    <v>1</v>
  </rv>
  <rv s="0">
    <fb>0.84</fb>
    <v>1</v>
  </rv>
  <rv s="0">
    <fb>0.77510000000000001</fb>
    <v>1</v>
  </rv>
  <rv s="0">
    <fb>0.82030000000000003</fb>
    <v>1</v>
  </rv>
  <rv s="0">
    <fb>0.71399999999999997</fb>
    <v>1</v>
  </rv>
  <rv s="0">
    <fb>0.9143</fb>
    <v>1</v>
  </rv>
  <rv s="0">
    <fb>0.85509999999999997</fb>
    <v>1</v>
  </rv>
  <rv s="0">
    <fb>0.87419999999999998</fb>
    <v>1</v>
  </rv>
  <rv s="0">
    <fb>0.93899999999999995</fb>
    <v>1</v>
  </rv>
  <rv s="0">
    <fb>0.85</fb>
    <v>1</v>
  </rv>
  <rv s="0">
    <fb>0.86370000000000002</fb>
    <v>1</v>
  </rv>
  <rv s="0">
    <fb>0.87860000000000005</fb>
    <v>1</v>
  </rv>
  <rv s="0">
    <fb>0.91920000000000002</fb>
    <v>1</v>
  </rv>
  <rv s="0">
    <fb>0.85099999999999998</fb>
    <v>1</v>
  </rv>
  <rv s="0">
    <fb>0.79810000000000003</fb>
    <v>1</v>
  </rv>
  <rv s="0">
    <fb>0.87</fb>
    <v>1</v>
  </rv>
  <rv s="0">
    <fb>0.7712</fb>
    <v>1</v>
  </rv>
  <rv s="0">
    <fb>0.82010000000000005</fb>
    <v>1</v>
  </rv>
  <rv s="0">
    <fb>0.77</fb>
    <v>1</v>
  </rv>
  <rv s="0">
    <fb>0.84189999999999998</fb>
    <v>1</v>
  </rv>
  <rv s="0">
    <fb>0.83140000000000003</fb>
    <v>1</v>
  </rv>
  <rv s="0">
    <fb>0.80049999999999999</fb>
    <v>1</v>
  </rv>
  <rv s="0">
    <fb>0.87929999999999997</fb>
    <v>1</v>
  </rv>
  <rv s="0">
    <fb>0.78339999999999999</fb>
    <v>1</v>
  </rv>
  <rv s="0">
    <fb>0.81559999999999999</fb>
    <v>1</v>
  </rv>
  <rv s="0">
    <fb>0.75109999999999999</fb>
    <v>1</v>
  </rv>
  <rv s="0">
    <fb>0.77890000000000004</fb>
    <v>1</v>
  </rv>
  <rv s="0">
    <fb>0.80679999999999996</fb>
    <v>1</v>
  </rv>
  <rv s="0">
    <fb>0.82930000000000004</fb>
    <v>1</v>
  </rv>
  <rv s="0">
    <fb>0.77680000000000005</fb>
    <v>1</v>
  </rv>
  <rv s="0">
    <fb>0.78859999999999997</fb>
    <v>1</v>
  </rv>
  <rv s="0">
    <fb>0.73499999999999999</fb>
    <v>1</v>
  </rv>
  <rv s="0">
    <fb>0.83289999999999997</fb>
    <v>1</v>
  </rv>
  <rv s="0">
    <fb>0.77170000000000005</fb>
    <v>1</v>
  </rv>
  <rv s="0">
    <fb>0.76429999999999998</fb>
    <v>1</v>
  </rv>
  <rv s="0">
    <fb>0.76039999999999996</fb>
    <v>1</v>
  </rv>
  <rv s="0">
    <fb>0.75719999999999998</fb>
    <v>1</v>
  </rv>
  <rv s="0">
    <fb>0.77900000000000003</fb>
    <v>1</v>
  </rv>
  <rv s="0">
    <fb>0.73540000000000005</fb>
    <v>1</v>
  </rv>
  <rv s="0">
    <fb>0.75349999999999995</fb>
    <v>1</v>
  </rv>
  <rv s="0">
    <fb>0.76239999999999997</fb>
    <v>1</v>
  </rv>
  <rv s="0">
    <fb>0.79090000000000005</fb>
    <v>1</v>
  </rv>
  <rv s="0">
    <fb>0.79879999999999995</fb>
    <v>1</v>
  </rv>
  <rv s="0">
    <fb>0.73170000000000002</fb>
    <v>1</v>
  </rv>
  <rv s="0">
    <fb>0.79630000000000001</fb>
    <v>1</v>
  </rv>
  <rv s="0">
    <fb>0.76170000000000004</fb>
    <v>1</v>
  </rv>
  <rv s="0">
    <fb>0.82979999999999998</fb>
    <v>1</v>
  </rv>
  <rv s="0">
    <fb>0.76019999999999999</fb>
    <v>1</v>
  </rv>
  <rv s="0">
    <fb>0.88639999999999997</fb>
    <v>1</v>
  </rv>
  <rv s="0">
    <fb>0.80689999999999995</fb>
    <v>1</v>
  </rv>
  <rv s="0">
    <fb>0.87590000000000001</fb>
    <v>1</v>
  </rv>
  <rv s="0">
    <fb>0.92</fb>
    <v>1</v>
  </rv>
  <rv s="0">
    <fb>0.84389999999999998</fb>
    <v>1</v>
  </rv>
  <rv s="0">
    <fb>0.85670000000000002</fb>
    <v>1</v>
  </rv>
  <rv s="0">
    <fb>0.84009999999999996</fb>
    <v>1</v>
  </rv>
  <rv s="0">
    <fb>0.97940000000000005</fb>
    <v>1</v>
  </rv>
  <rv s="0">
    <fb>0.85499999999999998</fb>
    <v>1</v>
  </rv>
  <rv s="0">
    <fb>0.94259999999999999</fb>
    <v>1</v>
  </rv>
  <rv s="0">
    <fb>0.93100000000000005</fb>
    <v>1</v>
  </rv>
  <rv s="0">
    <fb>0.86509999999999998</fb>
    <v>1</v>
  </rv>
  <rv s="0">
    <fb>0.99650000000000005</fb>
    <v>1</v>
  </rv>
  <rv s="0">
    <fb>0.9093</fb>
    <v>1</v>
  </rv>
  <rv s="0">
    <fb>0.91900000000000004</fb>
    <v>1</v>
  </rv>
  <rv s="0">
    <fb>0.84350000000000003</fb>
    <v>1</v>
  </rv>
  <rv s="0">
    <fb>0.96</fb>
    <v>1</v>
  </rv>
  <rv s="0">
    <fb>0.94220000000000004</fb>
    <v>1</v>
  </rv>
  <rv s="0">
    <fb>0.95369999999999999</fb>
    <v>1</v>
  </rv>
  <rv s="0">
    <fb>0.93200000000000005</fb>
    <v>1</v>
  </rv>
  <rv s="0">
    <fb>1.47</fb>
    <v>1</v>
  </rv>
  <rv s="0">
    <fb>1.52</fb>
    <v>1</v>
  </rv>
  <rv s="0">
    <fb>1.42</fb>
    <v>1</v>
  </rv>
  <rv s="0">
    <fb>1.66</fb>
    <v>1</v>
  </rv>
  <rv s="0">
    <fb>1.79</fb>
    <v>1</v>
  </rv>
  <rv s="0">
    <fb>1.87</fb>
    <v>1</v>
  </rv>
  <rv s="0">
    <fb>1.67</fb>
    <v>1</v>
  </rv>
  <rv s="0">
    <fb>1.48</fb>
    <v>1</v>
  </rv>
  <rv s="0">
    <fb>1.51</fb>
    <v>1</v>
  </rv>
  <rv s="0">
    <fb>1.56</fb>
    <v>1</v>
  </rv>
  <rv s="0">
    <fb>1.6988000000000001</fb>
    <v>1</v>
  </rv>
  <rv s="0">
    <fb>1.55</fb>
    <v>1</v>
  </rv>
  <rv s="0">
    <fb>1.59</fb>
    <v>1</v>
  </rv>
  <rv s="0">
    <fb>1.4650000000000001</fb>
    <v>1</v>
  </rv>
  <rv s="0">
    <fb>1.53</fb>
    <v>1</v>
  </rv>
  <rv s="0">
    <fb>1.96</fb>
    <v>1</v>
  </rv>
  <rv s="0">
    <fb>1.95</fb>
    <v>1</v>
  </rv>
  <rv s="0">
    <fb>2.0150000000000001</fb>
    <v>1</v>
  </rv>
  <rv s="0">
    <fb>1.97</fb>
    <v>1</v>
  </rv>
  <rv s="0">
    <fb>1.825</fb>
    <v>1</v>
  </rv>
  <rv s="0">
    <fb>1.7949999999999999</fb>
    <v>1</v>
  </rv>
  <rv s="0">
    <fb>2.0499999999999998</fb>
    <v>1</v>
  </rv>
  <rv s="0">
    <fb>2.31</fb>
    <v>1</v>
  </rv>
  <rv s="0">
    <fb>2.35</fb>
    <v>1</v>
  </rv>
  <rv s="0">
    <fb>2.44</fb>
    <v>1</v>
  </rv>
  <rv s="0">
    <fb>2.1800000000000002</fb>
    <v>1</v>
  </rv>
  <rv s="0">
    <fb>2.33</fb>
    <v>1</v>
  </rv>
  <rv s="0">
    <fb>2.06</fb>
    <v>1</v>
  </rv>
  <rv s="0">
    <fb>2.2200000000000002</fb>
    <v>1</v>
  </rv>
  <rv s="0">
    <fb>2.0299999999999998</fb>
    <v>1</v>
  </rv>
  <rv s="0">
    <fb>2.67</fb>
    <v>1</v>
  </rv>
  <rv s="0">
    <fb>2.66</fb>
    <v>1</v>
  </rv>
  <rv s="0">
    <fb>3.085</fb>
    <v>1</v>
  </rv>
  <rv s="0">
    <fb>3.395</fb>
    <v>1</v>
  </rv>
  <rv s="0">
    <fb>3.44</fb>
    <v>1</v>
  </rv>
  <rv s="0">
    <fb>3.93</fb>
    <v>1</v>
  </rv>
  <rv s="0">
    <fb>4.01</fb>
    <v>1</v>
  </rv>
  <rv s="0">
    <fb>3.7250000000000001</fb>
    <v>1</v>
  </rv>
  <rv s="0">
    <fb>3.56</fb>
    <v>1</v>
  </rv>
  <rv s="0">
    <fb>3.66</fb>
    <v>1</v>
  </rv>
  <rv s="0">
    <fb>5.2666000000000004</fb>
    <v>1</v>
  </rv>
  <rv s="0">
    <fb>4.71</fb>
    <v>1</v>
  </rv>
  <rv s="0">
    <fb>5.7</fb>
    <v>1</v>
  </rv>
  <rv s="0">
    <fb>5.03</fb>
    <v>1</v>
  </rv>
  <rv s="0">
    <fb>5.6779999999999999</fb>
    <v>1</v>
  </rv>
  <rv s="0">
    <fb>5.68</fb>
    <v>1</v>
  </rv>
  <rv s="0">
    <fb>5.3849999999999998</fb>
    <v>1</v>
  </rv>
  <rv s="0">
    <fb>6.38</fb>
    <v>1</v>
  </rv>
  <rv s="0">
    <fb>6.1</fb>
    <v>1</v>
  </rv>
  <rv s="0">
    <fb>7.23</fb>
    <v>1</v>
  </rv>
  <rv s="0">
    <fb>7.35</fb>
    <v>1</v>
  </rv>
  <rv s="0">
    <fb>6.79</fb>
    <v>1</v>
  </rv>
  <rv s="0">
    <fb>7.72</fb>
    <v>1</v>
  </rv>
  <rv s="0">
    <fb>7.57</fb>
    <v>1</v>
  </rv>
  <rv s="0">
    <fb>10.66</fb>
    <v>1</v>
  </rv>
  <rv s="0">
    <fb>11.63</fb>
    <v>1</v>
  </rv>
  <rv s="0">
    <fb>10.27</fb>
    <v>1</v>
  </rv>
  <rv s="0">
    <fb>11.09</fb>
    <v>1</v>
  </rv>
  <rv s="0">
    <fb>11.545</fb>
    <v>1</v>
  </rv>
  <rv s="0">
    <fb>10.713200000000001</fb>
    <v>1</v>
  </rv>
  <rv s="0">
    <fb>11.39</fb>
    <v>1</v>
  </rv>
  <rv s="0">
    <fb>10.375</fb>
    <v>1</v>
  </rv>
  <rv s="0">
    <fb>10.81</fb>
    <v>1</v>
  </rv>
  <rv s="0">
    <fb>9.6831999999999994</fb>
    <v>1</v>
  </rv>
  <rv s="0">
    <fb>10.41</fb>
    <v>1</v>
  </rv>
  <rv s="0">
    <fb>10.56</fb>
    <v>1</v>
  </rv>
  <rv s="0">
    <fb>7.92</fb>
    <v>1</v>
  </rv>
  <rv s="0">
    <fb>7.19</fb>
    <v>1</v>
  </rv>
  <rv s="0">
    <fb>7.1245000000000003</fb>
    <v>1</v>
  </rv>
  <rv s="0">
    <fb>7.06</fb>
    <v>1</v>
  </rv>
  <rv s="0">
    <fb>6.65</fb>
    <v>1</v>
  </rv>
  <rv s="0">
    <fb>7.4050000000000002</fb>
    <v>1</v>
  </rv>
  <rv s="0">
    <fb>6.6150000000000002</fb>
    <v>1</v>
  </rv>
  <rv s="0">
    <fb>6.2050000000000001</fb>
    <v>1</v>
  </rv>
  <rv s="0">
    <fb>5.77</fb>
    <v>1</v>
  </rv>
  <rv s="0">
    <fb>5.2149999999999999</fb>
    <v>1</v>
  </rv>
  <rv s="0">
    <fb>5.8949999999999996</fb>
    <v>1</v>
  </rv>
  <rv s="0">
    <fb>6.0949999999999998</fb>
    <v>1</v>
  </rv>
  <rv s="0">
    <fb>6.165</fb>
    <v>1</v>
  </rv>
  <rv s="0">
    <fb>7.34</fb>
    <v>1</v>
  </rv>
  <rv s="0">
    <fb>7.5149999999999997</fb>
    <v>1</v>
  </rv>
  <rv s="0">
    <fb>6.27</fb>
    <v>1</v>
  </rv>
  <rv s="0">
    <fb>7.6849999999999996</fb>
    <v>1</v>
  </rv>
  <rv s="0">
    <fb>8.4694000000000003</fb>
    <v>1</v>
  </rv>
  <rv s="0">
    <fb>7.47</fb>
    <v>1</v>
  </rv>
  <rv s="0">
    <fb>9.1050000000000004</fb>
    <v>1</v>
  </rv>
  <rv s="0">
    <fb>7.42</fb>
    <v>1</v>
  </rv>
  <rv s="0">
    <fb>6.97</fb>
    <v>1</v>
  </rv>
  <rv s="0">
    <fb>7.22</fb>
    <v>1</v>
  </rv>
  <rv s="0">
    <fb>7.54</fb>
    <v>1</v>
  </rv>
  <rv s="0">
    <fb>10.37</fb>
    <v>1</v>
  </rv>
  <rv s="0">
    <fb>11.31</fb>
    <v>1</v>
  </rv>
  <rv s="0">
    <fb>11.75</fb>
    <v>1</v>
  </rv>
  <rv s="0">
    <fb>11.54</fb>
    <v>1</v>
  </rv>
  <rv s="0">
    <fb>12.06</fb>
    <v>1</v>
  </rv>
  <rv s="0">
    <fb>13.04</fb>
    <v>1</v>
  </rv>
  <rv s="0">
    <fb>14.68</fb>
    <v>1</v>
  </rv>
  <rv s="0">
    <fb>14.59</fb>
    <v>1</v>
  </rv>
  <rv s="0">
    <fb>13.285</fb>
    <v>1</v>
  </rv>
  <rv s="0">
    <fb>13.55</fb>
    <v>1</v>
  </rv>
  <rv s="0">
    <fb>12.88</fb>
    <v>1</v>
  </rv>
  <rv s="0">
    <fb>11.91</fb>
    <v>1</v>
  </rv>
  <rv s="0">
    <fb>11.73</fb>
    <v>1</v>
  </rv>
  <rv s="0">
    <fb>9.9600000000000009</fb>
    <v>1</v>
  </rv>
  <rv s="0">
    <fb>10.71</fb>
    <v>1</v>
  </rv>
  <rv s="0">
    <fb>12.47</fb>
    <v>1</v>
  </rv>
  <rv s="0">
    <fb>12.07</fb>
    <v>1</v>
  </rv>
  <rv s="0">
    <fb>11.43</fb>
    <v>1</v>
  </rv>
  <rv s="0">
    <fb>10.94</fb>
    <v>1</v>
  </rv>
  <rv s="0">
    <fb>9.85</fb>
    <v>1</v>
  </rv>
  <rv s="0">
    <fb>4.74</fb>
    <v>1</v>
  </rv>
  <rv s="0">
    <fb>6.96</fb>
    <v>1</v>
  </rv>
  <rv s="0">
    <fb>6.23</fb>
    <v>1</v>
  </rv>
  <rv s="0">
    <fb>5.99</fb>
    <v>1</v>
  </rv>
  <rv s="0">
    <fb>6.22</fb>
    <v>1</v>
  </rv>
  <rv s="0">
    <fb>5.9850000000000003</fb>
    <v>1</v>
  </rv>
  <rv s="0">
    <fb>6.02</fb>
    <v>1</v>
  </rv>
  <rv s="0">
    <fb>7.56</fb>
    <v>1</v>
  </rv>
  <rv s="0">
    <fb>8.7899999999999991</fb>
    <v>1</v>
  </rv>
  <rv s="0">
    <fb>8.26</fb>
    <v>1</v>
  </rv>
  <rv s="0">
    <fb>7.49</fb>
    <v>1</v>
  </rv>
  <rv s="0">
    <fb>8.01</fb>
    <v>1</v>
  </rv>
  <rv s="0">
    <fb>10.8</fb>
    <v>1</v>
  </rv>
  <rv s="0">
    <fb>10.76</fb>
    <v>1</v>
  </rv>
  <rv s="0">
    <fb>10.61</fb>
    <v>1</v>
  </rv>
  <rv s="0">
    <fb>10.14</fb>
    <v>1</v>
  </rv>
  <rv s="0">
    <fb>9.9649999999999999</fb>
    <v>1</v>
  </rv>
  <rv s="0">
    <fb>8.85</fb>
    <v>1</v>
  </rv>
  <rv s="0">
    <fb>2.57</fb>
    <v>1</v>
  </rv>
  <rv s="0">
    <fb>2.56</fb>
    <v>1</v>
  </rv>
  <rv s="0">
    <fb>2.42</fb>
    <v>1</v>
  </rv>
  <rv s="0">
    <fb>2.3199999999999998</fb>
    <v>1</v>
  </rv>
  <rv s="0">
    <fb>2.39</fb>
    <v>1</v>
  </rv>
  <rv s="0">
    <fb>3.62</fb>
    <v>1</v>
  </rv>
  <rv s="0">
    <fb>2.86</fb>
    <v>1</v>
  </rv>
  <rv s="0">
    <fb>2.82</fb>
    <v>1</v>
  </rv>
  <rv s="0">
    <fb>2.71</fb>
    <v>1</v>
  </rv>
  <rv s="0">
    <fb>2.74</fb>
    <v>1</v>
  </rv>
  <rv s="0">
    <fb>2.78</fb>
    <v>1</v>
  </rv>
  <rv s="0">
    <fb>2.96</fb>
    <v>1</v>
  </rv>
  <rv s="0">
    <fb>2.83</fb>
    <v>1</v>
  </rv>
  <rv s="0">
    <fb>2.72</fb>
    <v>1</v>
  </rv>
  <rv s="0">
    <fb>2.4900000000000002</fb>
    <v>1</v>
  </rv>
  <rv s="0">
    <fb>1.89</fb>
    <v>1</v>
  </rv>
  <rv s="0">
    <fb>2.36</fb>
    <v>1</v>
  </rv>
  <rv s="0">
    <fb>2.68</fb>
    <v>1</v>
  </rv>
  <rv s="0">
    <fb>2.5299999999999998</fb>
    <v>1</v>
  </rv>
  <rv s="0">
    <fb>2.93</fb>
    <v>1</v>
  </rv>
  <rv s="0">
    <fb>2.64</fb>
    <v>1</v>
  </rv>
  <rv s="0">
    <fb>2.41</fb>
    <v>1</v>
  </rv>
  <rv s="0">
    <fb>2.38</fb>
    <v>1</v>
  </rv>
  <rv s="0">
    <fb>2.4049999999999998</fb>
    <v>1</v>
  </rv>
  <rv s="0">
    <fb>2.4300000000000002</fb>
    <v>1</v>
  </rv>
  <rv s="0">
    <fb>2.34</fb>
    <v>1</v>
  </rv>
  <rv s="0">
    <fb>2.59</fb>
    <v>1</v>
  </rv>
  <rv s="0">
    <fb>2.5</fb>
    <v>1</v>
  </rv>
  <rv s="0">
    <fb>2.08</fb>
    <v>1</v>
  </rv>
  <rv s="0">
    <fb>2.15</fb>
    <v>1</v>
  </rv>
  <rv s="0">
    <fb>2.16</fb>
    <v>1</v>
  </rv>
  <rv s="0">
    <fb>10.48</fb>
    <v>1</v>
  </rv>
  <rv s="0">
    <fb>10.38</fb>
    <v>1</v>
  </rv>
  <rv s="0">
    <fb>9.8699999999999992</fb>
    <v>1</v>
  </rv>
  <rv s="0">
    <fb>10.5</fb>
    <v>1</v>
  </rv>
  <rv s="0">
    <fb>10.73</fb>
    <v>1</v>
  </rv>
  <rv s="0">
    <fb>10.34</fb>
    <v>1</v>
  </rv>
  <rv s="0">
    <fb>10.210000000000001</fb>
    <v>1</v>
  </rv>
  <rv s="0">
    <fb>10.67</fb>
    <v>1</v>
  </rv>
  <rv s="0">
    <fb>10.68</fb>
    <v>1</v>
  </rv>
  <rv s="0">
    <fb>10.83</fb>
    <v>1</v>
  </rv>
  <rv s="0">
    <fb>10.59</fb>
    <v>1</v>
  </rv>
  <rv s="0">
    <fb>10.09</fb>
    <v>1</v>
  </rv>
  <rv s="0">
    <fb>10.65</fb>
    <v>1</v>
  </rv>
  <rv s="0">
    <fb>10.43</fb>
    <v>1</v>
  </rv>
  <rv s="0">
    <fb>7.1</fb>
    <v>1</v>
  </rv>
  <rv s="0">
    <fb>7.07</fb>
    <v>1</v>
  </rv>
  <rv s="0">
    <fb>7.09</fb>
    <v>1</v>
  </rv>
  <rv s="0">
    <fb>7.21</fb>
    <v>1</v>
  </rv>
  <rv s="0">
    <fb>6.88</fb>
    <v>1</v>
  </rv>
  <rv s="0">
    <fb>6.94</fb>
    <v>1</v>
  </rv>
  <rv s="0">
    <fb>6.07</fb>
    <v>1</v>
  </rv>
  <rv s="0">
    <fb>6.19</fb>
    <v>1</v>
  </rv>
  <rv s="0">
    <fb>5.65</fb>
    <v>1</v>
  </rv>
  <rv s="0">
    <fb>11.635</fb>
    <v>1</v>
  </rv>
  <rv s="0">
    <fb>11.6325</fb>
    <v>1</v>
  </rv>
  <rv s="0">
    <fb>11.6214</fb>
    <v>1</v>
  </rv>
  <rv s="0">
    <fb>11.64</fb>
    <v>1</v>
  </rv>
  <rv s="0">
    <fb>11.630699999999999</fb>
    <v>1</v>
  </rv>
  <rv s="0">
    <fb>11.641999999999999</fb>
    <v>1</v>
  </rv>
  <rv s="1">
    <fb t="e">#N/A</fb>
    <v>6</v>
    <v>4</v>
  </rv>
  <rv s="0">
    <fb>11.658799999999999</fb>
    <v>1</v>
  </rv>
  <rv s="0">
    <fb>11.6509</fb>
    <v>1</v>
  </rv>
  <rv s="0">
    <fb>11.651199999999999</fb>
    <v>1</v>
  </rv>
  <rv s="0">
    <fb>11.669600000000001</fb>
    <v>1</v>
  </rv>
  <rv s="0">
    <fb>11.67</fb>
    <v>1</v>
  </rv>
  <rv s="0">
    <fb>11.6525</fb>
    <v>1</v>
  </rv>
  <rv s="0">
    <fb>11.6502</fb>
    <v>1</v>
  </rv>
  <rv s="0">
    <fb>11.6523</fb>
    <v>1</v>
  </rv>
  <rv s="0">
    <fb>11.68</fb>
    <v>1</v>
  </rv>
  <rv s="0">
    <fb>11.6501</fb>
    <v>1</v>
  </rv>
  <rv s="0">
    <fb>11.658899999999999</fb>
    <v>1</v>
  </rv>
  <rv s="0">
    <fb>11.7151</fb>
    <v>1</v>
  </rv>
  <rv s="0">
    <fb>11.7</fb>
    <v>1</v>
  </rv>
  <rv s="0">
    <fb>11.69</fb>
    <v>1</v>
  </rv>
  <rv s="0">
    <fb>11.734999999999999</fb>
    <v>1</v>
  </rv>
  <rv s="0">
    <fb>11.71</fb>
    <v>1</v>
  </rv>
  <rv s="0">
    <fb>11.7296</fb>
    <v>1</v>
  </rv>
  <rv s="0">
    <fb>11.85</fb>
    <v>1</v>
  </rv>
  <rv s="0">
    <fb>12.68</fb>
    <v>1</v>
  </rv>
  <rv s="0">
    <fb>12.65</fb>
    <v>1</v>
  </rv>
  <rv s="0">
    <fb>12.2</fb>
    <v>1</v>
  </rv>
  <rv s="0">
    <fb>11.795</fb>
    <v>1</v>
  </rv>
  <rv s="0">
    <fb>11.74</fb>
    <v>1</v>
  </rv>
  <rv s="0">
    <fb>11.11</fb>
    <v>1</v>
  </rv>
  <rv s="0">
    <fb>11.44</fb>
    <v>1</v>
  </rv>
  <rv s="0">
    <fb>12.02</fb>
    <v>1</v>
  </rv>
  <rv s="0">
    <fb>13.25</fb>
    <v>1</v>
  </rv>
  <rv s="0">
    <fb>62.9</fb>
    <v>1</v>
  </rv>
  <rv s="0">
    <fb>40.9</fb>
    <v>1</v>
  </rv>
  <rv s="0">
    <fb>36.22</fb>
    <v>1</v>
  </rv>
  <rv s="0">
    <fb>26.33</fb>
    <v>1</v>
  </rv>
  <rv s="0">
    <fb>24.62</fb>
    <v>1</v>
  </rv>
  <rv s="0">
    <fb>23.48</fb>
    <v>1</v>
  </rv>
  <rv s="0">
    <fb>21.57</fb>
    <v>1</v>
  </rv>
  <rv s="0">
    <fb>19.5</fb>
    <v>1</v>
  </rv>
  <rv s="0">
    <fb>17.27</fb>
    <v>1</v>
  </rv>
  <rv s="0">
    <fb>15.445</fb>
    <v>1</v>
  </rv>
  <rv s="0">
    <fb>14.43</fb>
    <v>1</v>
  </rv>
  <rv s="0">
    <fb>13.89</fb>
    <v>1</v>
  </rv>
  <rv s="0">
    <fb>13.54</fb>
    <v>1</v>
  </rv>
  <rv s="0">
    <fb>15.96</fb>
    <v>1</v>
  </rv>
  <rv s="0">
    <fb>14.55</fb>
    <v>1</v>
  </rv>
  <rv s="0">
    <fb>14.94</fb>
    <v>1</v>
  </rv>
  <rv s="0">
    <fb>16.25</fb>
    <v>1</v>
  </rv>
  <rv s="0">
    <fb>18.100000000000001</fb>
    <v>1</v>
  </rv>
  <rv s="0">
    <fb>14.09</fb>
    <v>1</v>
  </rv>
  <rv s="0">
    <fb>13.99</fb>
    <v>1</v>
  </rv>
  <rv s="0">
    <fb>13.515000000000001</fb>
    <v>1</v>
  </rv>
  <rv s="0">
    <fb>12.29</fb>
    <v>1</v>
  </rv>
  <rv s="0">
    <fb>12.41</fb>
    <v>1</v>
  </rv>
  <rv s="0">
    <fb>12.21</fb>
    <v>1</v>
  </rv>
  <rv s="0">
    <fb>12.59</fb>
    <v>1</v>
  </rv>
  <rv s="0">
    <fb>13.5</fb>
    <v>1</v>
  </rv>
  <rv s="0">
    <fb>12.3</fb>
    <v>1</v>
  </rv>
  <rv s="0">
    <fb>13.205</fb>
    <v>1</v>
  </rv>
  <rv s="0">
    <fb>13.22</fb>
    <v>1</v>
  </rv>
  <rv s="0">
    <fb>12.44</fb>
    <v>1</v>
  </rv>
  <rv s="0">
    <fb>10.42</fb>
    <v>1</v>
  </rv>
  <rv s="0">
    <fb>10.85</fb>
    <v>1</v>
  </rv>
  <rv s="0">
    <fb>10.69</fb>
    <v>1</v>
  </rv>
  <rv s="0">
    <fb>10.765000000000001</fb>
    <v>1</v>
  </rv>
  <rv s="0">
    <fb>10.92</fb>
    <v>1</v>
  </rv>
  <rv s="0">
    <fb>11.96</fb>
    <v>1</v>
  </rv>
  <rv s="0">
    <fb>12.56</fb>
    <v>1</v>
  </rv>
  <rv s="0">
    <fb>14.01</fb>
    <v>1</v>
  </rv>
  <rv s="0">
    <fb>14.3</fb>
    <v>1</v>
  </rv>
  <rv s="0">
    <fb>12.72</fb>
    <v>1</v>
  </rv>
  <rv s="0">
    <fb>13.23</fb>
    <v>1</v>
  </rv>
  <rv s="0">
    <fb>12.81</fb>
    <v>1</v>
  </rv>
  <rv s="0">
    <fb>12.48</fb>
    <v>1</v>
  </rv>
  <rv s="0">
    <fb>12.13</fb>
    <v>1</v>
  </rv>
  <rv s="0">
    <fb>12.9</fb>
    <v>1</v>
  </rv>
  <rv s="0">
    <fb>16.89</fb>
    <v>1</v>
  </rv>
  <rv s="0">
    <fb>14.62</fb>
    <v>1</v>
  </rv>
  <rv s="0">
    <fb>16.97</fb>
    <v>1</v>
  </rv>
  <rv s="0">
    <fb>17.739999999999998</fb>
    <v>1</v>
  </rv>
  <rv s="0">
    <fb>16.09</fb>
    <v>1</v>
  </rv>
  <rv s="0">
    <fb>16.045000000000002</fb>
    <v>1</v>
  </rv>
  <rv s="0">
    <fb>13.95</fb>
    <v>1</v>
  </rv>
  <rv s="0">
    <fb>14.19</fb>
    <v>1</v>
  </rv>
  <rv s="0">
    <fb>13.33</fb>
    <v>1</v>
  </rv>
  <rv s="0">
    <fb>14.84</fb>
    <v>1</v>
  </rv>
  <rv s="0">
    <fb>15.41</fb>
    <v>1</v>
  </rv>
  <rv s="0">
    <fb>15.32</fb>
    <v>1</v>
  </rv>
  <rv s="0">
    <fb>15.015000000000001</fb>
    <v>1</v>
  </rv>
  <rv s="0">
    <fb>16.004999999999999</fb>
    <v>1</v>
  </rv>
  <rv s="0">
    <fb>15.97</fb>
    <v>1</v>
  </rv>
  <rv s="0">
    <fb>14.93</fb>
    <v>1</v>
  </rv>
  <rv s="0">
    <fb>14.34</fb>
    <v>1</v>
  </rv>
  <rv s="0">
    <fb>14.27</fb>
    <v>1</v>
  </rv>
  <rv s="0">
    <fb>14.96</fb>
    <v>1</v>
  </rv>
  <rv s="0">
    <fb>14.44</fb>
    <v>1</v>
  </rv>
  <rv s="0">
    <fb>14.67</fb>
    <v>1</v>
  </rv>
  <rv s="0">
    <fb>13.59</fb>
    <v>1</v>
  </rv>
  <rv s="0">
    <fb>13.45</fb>
    <v>1</v>
  </rv>
  <rv s="0">
    <fb>13.01</fb>
    <v>1</v>
  </rv>
  <rv s="0">
    <fb>13.28</fb>
    <v>1</v>
  </rv>
  <rv s="0">
    <fb>12.93</fb>
    <v>1</v>
  </rv>
  <rv s="0">
    <fb>13</fb>
    <v>1</v>
  </rv>
  <rv s="0">
    <fb>13.6</fb>
    <v>1</v>
  </rv>
  <rv s="0">
    <fb>13.35</fb>
    <v>1</v>
  </rv>
  <rv s="0">
    <fb>13.15</fb>
    <v>1</v>
  </rv>
  <rv s="0">
    <fb>13.05</fb>
    <v>1</v>
  </rv>
  <rv s="0">
    <fb>12.61</fb>
    <v>1</v>
  </rv>
  <rv s="0">
    <fb>12.74</fb>
    <v>1</v>
  </rv>
  <rv s="0">
    <fb>13.29</fb>
    <v>1</v>
  </rv>
  <rv s="0">
    <fb>14.1</fb>
    <v>1</v>
  </rv>
  <rv s="0">
    <fb>14</fb>
    <v>1</v>
  </rv>
  <rv s="0">
    <fb>13.97</fb>
    <v>1</v>
  </rv>
  <rv s="0">
    <fb>14.64</fb>
    <v>1</v>
  </rv>
  <rv s="0">
    <fb>15.16</fb>
    <v>1</v>
  </rv>
  <rv s="0">
    <fb>15.55</fb>
    <v>1</v>
  </rv>
  <rv s="0">
    <fb>14.79</fb>
    <v>1</v>
  </rv>
  <rv s="0">
    <fb>14.11</fb>
    <v>1</v>
  </rv>
  <rv s="0">
    <fb>14.38</fb>
    <v>1</v>
  </rv>
  <rv s="0">
    <fb>13.71</fb>
    <v>1</v>
  </rv>
  <rv s="0">
    <fb>12.8</fb>
    <v>1</v>
  </rv>
  <rv s="0">
    <fb>12.66</fb>
    <v>1</v>
  </rv>
  <rv s="0">
    <fb>12.54</fb>
    <v>1</v>
  </rv>
  <rv s="0">
    <fb>11.4</fb>
    <v>1</v>
  </rv>
  <rv s="0">
    <fb>11.61</fb>
    <v>1</v>
  </rv>
  <rv s="0">
    <fb>11.48</fb>
    <v>1</v>
  </rv>
  <rv s="0">
    <fb>11.51</fb>
    <v>1</v>
  </rv>
  <rv s="0">
    <fb>11.57</fb>
    <v>1</v>
  </rv>
  <rv s="0">
    <fb>10.79</fb>
    <v>1</v>
  </rv>
  <rv s="0">
    <fb>10.35</fb>
    <v>1</v>
  </rv>
  <rv s="0">
    <fb>9.7100000000000009</fb>
    <v>1</v>
  </rv>
  <rv s="0">
    <fb>9.7949999999999999</fb>
    <v>1</v>
  </rv>
  <rv s="0">
    <fb>9.8550000000000004</fb>
    <v>1</v>
  </rv>
  <rv s="0">
    <fb>10.029999999999999</fb>
    <v>1</v>
  </rv>
  <rv s="0">
    <fb>7.8049999999999997</fb>
    <v>1</v>
  </rv>
  <rv s="0">
    <fb>8.4700000000000006</fb>
    <v>1</v>
  </rv>
  <rv s="0">
    <fb>8.0449999999999999</fb>
    <v>1</v>
  </rv>
  <rv s="0">
    <fb>9.6750000000000007</fb>
    <v>1</v>
  </rv>
  <rv s="0">
    <fb>9.0950000000000006</fb>
    <v>1</v>
  </rv>
  <rv s="0">
    <fb>8.18</fb>
    <v>1</v>
  </rv>
  <rv s="0">
    <fb>8.1449999999999996</fb>
    <v>1</v>
  </rv>
  <rv s="0">
    <fb>7.37</fb>
    <v>1</v>
  </rv>
  <rv s="0">
    <fb>6.17</fb>
    <v>1</v>
  </rv>
  <rv s="0">
    <fb>6.24</fb>
    <v>1</v>
  </rv>
  <rv s="0">
    <fb>6.26</fb>
    <v>1</v>
  </rv>
  <rv s="0">
    <fb>6.34</fb>
    <v>1</v>
  </rv>
  <rv s="0">
    <fb>6.32</fb>
    <v>1</v>
  </rv>
  <rv s="0">
    <fb>7.17</fb>
    <v>1</v>
  </rv>
  <rv s="0">
    <fb>7.41</fb>
    <v>1</v>
  </rv>
  <rv s="2">
    <v>2</v>
    <v>CRGY</v>
    <v>Daily</v>
    <v>45658</v>
    <v>46000</v>
    <v>0</v>
    <v>1</v>
    <v>639007488000000000,639008532716194817,0</v>
    <v>0</v>
    <v>c4efr7</v>
    <v/>
    <v>1</v>
    <v>2</v>
    <v>3</v>
  </rv>
  <rv s="3">
    <v>3</v>
    <v>VNET</v>
    <v>Daily</v>
    <v>45658</v>
    <v>46000</v>
    <v>0</v>
    <v>1</v>
    <v>639007488000000000,639008532717291476,0</v>
    <v>0</v>
    <v>a25fw7</v>
    <v/>
    <v>4</v>
  </rv>
  <rv s="3">
    <v>3</v>
    <v>IBRX</v>
    <v>Daily</v>
    <v>45658</v>
    <v>46000</v>
    <v>0</v>
    <v>1</v>
    <v>639007488000000000,639008532719140592,0</v>
    <v>0</v>
    <v>a1yjur</v>
    <v/>
    <v>5</v>
  </rv>
  <rv s="3">
    <v>3</v>
    <v>PAYO</v>
    <v>Daily</v>
    <v>45658</v>
    <v>46000</v>
    <v>0</v>
    <v>1</v>
    <v>639007488000000000,639008532717651614,0</v>
    <v>0</v>
    <v>bwigmw</v>
    <v/>
    <v>6</v>
  </rv>
  <rv s="3">
    <v>3</v>
    <v>BULL</v>
    <v>Daily</v>
    <v>45658</v>
    <v>46000</v>
    <v>0</v>
    <v>1</v>
    <v>639007488000000000,639008532718781822,0</v>
    <v>0</v>
    <v>c739a2</v>
    <v/>
    <v>7</v>
  </rv>
  <rv s="3">
    <v>3</v>
    <v>GBTG</v>
    <v>Daily</v>
    <v>45658</v>
    <v>46000</v>
    <v>0</v>
    <v>1</v>
    <v>639007488000000000,639008532718398610,0</v>
    <v>0</v>
    <v>bwvffr</v>
    <v/>
    <v>8</v>
  </rv>
  <rv s="2">
    <v>2</v>
    <v>NG</v>
    <v>Daily</v>
    <v>45658</v>
    <v>46000</v>
    <v>0</v>
    <v>1</v>
    <v>639007488000000000,639008532718019908,0</v>
    <v>0</v>
    <v>a1ygzr</v>
    <v/>
    <v>9</v>
    <v>10</v>
    <v>11</v>
  </rv>
  <rv s="2">
    <v>2</v>
    <v>LFST</v>
    <v>Daily</v>
    <v>45658</v>
    <v>46000</v>
    <v>0</v>
    <v>1</v>
    <v>639007488000000000,639008532719507268,0</v>
    <v>0</v>
    <v>c27jf2</v>
    <v/>
    <v>12</v>
    <v>13</v>
    <v>14</v>
  </rv>
  <rv s="3">
    <v>3</v>
    <v>IEP</v>
    <v>Daily</v>
    <v>45658</v>
    <v>46000</v>
    <v>0</v>
    <v>1</v>
    <v>639007488000000000,639008532716930015,0</v>
    <v>0</v>
    <v>a1vbpr</v>
    <v/>
    <v>15</v>
  </rv>
  <rv s="2">
    <v>2</v>
    <v>ONDS</v>
    <v>Daily</v>
    <v>45658</v>
    <v>46000</v>
    <v>0</v>
    <v>1</v>
    <v>639007488000000000,639008532716570119,0</v>
    <v>0</v>
    <v>bkgak2</v>
    <v/>
    <v>16</v>
    <v>17</v>
    <v>18</v>
  </rv>
  <rv s="2">
    <v>2</v>
    <v>ONDS</v>
    <v>Weekly</v>
    <v>45655</v>
    <v>46004</v>
    <v>0</v>
    <v>1</v>
    <v>639007488000000000,639008513421818788,0</v>
    <v>19</v>
    <v>bkgak2</v>
    <v>XNAS:ONDS</v>
    <v>20</v>
    <v>21</v>
    <v>22</v>
  </rv>
</rvData>
</file>

<file path=xl/richData/rdrichvaluestructure.xml><?xml version="1.0" encoding="utf-8"?>
<rvStructures xmlns="http://schemas.microsoft.com/office/spreadsheetml/2017/richdata" count="4">
  <s t="_formattednumber">
    <k n="_Format" t="spb"/>
  </s>
  <s t="_error">
    <k n="errorType" t="i"/>
    <k n="subType" t="i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  <k n="High" t="a"/>
    <k n="Low" t="a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</s>
</rvStructures>
</file>

<file path=xl/richData/rdsupportingpropertybag.xml><?xml version="1.0" encoding="utf-8"?>
<supportingPropertyBags xmlns="http://schemas.microsoft.com/office/spreadsheetml/2017/richdata2">
  <spbData count="4">
    <spb s="0">
      <v>1</v>
    </spb>
    <spb s="0">
      <v>2</v>
    </spb>
    <spb s="1">
      <v>2</v>
      <v>1</v>
      <v>2</v>
      <v>2</v>
    </spb>
    <spb s="2">
      <v>1</v>
      <v>2</v>
    </spb>
  </spbData>
</supportingPropertyBags>
</file>

<file path=xl/richData/rdsupportingpropertybagstructure.xml><?xml version="1.0" encoding="utf-8"?>
<spbStructures xmlns="http://schemas.microsoft.com/office/spreadsheetml/2017/richdata2" count="3">
  <s>
    <k n="_Self" t="i"/>
  </s>
  <s>
    <k n="Low" t="i"/>
    <k n="Date" t="i"/>
    <k n="High" t="i"/>
    <k n="Close" t="i"/>
  </s>
  <s>
    <k n="Date" t="i"/>
    <k n="Close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2">
    <x:dxf>
      <x:numFmt numFmtId="19" formatCode="m/d/yyyy"/>
    </x:dxf>
    <x:dxf>
      <x:numFmt numFmtId="0" formatCode="General"/>
    </x:dxf>
  </dxfs>
  <richProperties>
    <rPr n="NumberFormat" t="s"/>
  </richProperties>
  <richStyles>
    <rSty dxfid="0"/>
    <rSty dxfid="1">
      <rpv i="0">_([$$-en-US]* #,##0.00_);_([$$-en-US]* (#,##0.00);_([$$-en-US]* "-"??_);_(@_)</rpv>
    </rSty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  <wetp:taskpane dockstate="right" visibility="0" width="350" row="7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57F83B08-5200-4877-B72D-06AACFB38DC7}">
  <we:reference id="wa104379190" version="2.0.0.0" store="en-US" storeType="OMEX"/>
  <we:alternateReferences>
    <we:reference id="WA104379190" version="2.0.0.0" store="" storeType="OMEX"/>
  </we:alternateReferences>
  <we:properties/>
  <we:bindings>
    <we:binding id="RangeSelect" type="matrix" appref="{17490DA3-473D-45C0-8006-0D21A505F181}"/>
  </we:bindings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0F879B16-947D-4951-BFCC-53D4195FA864}">
  <we:reference id="wa200003696" version="1.3.0.0" store="en-US" storeType="OMEX"/>
  <we:alternateReferences>
    <we:reference id="WA200003696" version="1.3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workbookViewId="0">
      <selection activeCell="B12" sqref="B12"/>
    </sheetView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18</v>
      </c>
      <c r="B2" t="s">
        <v>19</v>
      </c>
    </row>
    <row r="3" spans="1:2" x14ac:dyDescent="0.25">
      <c r="A3" t="s">
        <v>12</v>
      </c>
      <c r="B3" t="s">
        <v>13</v>
      </c>
    </row>
    <row r="4" spans="1:2" x14ac:dyDescent="0.25">
      <c r="A4" t="s">
        <v>2</v>
      </c>
      <c r="B4" t="s">
        <v>3</v>
      </c>
    </row>
    <row r="5" spans="1:2" x14ac:dyDescent="0.25">
      <c r="A5" t="s">
        <v>26</v>
      </c>
      <c r="B5" t="s">
        <v>27</v>
      </c>
    </row>
    <row r="6" spans="1:2" x14ac:dyDescent="0.25">
      <c r="A6" t="s">
        <v>16</v>
      </c>
      <c r="B6" t="s">
        <v>17</v>
      </c>
    </row>
    <row r="7" spans="1:2" x14ac:dyDescent="0.25">
      <c r="A7" t="s">
        <v>8</v>
      </c>
      <c r="B7" t="s">
        <v>9</v>
      </c>
    </row>
    <row r="8" spans="1:2" x14ac:dyDescent="0.25">
      <c r="A8" t="s">
        <v>14</v>
      </c>
      <c r="B8" t="s">
        <v>15</v>
      </c>
    </row>
    <row r="9" spans="1:2" x14ac:dyDescent="0.25">
      <c r="A9" t="s">
        <v>4</v>
      </c>
      <c r="B9" t="s">
        <v>5</v>
      </c>
    </row>
    <row r="10" spans="1:2" x14ac:dyDescent="0.25">
      <c r="A10" t="s">
        <v>20</v>
      </c>
      <c r="B10" t="s">
        <v>21</v>
      </c>
    </row>
    <row r="11" spans="1:2" x14ac:dyDescent="0.25">
      <c r="A11" t="s">
        <v>28</v>
      </c>
      <c r="B11" t="s">
        <v>29</v>
      </c>
    </row>
    <row r="12" spans="1:2" x14ac:dyDescent="0.25">
      <c r="A12" t="s">
        <v>22</v>
      </c>
      <c r="B12" t="s">
        <v>23</v>
      </c>
    </row>
    <row r="13" spans="1:2" x14ac:dyDescent="0.25">
      <c r="A13" t="s">
        <v>10</v>
      </c>
      <c r="B13" t="s">
        <v>11</v>
      </c>
    </row>
    <row r="14" spans="1:2" x14ac:dyDescent="0.25">
      <c r="A14" t="s">
        <v>24</v>
      </c>
      <c r="B14" t="s">
        <v>25</v>
      </c>
    </row>
    <row r="15" spans="1:2" x14ac:dyDescent="0.25">
      <c r="A15" t="s">
        <v>6</v>
      </c>
      <c r="B15" t="s">
        <v>7</v>
      </c>
    </row>
  </sheetData>
  <sortState xmlns:xlrd2="http://schemas.microsoft.com/office/spreadsheetml/2017/richdata2" ref="A2:B15">
    <sortCondition ref="A2:A15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36"/>
  <sheetViews>
    <sheetView tabSelected="1" zoomScale="85" zoomScaleNormal="85" workbookViewId="0">
      <selection sqref="A1:D1"/>
    </sheetView>
  </sheetViews>
  <sheetFormatPr defaultRowHeight="15" x14ac:dyDescent="0.25"/>
  <cols>
    <col min="1" max="1" width="10.85546875" bestFit="1" customWidth="1"/>
    <col min="5" max="5" width="13.28515625" bestFit="1" customWidth="1"/>
    <col min="6" max="6" width="12.7109375" bestFit="1" customWidth="1"/>
    <col min="9" max="9" width="10.85546875" bestFit="1" customWidth="1"/>
  </cols>
  <sheetData>
    <row r="1" spans="1:14" ht="21" x14ac:dyDescent="0.35">
      <c r="A1" s="2" t="s">
        <v>3</v>
      </c>
      <c r="B1" s="2"/>
      <c r="C1" s="2"/>
      <c r="D1" s="2"/>
      <c r="I1" t="s">
        <v>34</v>
      </c>
      <c r="J1" t="s">
        <v>35</v>
      </c>
      <c r="K1" t="s">
        <v>36</v>
      </c>
      <c r="L1" t="s">
        <v>37</v>
      </c>
      <c r="M1" t="s">
        <v>33</v>
      </c>
      <c r="N1" t="s">
        <v>32</v>
      </c>
    </row>
    <row r="2" spans="1:14" x14ac:dyDescent="0.25">
      <c r="A2" s="1" t="str" cm="1">
        <f t="array" aca="1" ref="A2:D236" ca="1">_xlfn.STOCKHISTORY("CRGY", DATE(YEAR(TODAY()),1,1), TODAY(), 0, 1,0,1,3,4)</f>
        <v>Date</v>
      </c>
      <c r="B2" s="1" t="str">
        <f ca="1"/>
        <v>Close</v>
      </c>
      <c r="C2" s="1" t="str">
        <f ca="1"/>
        <v>High</v>
      </c>
      <c r="D2" s="1" t="str">
        <f ca="1"/>
        <v>Low</v>
      </c>
      <c r="E2" s="1" t="s">
        <v>33</v>
      </c>
      <c r="F2" s="1" t="s">
        <v>32</v>
      </c>
      <c r="I2" cm="1" vm="1">
        <f t="array" aca="1" ref="I2:N101" ca="1">_xlfn.TAKE(A3:F236,-100)</f>
        <v>45856</v>
      </c>
      <c r="J2" vm="2">
        <f ca="1"/>
        <v>8.73</v>
      </c>
      <c r="K2" vm="3">
        <f ca="1"/>
        <v>8.98</v>
      </c>
      <c r="L2" vm="4">
        <f ca="1"/>
        <v>8.5399999999999991</v>
      </c>
      <c r="M2">
        <f ca="1"/>
        <v>9.1286640000000041</v>
      </c>
      <c r="N2">
        <f ca="1"/>
        <v>8.7699339999999992</v>
      </c>
    </row>
    <row r="3" spans="1:14" x14ac:dyDescent="0.25">
      <c r="A3" vm="5">
        <f ca="1"/>
        <v>45659</v>
      </c>
      <c r="B3" vm="6">
        <f ca="1"/>
        <v>14.88</v>
      </c>
      <c r="C3" vm="7">
        <f ca="1"/>
        <v>14.99</v>
      </c>
      <c r="D3" vm="8">
        <f ca="1"/>
        <v>14.7</v>
      </c>
      <c r="I3" vm="9">
        <f ca="1"/>
        <v>45859</v>
      </c>
      <c r="J3" vm="10">
        <f ca="1"/>
        <v>8.4499999999999993</v>
      </c>
      <c r="K3" vm="11">
        <f ca="1"/>
        <v>8.7788000000000004</v>
      </c>
      <c r="L3" vm="12">
        <f ca="1"/>
        <v>8.42</v>
      </c>
      <c r="M3">
        <f ca="1"/>
        <v>9.1420400000000033</v>
      </c>
      <c r="N3">
        <f ca="1"/>
        <v>8.7829340000000009</v>
      </c>
    </row>
    <row r="4" spans="1:14" x14ac:dyDescent="0.25">
      <c r="A4" vm="13">
        <f ca="1"/>
        <v>45660</v>
      </c>
      <c r="B4" vm="14">
        <f ca="1"/>
        <v>15.05</v>
      </c>
      <c r="C4" vm="15">
        <f ca="1"/>
        <v>15.21</v>
      </c>
      <c r="D4" vm="16">
        <f ca="1"/>
        <v>14.872</v>
      </c>
      <c r="I4" vm="17">
        <f ca="1"/>
        <v>45860</v>
      </c>
      <c r="J4" vm="18">
        <f ca="1"/>
        <v>8.64</v>
      </c>
      <c r="K4" vm="19">
        <f ca="1"/>
        <v>8.69</v>
      </c>
      <c r="L4" vm="20">
        <f ca="1"/>
        <v>8.48</v>
      </c>
      <c r="M4">
        <f ca="1"/>
        <v>9.1470400000000023</v>
      </c>
      <c r="N4">
        <f ca="1"/>
        <v>8.7919339999999995</v>
      </c>
    </row>
    <row r="5" spans="1:14" x14ac:dyDescent="0.25">
      <c r="A5" vm="21">
        <f ca="1"/>
        <v>45663</v>
      </c>
      <c r="B5" vm="22">
        <f ca="1"/>
        <v>15.37</v>
      </c>
      <c r="C5" vm="23">
        <f ca="1"/>
        <v>15.53</v>
      </c>
      <c r="D5" vm="24">
        <f ca="1"/>
        <v>15.11</v>
      </c>
      <c r="I5" vm="25">
        <f ca="1"/>
        <v>45861</v>
      </c>
      <c r="J5" vm="26">
        <f ca="1"/>
        <v>8.92</v>
      </c>
      <c r="K5" vm="27">
        <f ca="1"/>
        <v>8.9649999999999999</v>
      </c>
      <c r="L5" vm="28">
        <f ca="1"/>
        <v>8.5815999999999999</v>
      </c>
      <c r="M5">
        <f ca="1"/>
        <v>9.1543400000000013</v>
      </c>
      <c r="N5">
        <f ca="1"/>
        <v>8.7966660000000001</v>
      </c>
    </row>
    <row r="6" spans="1:14" x14ac:dyDescent="0.25">
      <c r="A6" vm="29">
        <f ca="1"/>
        <v>45664</v>
      </c>
      <c r="B6" vm="30">
        <f ca="1"/>
        <v>15.72</v>
      </c>
      <c r="C6" vm="30">
        <f ca="1"/>
        <v>15.72</v>
      </c>
      <c r="D6" vm="15">
        <f ca="1"/>
        <v>15.21</v>
      </c>
      <c r="I6" vm="31">
        <f ca="1"/>
        <v>45862</v>
      </c>
      <c r="J6" vm="32">
        <f ca="1"/>
        <v>9.2799999999999994</v>
      </c>
      <c r="K6" vm="33">
        <f ca="1"/>
        <v>9.33</v>
      </c>
      <c r="L6" vm="34">
        <f ca="1"/>
        <v>8.86</v>
      </c>
      <c r="M6">
        <f ca="1"/>
        <v>9.1527399999999997</v>
      </c>
      <c r="N6">
        <f ca="1"/>
        <v>8.7937660000000015</v>
      </c>
    </row>
    <row r="7" spans="1:14" x14ac:dyDescent="0.25">
      <c r="A7" vm="35">
        <f ca="1"/>
        <v>45665</v>
      </c>
      <c r="B7" vm="36">
        <f ca="1"/>
        <v>15.73</v>
      </c>
      <c r="C7" vm="37">
        <f ca="1"/>
        <v>15.765000000000001</v>
      </c>
      <c r="D7" vm="38">
        <f ca="1"/>
        <v>15.43</v>
      </c>
      <c r="I7" vm="39">
        <f ca="1"/>
        <v>45863</v>
      </c>
      <c r="J7" vm="40">
        <f ca="1"/>
        <v>9.1999999999999993</v>
      </c>
      <c r="K7" vm="41">
        <f ca="1"/>
        <v>9.3255999999999997</v>
      </c>
      <c r="L7" vm="42">
        <f ca="1"/>
        <v>9.125</v>
      </c>
      <c r="M7">
        <f ca="1"/>
        <v>9.146452</v>
      </c>
      <c r="N7">
        <f ca="1"/>
        <v>8.7938660000000013</v>
      </c>
    </row>
    <row r="8" spans="1:14" x14ac:dyDescent="0.25">
      <c r="A8" vm="43">
        <f ca="1"/>
        <v>45667</v>
      </c>
      <c r="B8" vm="44">
        <f ca="1"/>
        <v>15.86</v>
      </c>
      <c r="C8" vm="45">
        <f ca="1"/>
        <v>16.239999999999998</v>
      </c>
      <c r="D8" vm="46">
        <f ca="1"/>
        <v>15.835000000000001</v>
      </c>
      <c r="I8" vm="47">
        <f ca="1"/>
        <v>45866</v>
      </c>
      <c r="J8" vm="48">
        <f ca="1"/>
        <v>9.5299999999999994</v>
      </c>
      <c r="K8" vm="49">
        <f ca="1"/>
        <v>9.56</v>
      </c>
      <c r="L8" vm="50">
        <f ca="1"/>
        <v>9.3000000000000007</v>
      </c>
      <c r="M8">
        <f ca="1"/>
        <v>9.1468520000000009</v>
      </c>
      <c r="N8">
        <f ca="1"/>
        <v>8.7930659999999996</v>
      </c>
    </row>
    <row r="9" spans="1:14" x14ac:dyDescent="0.25">
      <c r="A9" vm="51">
        <f ca="1"/>
        <v>45670</v>
      </c>
      <c r="B9" vm="52">
        <f ca="1"/>
        <v>16.41</v>
      </c>
      <c r="C9" vm="53">
        <f ca="1"/>
        <v>16.559999999999999</v>
      </c>
      <c r="D9" vm="54">
        <f ca="1"/>
        <v>15.89</v>
      </c>
      <c r="I9" vm="55">
        <f ca="1"/>
        <v>45867</v>
      </c>
      <c r="J9" vm="56">
        <f ca="1"/>
        <v>9.65</v>
      </c>
      <c r="K9" vm="57">
        <f ca="1"/>
        <v>9.69</v>
      </c>
      <c r="L9" vm="33">
        <f ca="1"/>
        <v>9.33</v>
      </c>
      <c r="M9">
        <f ca="1"/>
        <v>9.1542519999999996</v>
      </c>
      <c r="N9">
        <f ca="1"/>
        <v>8.7996660000000002</v>
      </c>
    </row>
    <row r="10" spans="1:14" x14ac:dyDescent="0.25">
      <c r="A10" vm="58">
        <f ca="1"/>
        <v>45671</v>
      </c>
      <c r="B10" vm="59">
        <f ca="1"/>
        <v>16.59</v>
      </c>
      <c r="C10" vm="60">
        <f ca="1"/>
        <v>16.672499999999999</v>
      </c>
      <c r="D10" vm="61">
        <f ca="1"/>
        <v>16.29</v>
      </c>
      <c r="I10" vm="62">
        <f ca="1"/>
        <v>45868</v>
      </c>
      <c r="J10" vm="63">
        <f ca="1"/>
        <v>9.4499999999999993</v>
      </c>
      <c r="K10" vm="64">
        <f ca="1"/>
        <v>9.66</v>
      </c>
      <c r="L10" vm="65">
        <f ca="1"/>
        <v>9.375</v>
      </c>
      <c r="M10">
        <f ca="1"/>
        <v>9.1616519999999984</v>
      </c>
      <c r="N10">
        <f ca="1"/>
        <v>8.8081659999999982</v>
      </c>
    </row>
    <row r="11" spans="1:14" x14ac:dyDescent="0.25">
      <c r="A11" vm="66">
        <f ca="1"/>
        <v>45672</v>
      </c>
      <c r="B11" vm="67">
        <f ca="1"/>
        <v>16.68</v>
      </c>
      <c r="C11" vm="68">
        <f ca="1"/>
        <v>16.939800000000002</v>
      </c>
      <c r="D11" vm="69">
        <f ca="1"/>
        <v>16.63</v>
      </c>
      <c r="I11" vm="70">
        <f ca="1"/>
        <v>45869</v>
      </c>
      <c r="J11" vm="71">
        <f ca="1"/>
        <v>9.24</v>
      </c>
      <c r="K11" vm="72">
        <f ca="1"/>
        <v>9.4600000000000009</v>
      </c>
      <c r="L11" vm="73">
        <f ca="1"/>
        <v>9.1199999999999992</v>
      </c>
      <c r="M11">
        <f ca="1"/>
        <v>9.1710519999999978</v>
      </c>
      <c r="N11">
        <f ca="1"/>
        <v>8.815766</v>
      </c>
    </row>
    <row r="12" spans="1:14" x14ac:dyDescent="0.25">
      <c r="A12" vm="74">
        <f ca="1"/>
        <v>45673</v>
      </c>
      <c r="B12" vm="75">
        <f ca="1"/>
        <v>16.739999999999998</v>
      </c>
      <c r="C12" vm="76">
        <f ca="1"/>
        <v>16.885000000000002</v>
      </c>
      <c r="D12" vm="77">
        <f ca="1"/>
        <v>16.55</v>
      </c>
      <c r="I12" vm="78">
        <f ca="1"/>
        <v>45870</v>
      </c>
      <c r="J12" vm="79">
        <f ca="1"/>
        <v>8.9600000000000009</v>
      </c>
      <c r="K12" vm="80">
        <f ca="1"/>
        <v>9.1300000000000008</v>
      </c>
      <c r="L12" vm="2">
        <f ca="1"/>
        <v>8.73</v>
      </c>
      <c r="M12">
        <f ca="1"/>
        <v>9.1703519999999994</v>
      </c>
      <c r="N12">
        <f ca="1"/>
        <v>8.8124660000000006</v>
      </c>
    </row>
    <row r="13" spans="1:14" x14ac:dyDescent="0.25">
      <c r="A13" vm="81">
        <f ca="1"/>
        <v>45674</v>
      </c>
      <c r="B13" vm="82">
        <f ca="1"/>
        <v>16.62</v>
      </c>
      <c r="C13" vm="83">
        <f ca="1"/>
        <v>16.849399999999999</v>
      </c>
      <c r="D13" vm="84">
        <f ca="1"/>
        <v>16.38</v>
      </c>
      <c r="I13" vm="85">
        <f ca="1"/>
        <v>45873</v>
      </c>
      <c r="J13" vm="86">
        <f ca="1"/>
        <v>8.8800000000000008</v>
      </c>
      <c r="K13" vm="3">
        <f ca="1"/>
        <v>8.98</v>
      </c>
      <c r="L13" vm="87">
        <f ca="1"/>
        <v>8.76</v>
      </c>
      <c r="M13">
        <f ca="1"/>
        <v>9.1707519999999985</v>
      </c>
      <c r="N13">
        <f ca="1"/>
        <v>8.8138660000000009</v>
      </c>
    </row>
    <row r="14" spans="1:14" x14ac:dyDescent="0.25">
      <c r="A14" vm="88">
        <f ca="1"/>
        <v>45678</v>
      </c>
      <c r="B14" vm="89">
        <f ca="1"/>
        <v>16.260000000000002</v>
      </c>
      <c r="C14" vm="90">
        <f ca="1"/>
        <v>16.560099999999998</v>
      </c>
      <c r="D14" vm="91">
        <f ca="1"/>
        <v>16.055</v>
      </c>
      <c r="I14" vm="92">
        <f ca="1"/>
        <v>45874</v>
      </c>
      <c r="J14" vm="93">
        <f ca="1"/>
        <v>9.36</v>
      </c>
      <c r="K14" vm="94">
        <f ca="1"/>
        <v>9.5150000000000006</v>
      </c>
      <c r="L14" vm="95">
        <f ca="1"/>
        <v>9.01</v>
      </c>
      <c r="M14">
        <f ca="1"/>
        <v>9.188051999999999</v>
      </c>
      <c r="N14">
        <f ca="1"/>
        <v>8.8268660000000008</v>
      </c>
    </row>
    <row r="15" spans="1:14" x14ac:dyDescent="0.25">
      <c r="A15" vm="96">
        <f ca="1"/>
        <v>45679</v>
      </c>
      <c r="B15" vm="97">
        <f ca="1"/>
        <v>16.16</v>
      </c>
      <c r="C15" vm="98">
        <f ca="1"/>
        <v>16.434999999999999</v>
      </c>
      <c r="D15" vm="99">
        <f ca="1"/>
        <v>16.010000000000002</v>
      </c>
      <c r="I15" vm="100">
        <f ca="1"/>
        <v>45875</v>
      </c>
      <c r="J15" vm="101">
        <f ca="1"/>
        <v>9.23</v>
      </c>
      <c r="K15" vm="102">
        <f ca="1"/>
        <v>9.76</v>
      </c>
      <c r="L15" vm="103">
        <f ca="1"/>
        <v>9.2149999999999999</v>
      </c>
      <c r="M15">
        <f ca="1"/>
        <v>9.2116519999999973</v>
      </c>
      <c r="N15">
        <f ca="1"/>
        <v>8.8445660000000004</v>
      </c>
    </row>
    <row r="16" spans="1:14" x14ac:dyDescent="0.25">
      <c r="A16" vm="104">
        <f ca="1"/>
        <v>45680</v>
      </c>
      <c r="B16" vm="105">
        <f ca="1"/>
        <v>16.34</v>
      </c>
      <c r="C16" vm="106">
        <f ca="1"/>
        <v>16.545000000000002</v>
      </c>
      <c r="D16" vm="107">
        <f ca="1"/>
        <v>16.11</v>
      </c>
      <c r="I16" vm="108">
        <f ca="1"/>
        <v>45876</v>
      </c>
      <c r="J16" vm="40">
        <f ca="1"/>
        <v>9.1999999999999993</v>
      </c>
      <c r="K16" vm="109">
        <f ca="1"/>
        <v>9.57</v>
      </c>
      <c r="L16" vm="110">
        <f ca="1"/>
        <v>9.15</v>
      </c>
      <c r="M16">
        <f ca="1"/>
        <v>9.2289519999999978</v>
      </c>
      <c r="N16">
        <f ca="1"/>
        <v>8.8593659999999996</v>
      </c>
    </row>
    <row r="17" spans="1:14" x14ac:dyDescent="0.25">
      <c r="A17" vm="111">
        <f ca="1"/>
        <v>45681</v>
      </c>
      <c r="B17" vm="112">
        <f ca="1"/>
        <v>15.99</v>
      </c>
      <c r="C17" vm="113">
        <f ca="1"/>
        <v>16.489999999999998</v>
      </c>
      <c r="D17" vm="114">
        <f ca="1"/>
        <v>15.93</v>
      </c>
      <c r="I17" vm="115">
        <f ca="1"/>
        <v>45877</v>
      </c>
      <c r="J17" vm="101">
        <f ca="1"/>
        <v>9.23</v>
      </c>
      <c r="K17" vm="116">
        <f ca="1"/>
        <v>9.4450000000000003</v>
      </c>
      <c r="L17" vm="117">
        <f ca="1"/>
        <v>9.0749999999999993</v>
      </c>
      <c r="M17">
        <f ca="1"/>
        <v>9.2412879999999991</v>
      </c>
      <c r="N17">
        <f ca="1"/>
        <v>8.8693659999999994</v>
      </c>
    </row>
    <row r="18" spans="1:14" x14ac:dyDescent="0.25">
      <c r="A18" vm="118">
        <f ca="1"/>
        <v>45684</v>
      </c>
      <c r="B18" vm="119">
        <f ca="1"/>
        <v>15.82</v>
      </c>
      <c r="C18" vm="120">
        <f ca="1"/>
        <v>16.094999999999999</v>
      </c>
      <c r="D18" vm="121">
        <f ca="1"/>
        <v>15.48</v>
      </c>
      <c r="I18" vm="122">
        <f ca="1"/>
        <v>45880</v>
      </c>
      <c r="J18" vm="123">
        <f ca="1"/>
        <v>8.99</v>
      </c>
      <c r="K18" vm="72">
        <f ca="1"/>
        <v>9.4600000000000009</v>
      </c>
      <c r="L18" vm="26">
        <f ca="1"/>
        <v>8.92</v>
      </c>
      <c r="M18">
        <f ca="1"/>
        <v>9.2551939999999977</v>
      </c>
      <c r="N18">
        <f ca="1"/>
        <v>8.8767659999999999</v>
      </c>
    </row>
    <row r="19" spans="1:14" x14ac:dyDescent="0.25">
      <c r="A19" vm="124">
        <f ca="1"/>
        <v>45685</v>
      </c>
      <c r="B19" vm="125">
        <f ca="1"/>
        <v>15.63</v>
      </c>
      <c r="C19" vm="126">
        <f ca="1"/>
        <v>16.02</v>
      </c>
      <c r="D19" vm="127">
        <f ca="1"/>
        <v>15.31</v>
      </c>
      <c r="I19" vm="128">
        <f ca="1"/>
        <v>45881</v>
      </c>
      <c r="J19" vm="129">
        <f ca="1"/>
        <v>9.34</v>
      </c>
      <c r="K19" vm="130">
        <f ca="1"/>
        <v>9.3699999999999992</v>
      </c>
      <c r="L19" vm="95">
        <f ca="1"/>
        <v>9.01</v>
      </c>
      <c r="M19">
        <f ca="1"/>
        <v>9.2696939999999977</v>
      </c>
      <c r="N19">
        <f ca="1"/>
        <v>8.8899659999999976</v>
      </c>
    </row>
    <row r="20" spans="1:14" x14ac:dyDescent="0.25">
      <c r="A20" vm="131">
        <f ca="1"/>
        <v>45686</v>
      </c>
      <c r="B20" vm="132">
        <f ca="1"/>
        <v>15.64</v>
      </c>
      <c r="C20" vm="133">
        <f ca="1"/>
        <v>15.79</v>
      </c>
      <c r="D20" vm="134">
        <f ca="1"/>
        <v>15.44</v>
      </c>
      <c r="I20" vm="135">
        <f ca="1"/>
        <v>45882</v>
      </c>
      <c r="J20" vm="49">
        <f ca="1"/>
        <v>9.56</v>
      </c>
      <c r="K20" vm="136">
        <f ca="1"/>
        <v>9.5749999999999993</v>
      </c>
      <c r="L20" vm="137">
        <f ca="1"/>
        <v>9.26</v>
      </c>
      <c r="M20">
        <f ca="1"/>
        <v>9.2865939999999974</v>
      </c>
      <c r="N20">
        <f ca="1"/>
        <v>8.9056659999999983</v>
      </c>
    </row>
    <row r="21" spans="1:14" x14ac:dyDescent="0.25">
      <c r="A21" vm="138">
        <f ca="1"/>
        <v>45687</v>
      </c>
      <c r="B21" vm="139">
        <f ca="1"/>
        <v>15.45</v>
      </c>
      <c r="C21" vm="140">
        <f ca="1"/>
        <v>15.734999999999999</v>
      </c>
      <c r="D21" vm="141">
        <f ca="1"/>
        <v>15.38</v>
      </c>
      <c r="I21" vm="142">
        <f ca="1"/>
        <v>45883</v>
      </c>
      <c r="J21" vm="56">
        <f ca="1"/>
        <v>9.65</v>
      </c>
      <c r="K21" vm="64">
        <f ca="1"/>
        <v>9.66</v>
      </c>
      <c r="L21" vm="50">
        <f ca="1"/>
        <v>9.3000000000000007</v>
      </c>
      <c r="M21">
        <f ca="1"/>
        <v>9.2966939999999987</v>
      </c>
      <c r="N21">
        <f ca="1"/>
        <v>8.9240659999999998</v>
      </c>
    </row>
    <row r="22" spans="1:14" x14ac:dyDescent="0.25">
      <c r="A22" vm="143">
        <f ca="1"/>
        <v>45688</v>
      </c>
      <c r="B22" vm="144">
        <f ca="1"/>
        <v>15.06</v>
      </c>
      <c r="C22" vm="23">
        <f ca="1"/>
        <v>15.53</v>
      </c>
      <c r="D22" vm="145">
        <f ca="1"/>
        <v>14.82</v>
      </c>
      <c r="I22" vm="146">
        <f ca="1"/>
        <v>45884</v>
      </c>
      <c r="J22" vm="147">
        <f ca="1"/>
        <v>9.42</v>
      </c>
      <c r="K22" vm="148">
        <f ca="1"/>
        <v>9.6988000000000003</v>
      </c>
      <c r="L22" vm="149">
        <f ca="1"/>
        <v>9.3847000000000005</v>
      </c>
      <c r="M22">
        <f ca="1"/>
        <v>9.3052699999999984</v>
      </c>
      <c r="N22">
        <f ca="1"/>
        <v>8.937759999999999</v>
      </c>
    </row>
    <row r="23" spans="1:14" x14ac:dyDescent="0.25">
      <c r="A23" vm="150">
        <f ca="1"/>
        <v>45691</v>
      </c>
      <c r="B23" vm="151">
        <f ca="1"/>
        <v>15.03</v>
      </c>
      <c r="C23" vm="152">
        <f ca="1"/>
        <v>15.24</v>
      </c>
      <c r="D23" vm="153">
        <f ca="1"/>
        <v>14.73</v>
      </c>
      <c r="I23" vm="154">
        <f ca="1"/>
        <v>45887</v>
      </c>
      <c r="J23" vm="155">
        <f ca="1"/>
        <v>9.32</v>
      </c>
      <c r="K23" vm="156">
        <f ca="1"/>
        <v>9.4149999999999991</v>
      </c>
      <c r="L23" vm="157">
        <f ca="1"/>
        <v>9.14</v>
      </c>
      <c r="M23">
        <f ca="1"/>
        <v>9.3157700000000006</v>
      </c>
      <c r="N23">
        <f ca="1"/>
        <v>8.9482599999999994</v>
      </c>
    </row>
    <row r="24" spans="1:14" x14ac:dyDescent="0.25">
      <c r="A24" vm="158">
        <f ca="1"/>
        <v>45692</v>
      </c>
      <c r="B24" vm="152">
        <f ca="1"/>
        <v>15.24</v>
      </c>
      <c r="C24" vm="159">
        <f ca="1"/>
        <v>15.33</v>
      </c>
      <c r="D24" vm="160">
        <f ca="1"/>
        <v>14.8</v>
      </c>
      <c r="I24" vm="161">
        <f ca="1"/>
        <v>45888</v>
      </c>
      <c r="J24" vm="162">
        <f ca="1"/>
        <v>9.2200000000000006</v>
      </c>
      <c r="K24" vm="163">
        <f ca="1"/>
        <v>9.48</v>
      </c>
      <c r="L24" vm="164">
        <f ca="1"/>
        <v>9.1649999999999991</v>
      </c>
      <c r="M24">
        <f ca="1"/>
        <v>9.3223699999999994</v>
      </c>
      <c r="N24">
        <f ca="1"/>
        <v>8.9551599999999993</v>
      </c>
    </row>
    <row r="25" spans="1:14" x14ac:dyDescent="0.25">
      <c r="A25" vm="165">
        <f ca="1"/>
        <v>45693</v>
      </c>
      <c r="B25" vm="166">
        <f ca="1"/>
        <v>15.09</v>
      </c>
      <c r="C25" vm="167">
        <f ca="1"/>
        <v>15.324999999999999</v>
      </c>
      <c r="D25" vm="14">
        <f ca="1"/>
        <v>15.05</v>
      </c>
      <c r="I25" vm="168">
        <f ca="1"/>
        <v>45889</v>
      </c>
      <c r="J25" vm="32">
        <f ca="1"/>
        <v>9.2799999999999994</v>
      </c>
      <c r="K25" vm="169">
        <f ca="1"/>
        <v>9.39</v>
      </c>
      <c r="L25" vm="42">
        <f ca="1"/>
        <v>9.125</v>
      </c>
      <c r="M25">
        <f ca="1"/>
        <v>9.3250700000000002</v>
      </c>
      <c r="N25">
        <f ca="1"/>
        <v>8.9568599999999989</v>
      </c>
    </row>
    <row r="26" spans="1:14" x14ac:dyDescent="0.25">
      <c r="A26" vm="170">
        <f ca="1"/>
        <v>45694</v>
      </c>
      <c r="B26" vm="171">
        <f ca="1"/>
        <v>14.63</v>
      </c>
      <c r="C26" vm="172">
        <f ca="1"/>
        <v>15.179</v>
      </c>
      <c r="D26" vm="173">
        <f ca="1"/>
        <v>14.494999999999999</v>
      </c>
      <c r="I26" vm="174">
        <f ca="1"/>
        <v>45890</v>
      </c>
      <c r="J26" vm="175">
        <f ca="1"/>
        <v>9.3800000000000008</v>
      </c>
      <c r="K26" vm="176">
        <f ca="1"/>
        <v>9.5050000000000008</v>
      </c>
      <c r="L26" vm="157">
        <f ca="1"/>
        <v>9.14</v>
      </c>
      <c r="M26">
        <f ca="1"/>
        <v>9.3257699999999986</v>
      </c>
      <c r="N26">
        <f ca="1"/>
        <v>8.9570599999999985</v>
      </c>
    </row>
    <row r="27" spans="1:14" x14ac:dyDescent="0.25">
      <c r="A27" vm="177">
        <f ca="1"/>
        <v>45695</v>
      </c>
      <c r="B27" vm="178">
        <f ca="1"/>
        <v>14.66</v>
      </c>
      <c r="C27" vm="179">
        <f ca="1"/>
        <v>14.87</v>
      </c>
      <c r="D27" vm="178">
        <f ca="1"/>
        <v>14.66</v>
      </c>
      <c r="I27" vm="180">
        <f ca="1"/>
        <v>45891</v>
      </c>
      <c r="J27" vm="181">
        <f ca="1"/>
        <v>9.94</v>
      </c>
      <c r="K27" vm="182">
        <f ca="1"/>
        <v>9.99</v>
      </c>
      <c r="L27" vm="93">
        <f ca="1"/>
        <v>9.36</v>
      </c>
      <c r="M27">
        <f ca="1"/>
        <v>9.3335699999999999</v>
      </c>
      <c r="N27">
        <f ca="1"/>
        <v>8.961059999999998</v>
      </c>
    </row>
    <row r="28" spans="1:14" x14ac:dyDescent="0.25">
      <c r="A28" vm="183">
        <f ca="1"/>
        <v>45698</v>
      </c>
      <c r="B28" vm="184">
        <f ca="1"/>
        <v>15.02</v>
      </c>
      <c r="C28" vm="24">
        <f ca="1"/>
        <v>15.11</v>
      </c>
      <c r="D28" vm="185">
        <f ca="1"/>
        <v>14.78</v>
      </c>
      <c r="I28" vm="186">
        <f ca="1"/>
        <v>45894</v>
      </c>
      <c r="J28" vm="187">
        <f ca="1"/>
        <v>9.5399999999999991</v>
      </c>
      <c r="K28" vm="188">
        <f ca="1"/>
        <v>9.61</v>
      </c>
      <c r="L28" vm="189">
        <f ca="1"/>
        <v>8.82</v>
      </c>
      <c r="M28">
        <f ca="1"/>
        <v>9.33507</v>
      </c>
      <c r="N28">
        <f ca="1"/>
        <v>8.9532759999999989</v>
      </c>
    </row>
    <row r="29" spans="1:14" x14ac:dyDescent="0.25">
      <c r="A29" vm="190">
        <f ca="1"/>
        <v>45699</v>
      </c>
      <c r="B29" vm="184">
        <f ca="1"/>
        <v>15.02</v>
      </c>
      <c r="C29" vm="191">
        <f ca="1"/>
        <v>15.51</v>
      </c>
      <c r="D29" vm="192">
        <f ca="1"/>
        <v>15.005000000000001</v>
      </c>
      <c r="I29" vm="193">
        <f ca="1"/>
        <v>45895</v>
      </c>
      <c r="J29" vm="194">
        <f ca="1"/>
        <v>9.02</v>
      </c>
      <c r="K29" vm="94">
        <f ca="1"/>
        <v>9.5150000000000006</v>
      </c>
      <c r="L29" vm="95">
        <f ca="1"/>
        <v>9.01</v>
      </c>
      <c r="M29">
        <f ca="1"/>
        <v>9.3253699999999995</v>
      </c>
      <c r="N29">
        <f ca="1"/>
        <v>8.9428759999999983</v>
      </c>
    </row>
    <row r="30" spans="1:14" x14ac:dyDescent="0.25">
      <c r="A30" vm="195">
        <f ca="1"/>
        <v>45700</v>
      </c>
      <c r="B30" vm="196">
        <f ca="1"/>
        <v>14.48</v>
      </c>
      <c r="C30" vm="197">
        <f ca="1"/>
        <v>15.04</v>
      </c>
      <c r="D30" vm="198">
        <f ca="1"/>
        <v>14.42</v>
      </c>
      <c r="I30" vm="199">
        <f ca="1"/>
        <v>45896</v>
      </c>
      <c r="J30" vm="50">
        <f ca="1"/>
        <v>9.3000000000000007</v>
      </c>
      <c r="K30" vm="200">
        <f ca="1"/>
        <v>9.625</v>
      </c>
      <c r="L30" vm="201">
        <f ca="1"/>
        <v>8.9949999999999992</v>
      </c>
      <c r="M30">
        <f ca="1"/>
        <v>9.3220700000000001</v>
      </c>
      <c r="N30">
        <f ca="1"/>
        <v>8.9346760000000014</v>
      </c>
    </row>
    <row r="31" spans="1:14" x14ac:dyDescent="0.25">
      <c r="A31" vm="202">
        <f ca="1"/>
        <v>45701</v>
      </c>
      <c r="B31" vm="203">
        <f ca="1"/>
        <v>14.52</v>
      </c>
      <c r="C31" vm="204">
        <f ca="1"/>
        <v>14.57</v>
      </c>
      <c r="D31" vm="205">
        <f ca="1"/>
        <v>14.29</v>
      </c>
      <c r="I31" vm="206">
        <f ca="1"/>
        <v>45897</v>
      </c>
      <c r="J31" vm="188">
        <f ca="1"/>
        <v>9.61</v>
      </c>
      <c r="K31" vm="207">
        <f ca="1"/>
        <v>9.6199999999999992</v>
      </c>
      <c r="L31" vm="157">
        <f ca="1"/>
        <v>9.14</v>
      </c>
      <c r="M31">
        <f ca="1"/>
        <v>9.3168700000000015</v>
      </c>
      <c r="N31">
        <f ca="1"/>
        <v>8.928075999999999</v>
      </c>
    </row>
    <row r="32" spans="1:14" x14ac:dyDescent="0.25">
      <c r="A32" vm="208">
        <f ca="1"/>
        <v>45702</v>
      </c>
      <c r="B32" vm="179">
        <f ca="1"/>
        <v>14.87</v>
      </c>
      <c r="C32" vm="209">
        <f ca="1"/>
        <v>15</v>
      </c>
      <c r="D32" vm="204">
        <f ca="1"/>
        <v>14.57</v>
      </c>
      <c r="I32" vm="210">
        <f ca="1"/>
        <v>45898</v>
      </c>
      <c r="J32" vm="187">
        <f ca="1"/>
        <v>9.5399999999999991</v>
      </c>
      <c r="K32" vm="56">
        <f ca="1"/>
        <v>9.65</v>
      </c>
      <c r="L32" vm="211">
        <f ca="1"/>
        <v>9.4747000000000003</v>
      </c>
      <c r="M32">
        <f ca="1"/>
        <v>9.314070000000001</v>
      </c>
      <c r="N32">
        <f ca="1"/>
        <v>8.9278699999999986</v>
      </c>
    </row>
    <row r="33" spans="1:14" x14ac:dyDescent="0.25">
      <c r="A33" vm="212">
        <f ca="1"/>
        <v>45706</v>
      </c>
      <c r="B33" vm="213">
        <f ca="1"/>
        <v>15.15</v>
      </c>
      <c r="C33" vm="214">
        <f ca="1"/>
        <v>15.49</v>
      </c>
      <c r="D33" vm="215">
        <f ca="1"/>
        <v>14.61</v>
      </c>
      <c r="I33" vm="216">
        <f ca="1"/>
        <v>45902</v>
      </c>
      <c r="J33" vm="217">
        <f ca="1"/>
        <v>9.9</v>
      </c>
      <c r="K33" vm="218">
        <f ca="1"/>
        <v>9.91</v>
      </c>
      <c r="L33" vm="147">
        <f ca="1"/>
        <v>9.42</v>
      </c>
      <c r="M33">
        <f ca="1"/>
        <v>9.3202700000000007</v>
      </c>
      <c r="N33">
        <f ca="1"/>
        <v>8.9283699999999975</v>
      </c>
    </row>
    <row r="34" spans="1:14" x14ac:dyDescent="0.25">
      <c r="A34" vm="219">
        <f ca="1"/>
        <v>45707</v>
      </c>
      <c r="B34" vm="220">
        <f ca="1"/>
        <v>15.18</v>
      </c>
      <c r="C34" vm="221">
        <f ca="1"/>
        <v>15.58</v>
      </c>
      <c r="D34" vm="222">
        <f ca="1"/>
        <v>15.1</v>
      </c>
      <c r="I34" vm="223">
        <f ca="1"/>
        <v>45903</v>
      </c>
      <c r="J34" vm="224">
        <f ca="1"/>
        <v>9.43</v>
      </c>
      <c r="K34" vm="181">
        <f ca="1"/>
        <v>9.94</v>
      </c>
      <c r="L34" vm="175">
        <f ca="1"/>
        <v>9.3800000000000008</v>
      </c>
      <c r="M34">
        <f ca="1"/>
        <v>9.3269700000000011</v>
      </c>
      <c r="N34">
        <f ca="1"/>
        <v>8.9373699999999978</v>
      </c>
    </row>
    <row r="35" spans="1:14" x14ac:dyDescent="0.25">
      <c r="A35" vm="225">
        <f ca="1"/>
        <v>45708</v>
      </c>
      <c r="B35" vm="226">
        <f ca="1"/>
        <v>15.01</v>
      </c>
      <c r="C35" vm="227">
        <f ca="1"/>
        <v>15.244999999999999</v>
      </c>
      <c r="D35" vm="228">
        <f ca="1"/>
        <v>14.845000000000001</v>
      </c>
      <c r="I35" vm="229">
        <f ca="1"/>
        <v>45904</v>
      </c>
      <c r="J35" vm="71">
        <f ca="1"/>
        <v>9.24</v>
      </c>
      <c r="K35" vm="230">
        <f ca="1"/>
        <v>9.49</v>
      </c>
      <c r="L35" vm="101">
        <f ca="1"/>
        <v>9.23</v>
      </c>
      <c r="M35">
        <f ca="1"/>
        <v>9.3372700000000002</v>
      </c>
      <c r="N35">
        <f ca="1"/>
        <v>8.9476699999999987</v>
      </c>
    </row>
    <row r="36" spans="1:14" x14ac:dyDescent="0.25">
      <c r="A36" vm="231">
        <f ca="1"/>
        <v>45709</v>
      </c>
      <c r="B36" vm="232">
        <f ca="1"/>
        <v>14.26</v>
      </c>
      <c r="C36" vm="233">
        <f ca="1"/>
        <v>15.13</v>
      </c>
      <c r="D36" vm="234">
        <f ca="1"/>
        <v>14.1701</v>
      </c>
      <c r="I36" vm="235">
        <f ca="1"/>
        <v>45905</v>
      </c>
      <c r="J36" vm="87">
        <f ca="1"/>
        <v>8.76</v>
      </c>
      <c r="K36" vm="236">
        <f ca="1"/>
        <v>9.2100000000000009</v>
      </c>
      <c r="L36" vm="237">
        <f ca="1"/>
        <v>8.6300000000000008</v>
      </c>
      <c r="M36">
        <f ca="1"/>
        <v>9.3464700000000001</v>
      </c>
      <c r="N36">
        <f ca="1"/>
        <v>8.9507700000000003</v>
      </c>
    </row>
    <row r="37" spans="1:14" x14ac:dyDescent="0.25">
      <c r="A37" vm="238">
        <f ca="1"/>
        <v>45712</v>
      </c>
      <c r="B37" vm="239">
        <f ca="1"/>
        <v>14.2</v>
      </c>
      <c r="C37" vm="240">
        <f ca="1"/>
        <v>14.435</v>
      </c>
      <c r="D37" vm="241">
        <f ca="1"/>
        <v>14.12</v>
      </c>
      <c r="I37" vm="242">
        <f ca="1"/>
        <v>45908</v>
      </c>
      <c r="J37" vm="243">
        <f ca="1"/>
        <v>8.34</v>
      </c>
      <c r="K37" vm="244">
        <f ca="1"/>
        <v>8.84</v>
      </c>
      <c r="L37" vm="245">
        <f ca="1"/>
        <v>8.33</v>
      </c>
      <c r="M37">
        <f ca="1"/>
        <v>9.343869999999999</v>
      </c>
      <c r="N37">
        <f ca="1"/>
        <v>8.9451699999999992</v>
      </c>
    </row>
    <row r="38" spans="1:14" x14ac:dyDescent="0.25">
      <c r="A38" vm="246">
        <f ca="1"/>
        <v>45713</v>
      </c>
      <c r="B38" vm="247">
        <f ca="1"/>
        <v>13.69</v>
      </c>
      <c r="C38" vm="248">
        <f ca="1"/>
        <v>14.21</v>
      </c>
      <c r="D38" vm="249">
        <f ca="1"/>
        <v>13.664999999999999</v>
      </c>
      <c r="I38" vm="250">
        <f ca="1"/>
        <v>45909</v>
      </c>
      <c r="J38" vm="251">
        <f ca="1"/>
        <v>8.2200000000000006</v>
      </c>
      <c r="K38" vm="252">
        <f ca="1"/>
        <v>8.6</v>
      </c>
      <c r="L38" vm="251">
        <f ca="1"/>
        <v>8.2200000000000006</v>
      </c>
      <c r="M38">
        <f ca="1"/>
        <v>9.3332700000000006</v>
      </c>
      <c r="N38">
        <f ca="1"/>
        <v>8.93187</v>
      </c>
    </row>
    <row r="39" spans="1:14" x14ac:dyDescent="0.25">
      <c r="A39" vm="253">
        <f ca="1"/>
        <v>45714</v>
      </c>
      <c r="B39" vm="254">
        <f ca="1"/>
        <v>13.47</v>
      </c>
      <c r="C39" vm="255">
        <f ca="1"/>
        <v>13.775</v>
      </c>
      <c r="D39" vm="256">
        <f ca="1"/>
        <v>13.26</v>
      </c>
      <c r="I39" vm="257">
        <f ca="1"/>
        <v>45910</v>
      </c>
      <c r="J39" vm="258">
        <f ca="1"/>
        <v>8.6999999999999993</v>
      </c>
      <c r="K39" vm="2">
        <f ca="1"/>
        <v>8.73</v>
      </c>
      <c r="L39" vm="259">
        <f ca="1"/>
        <v>8.24</v>
      </c>
      <c r="M39">
        <f ca="1"/>
        <v>9.3292700000000011</v>
      </c>
      <c r="N39">
        <f ca="1"/>
        <v>8.9247700000000005</v>
      </c>
    </row>
    <row r="40" spans="1:14" x14ac:dyDescent="0.25">
      <c r="A40" vm="260">
        <f ca="1"/>
        <v>45715</v>
      </c>
      <c r="B40" vm="261">
        <f ca="1"/>
        <v>12.78</v>
      </c>
      <c r="C40" vm="262">
        <f ca="1"/>
        <v>13.39</v>
      </c>
      <c r="D40" vm="263">
        <f ca="1"/>
        <v>12.643000000000001</v>
      </c>
      <c r="I40" vm="264">
        <f ca="1"/>
        <v>45911</v>
      </c>
      <c r="J40" vm="265">
        <f ca="1"/>
        <v>8.8000000000000007</v>
      </c>
      <c r="K40" vm="266">
        <f ca="1"/>
        <v>8.81</v>
      </c>
      <c r="L40" vm="20">
        <f ca="1"/>
        <v>8.48</v>
      </c>
      <c r="M40">
        <f ca="1"/>
        <v>9.3252699999999997</v>
      </c>
      <c r="N40">
        <f ca="1"/>
        <v>8.924570000000001</v>
      </c>
    </row>
    <row r="41" spans="1:14" x14ac:dyDescent="0.25">
      <c r="A41" vm="267">
        <f ca="1"/>
        <v>45716</v>
      </c>
      <c r="B41" vm="268">
        <f ca="1"/>
        <v>12.62</v>
      </c>
      <c r="C41" vm="269">
        <f ca="1"/>
        <v>12.845000000000001</v>
      </c>
      <c r="D41" vm="270">
        <f ca="1"/>
        <v>12.42</v>
      </c>
      <c r="I41" vm="271">
        <f ca="1"/>
        <v>45912</v>
      </c>
      <c r="J41" vm="272">
        <f ca="1"/>
        <v>8.67</v>
      </c>
      <c r="K41" vm="273">
        <f ca="1"/>
        <v>8.93</v>
      </c>
      <c r="L41" vm="274">
        <f ca="1"/>
        <v>8.6199999999999992</v>
      </c>
      <c r="M41">
        <f ca="1"/>
        <v>9.3204700000000003</v>
      </c>
      <c r="N41">
        <f ca="1"/>
        <v>8.9204699999999999</v>
      </c>
    </row>
    <row r="42" spans="1:14" x14ac:dyDescent="0.25">
      <c r="A42" vm="275">
        <f ca="1"/>
        <v>45719</v>
      </c>
      <c r="B42" vm="276">
        <f ca="1"/>
        <v>11.55</v>
      </c>
      <c r="C42" vm="277">
        <f ca="1"/>
        <v>12.71</v>
      </c>
      <c r="D42" vm="278">
        <f ca="1"/>
        <v>11.47</v>
      </c>
      <c r="I42" vm="279">
        <f ca="1"/>
        <v>45915</v>
      </c>
      <c r="J42" vm="12">
        <f ca="1"/>
        <v>8.42</v>
      </c>
      <c r="K42" vm="280">
        <f ca="1"/>
        <v>8.74</v>
      </c>
      <c r="L42" vm="12">
        <f ca="1"/>
        <v>8.42</v>
      </c>
      <c r="M42">
        <f ca="1"/>
        <v>9.3098700000000019</v>
      </c>
      <c r="N42">
        <f ca="1"/>
        <v>8.9071700000000007</v>
      </c>
    </row>
    <row r="43" spans="1:14" x14ac:dyDescent="0.25">
      <c r="A43" vm="281">
        <f ca="1"/>
        <v>45720</v>
      </c>
      <c r="B43" vm="282">
        <f ca="1"/>
        <v>11.29</v>
      </c>
      <c r="C43" vm="283">
        <f ca="1"/>
        <v>11.62</v>
      </c>
      <c r="D43" vm="284">
        <f ca="1"/>
        <v>10.96</v>
      </c>
      <c r="I43" vm="285">
        <f ca="1"/>
        <v>45916</v>
      </c>
      <c r="J43" vm="87">
        <f ca="1"/>
        <v>8.76</v>
      </c>
      <c r="K43" vm="286">
        <f ca="1"/>
        <v>8.8055000000000003</v>
      </c>
      <c r="L43" vm="287">
        <f ca="1"/>
        <v>8.51</v>
      </c>
      <c r="M43">
        <f ca="1"/>
        <v>9.302480000000001</v>
      </c>
      <c r="N43">
        <f ca="1"/>
        <v>8.9037700000000015</v>
      </c>
    </row>
    <row r="44" spans="1:14" x14ac:dyDescent="0.25">
      <c r="A44" vm="288">
        <f ca="1"/>
        <v>45721</v>
      </c>
      <c r="B44" vm="289">
        <f ca="1"/>
        <v>11.04</v>
      </c>
      <c r="C44" vm="290">
        <f ca="1"/>
        <v>11.1</v>
      </c>
      <c r="D44" vm="291">
        <f ca="1"/>
        <v>10.350099999999999</v>
      </c>
      <c r="I44" vm="292">
        <f ca="1"/>
        <v>45917</v>
      </c>
      <c r="J44" vm="87">
        <f ca="1"/>
        <v>8.76</v>
      </c>
      <c r="K44" vm="293">
        <f ca="1"/>
        <v>9.1</v>
      </c>
      <c r="L44" vm="294">
        <f ca="1"/>
        <v>8.6649999999999991</v>
      </c>
      <c r="M44">
        <f ca="1"/>
        <v>9.2933800000000009</v>
      </c>
      <c r="N44">
        <f ca="1"/>
        <v>8.9000200000000014</v>
      </c>
    </row>
    <row r="45" spans="1:14" x14ac:dyDescent="0.25">
      <c r="A45" vm="295">
        <f ca="1"/>
        <v>45722</v>
      </c>
      <c r="B45" vm="296">
        <f ca="1"/>
        <v>10.82</v>
      </c>
      <c r="C45" vm="289">
        <f ca="1"/>
        <v>11.04</v>
      </c>
      <c r="D45" vm="297">
        <f ca="1"/>
        <v>10.58</v>
      </c>
      <c r="I45" vm="298">
        <f ca="1"/>
        <v>45918</v>
      </c>
      <c r="J45" vm="299">
        <f ca="1"/>
        <v>8.7799999999999994</v>
      </c>
      <c r="K45" vm="244">
        <f ca="1"/>
        <v>8.84</v>
      </c>
      <c r="L45" vm="237">
        <f ca="1"/>
        <v>8.6300000000000008</v>
      </c>
      <c r="M45">
        <f ca="1"/>
        <v>9.2811800000000009</v>
      </c>
      <c r="N45">
        <f ca="1"/>
        <v>8.8904200000000007</v>
      </c>
    </row>
    <row r="46" spans="1:14" x14ac:dyDescent="0.25">
      <c r="A46" vm="300">
        <f ca="1"/>
        <v>45723</v>
      </c>
      <c r="B46" vm="301">
        <f ca="1"/>
        <v>10.64</v>
      </c>
      <c r="C46" vm="302">
        <f ca="1"/>
        <v>11.18</v>
      </c>
      <c r="D46" vm="301">
        <f ca="1"/>
        <v>10.64</v>
      </c>
      <c r="I46" vm="303">
        <f ca="1"/>
        <v>45919</v>
      </c>
      <c r="J46" vm="304">
        <f ca="1"/>
        <v>8.41</v>
      </c>
      <c r="K46" vm="280">
        <f ca="1"/>
        <v>8.74</v>
      </c>
      <c r="L46" vm="305">
        <f ca="1"/>
        <v>8.35</v>
      </c>
      <c r="M46">
        <f ca="1"/>
        <v>9.2690799999999989</v>
      </c>
      <c r="N46">
        <f ca="1"/>
        <v>8.8782200000000007</v>
      </c>
    </row>
    <row r="47" spans="1:14" x14ac:dyDescent="0.25">
      <c r="A47" vm="306">
        <f ca="1"/>
        <v>45726</v>
      </c>
      <c r="B47" vm="307">
        <f ca="1"/>
        <v>10.3</v>
      </c>
      <c r="C47" vm="308">
        <f ca="1"/>
        <v>10.89</v>
      </c>
      <c r="D47" vm="309">
        <f ca="1"/>
        <v>10.26</v>
      </c>
      <c r="I47" vm="310">
        <f ca="1"/>
        <v>45922</v>
      </c>
      <c r="J47" vm="311">
        <f ca="1"/>
        <v>8.5</v>
      </c>
      <c r="K47" vm="312">
        <f ca="1"/>
        <v>8.56</v>
      </c>
      <c r="L47" vm="313">
        <f ca="1"/>
        <v>8.2799999999999994</v>
      </c>
      <c r="M47">
        <f ca="1"/>
        <v>9.2538799999999988</v>
      </c>
      <c r="N47">
        <f ca="1"/>
        <v>8.8611200000000014</v>
      </c>
    </row>
    <row r="48" spans="1:14" x14ac:dyDescent="0.25">
      <c r="A48" vm="314">
        <f ca="1"/>
        <v>45727</v>
      </c>
      <c r="B48" vm="315">
        <f ca="1"/>
        <v>10.51</v>
      </c>
      <c r="C48" vm="316">
        <f ca="1"/>
        <v>10.6</v>
      </c>
      <c r="D48" vm="309">
        <f ca="1"/>
        <v>10.26</v>
      </c>
      <c r="I48" vm="317">
        <f ca="1"/>
        <v>45923</v>
      </c>
      <c r="J48" vm="318">
        <f ca="1"/>
        <v>9.09</v>
      </c>
      <c r="K48" vm="71">
        <f ca="1"/>
        <v>9.24</v>
      </c>
      <c r="L48" vm="252">
        <f ca="1"/>
        <v>8.6</v>
      </c>
      <c r="M48">
        <f ca="1"/>
        <v>9.2538799999999988</v>
      </c>
      <c r="N48">
        <f ca="1"/>
        <v>8.8583200000000009</v>
      </c>
    </row>
    <row r="49" spans="1:14" x14ac:dyDescent="0.25">
      <c r="A49" vm="319">
        <f ca="1"/>
        <v>45728</v>
      </c>
      <c r="B49" vm="320">
        <f ca="1"/>
        <v>10.72</v>
      </c>
      <c r="C49" vm="321">
        <f ca="1"/>
        <v>10.95</v>
      </c>
      <c r="D49" vm="322">
        <f ca="1"/>
        <v>10.45</v>
      </c>
      <c r="I49" vm="323">
        <f ca="1"/>
        <v>45924</v>
      </c>
      <c r="J49" vm="324">
        <f ca="1"/>
        <v>9.58</v>
      </c>
      <c r="K49" vm="325">
        <f ca="1"/>
        <v>9.7750000000000004</v>
      </c>
      <c r="L49" vm="101">
        <f ca="1"/>
        <v>9.23</v>
      </c>
      <c r="M49">
        <f ca="1"/>
        <v>9.2718739999999986</v>
      </c>
      <c r="N49">
        <f ca="1"/>
        <v>8.8773200000000028</v>
      </c>
    </row>
    <row r="50" spans="1:14" x14ac:dyDescent="0.25">
      <c r="A50" vm="326">
        <f ca="1"/>
        <v>45729</v>
      </c>
      <c r="B50" vm="327">
        <f ca="1"/>
        <v>10.49</v>
      </c>
      <c r="C50" vm="320">
        <f ca="1"/>
        <v>10.72</v>
      </c>
      <c r="D50" vm="309">
        <f ca="1"/>
        <v>10.26</v>
      </c>
      <c r="I50" vm="328">
        <f ca="1"/>
        <v>45925</v>
      </c>
      <c r="J50" vm="72">
        <f ca="1"/>
        <v>9.4600000000000009</v>
      </c>
      <c r="K50" vm="57">
        <f ca="1"/>
        <v>9.69</v>
      </c>
      <c r="L50" vm="329">
        <f ca="1"/>
        <v>9.31</v>
      </c>
      <c r="M50">
        <f ca="1"/>
        <v>9.2983740000000008</v>
      </c>
      <c r="N50">
        <f ca="1"/>
        <v>8.9027200000000022</v>
      </c>
    </row>
    <row r="51" spans="1:14" x14ac:dyDescent="0.25">
      <c r="A51" vm="330">
        <f ca="1"/>
        <v>45730</v>
      </c>
      <c r="B51" vm="331">
        <f ca="1"/>
        <v>10.91</v>
      </c>
      <c r="C51" vm="332">
        <f ca="1"/>
        <v>11.13</v>
      </c>
      <c r="D51" vm="333">
        <f ca="1"/>
        <v>10.7</v>
      </c>
      <c r="I51" vm="334">
        <f ca="1"/>
        <v>45926</v>
      </c>
      <c r="J51" vm="335">
        <f ca="1"/>
        <v>9.77</v>
      </c>
      <c r="K51" vm="336">
        <f ca="1"/>
        <v>9.9700000000000006</v>
      </c>
      <c r="L51" vm="63">
        <f ca="1"/>
        <v>9.4499999999999993</v>
      </c>
      <c r="M51">
        <f ca="1"/>
        <v>9.326474000000001</v>
      </c>
      <c r="N51">
        <f ca="1"/>
        <v>8.9262200000000025</v>
      </c>
    </row>
    <row r="52" spans="1:14" x14ac:dyDescent="0.25">
      <c r="A52" vm="337">
        <f ca="1"/>
        <v>45733</v>
      </c>
      <c r="B52" vm="289">
        <f ca="1"/>
        <v>11.04</v>
      </c>
      <c r="C52" vm="338">
        <f ca="1"/>
        <v>11.275</v>
      </c>
      <c r="D52" vm="339">
        <f ca="1"/>
        <v>10.88</v>
      </c>
      <c r="E52">
        <f ca="1">AVERAGE(C3:C52)</f>
        <v>14.541015999999999</v>
      </c>
      <c r="F52">
        <f ca="1">AVERAGE(D3:D52)</f>
        <v>14.037504000000004</v>
      </c>
      <c r="I52" vm="340">
        <f ca="1"/>
        <v>45929</v>
      </c>
      <c r="J52" vm="341">
        <f ca="1"/>
        <v>9.06</v>
      </c>
      <c r="K52" vm="56">
        <f ca="1"/>
        <v>9.65</v>
      </c>
      <c r="L52" vm="341">
        <f ca="1"/>
        <v>9.06</v>
      </c>
      <c r="M52">
        <f ca="1"/>
        <v>9.3398740000000018</v>
      </c>
      <c r="N52">
        <f ca="1"/>
        <v>8.9366200000000031</v>
      </c>
    </row>
    <row r="53" spans="1:14" x14ac:dyDescent="0.25">
      <c r="A53" vm="342">
        <f ca="1"/>
        <v>45734</v>
      </c>
      <c r="B53" vm="343">
        <f ca="1"/>
        <v>11.2</v>
      </c>
      <c r="C53" vm="344">
        <f ca="1"/>
        <v>11.26</v>
      </c>
      <c r="D53" vm="345">
        <f ca="1"/>
        <v>11.01</v>
      </c>
      <c r="E53">
        <f t="shared" ref="E53:E116" ca="1" si="0">AVERAGE(C4:C53)</f>
        <v>14.466416000000002</v>
      </c>
      <c r="F53">
        <f t="shared" ref="F53:F116" ca="1" si="1">AVERAGE(D4:D53)</f>
        <v>13.963704000000005</v>
      </c>
      <c r="I53" vm="346">
        <f ca="1"/>
        <v>45930</v>
      </c>
      <c r="J53" vm="26">
        <f ca="1"/>
        <v>8.92</v>
      </c>
      <c r="K53" vm="79">
        <f ca="1"/>
        <v>8.9600000000000009</v>
      </c>
      <c r="L53" vm="347">
        <f ca="1"/>
        <v>8.6850000000000005</v>
      </c>
      <c r="M53">
        <f ca="1"/>
        <v>9.3434980000000003</v>
      </c>
      <c r="N53">
        <f ca="1"/>
        <v>8.9419200000000032</v>
      </c>
    </row>
    <row r="54" spans="1:14" x14ac:dyDescent="0.25">
      <c r="A54" vm="348">
        <f ca="1"/>
        <v>45735</v>
      </c>
      <c r="B54" vm="349">
        <f ca="1"/>
        <v>11.72</v>
      </c>
      <c r="C54" vm="350">
        <f ca="1"/>
        <v>11.82</v>
      </c>
      <c r="D54" vm="351">
        <f ca="1"/>
        <v>11.22</v>
      </c>
      <c r="E54">
        <f t="shared" ca="1" si="0"/>
        <v>14.398616000000002</v>
      </c>
      <c r="F54">
        <f t="shared" ca="1" si="1"/>
        <v>13.890664000000006</v>
      </c>
      <c r="I54" vm="352">
        <f ca="1"/>
        <v>45931</v>
      </c>
      <c r="J54" vm="95">
        <f ca="1"/>
        <v>9.01</v>
      </c>
      <c r="K54" vm="318">
        <f ca="1"/>
        <v>9.09</v>
      </c>
      <c r="L54" vm="265">
        <f ca="1"/>
        <v>8.8000000000000007</v>
      </c>
      <c r="M54">
        <f ca="1"/>
        <v>9.3514979999999994</v>
      </c>
      <c r="N54">
        <f ca="1"/>
        <v>8.9483200000000025</v>
      </c>
    </row>
    <row r="55" spans="1:14" x14ac:dyDescent="0.25">
      <c r="A55" vm="353">
        <f ca="1"/>
        <v>45736</v>
      </c>
      <c r="B55" vm="354">
        <f ca="1"/>
        <v>11.65</v>
      </c>
      <c r="C55" vm="355">
        <f ca="1"/>
        <v>11.87</v>
      </c>
      <c r="D55" vm="356">
        <f ca="1"/>
        <v>11.565</v>
      </c>
      <c r="E55">
        <f t="shared" ca="1" si="0"/>
        <v>14.325416000000001</v>
      </c>
      <c r="F55">
        <f t="shared" ca="1" si="1"/>
        <v>13.819764000000006</v>
      </c>
      <c r="I55" vm="357">
        <f ca="1"/>
        <v>45932</v>
      </c>
      <c r="J55" vm="358">
        <f ca="1"/>
        <v>8.68</v>
      </c>
      <c r="K55" vm="194">
        <f ca="1"/>
        <v>9.02</v>
      </c>
      <c r="L55" vm="359">
        <f ca="1"/>
        <v>8.6349999999999998</v>
      </c>
      <c r="M55">
        <f ca="1"/>
        <v>9.3525979999999986</v>
      </c>
      <c r="N55">
        <f ca="1"/>
        <v>8.9493880000000043</v>
      </c>
    </row>
    <row r="56" spans="1:14" x14ac:dyDescent="0.25">
      <c r="A56" vm="360">
        <f ca="1"/>
        <v>45737</v>
      </c>
      <c r="B56" vm="361">
        <f ca="1"/>
        <v>11.46</v>
      </c>
      <c r="C56" vm="354">
        <f ca="1"/>
        <v>11.65</v>
      </c>
      <c r="D56" vm="282">
        <f ca="1"/>
        <v>11.29</v>
      </c>
      <c r="E56">
        <f t="shared" ca="1" si="0"/>
        <v>14.244015999999998</v>
      </c>
      <c r="F56">
        <f t="shared" ca="1" si="1"/>
        <v>13.741364000000006</v>
      </c>
      <c r="I56" vm="362">
        <f ca="1"/>
        <v>45933</v>
      </c>
      <c r="J56" vm="363">
        <f ca="1"/>
        <v>9.0399999999999991</v>
      </c>
      <c r="K56" vm="364">
        <f ca="1"/>
        <v>9.16</v>
      </c>
      <c r="L56" vm="365">
        <f ca="1"/>
        <v>8.7249999999999996</v>
      </c>
      <c r="M56">
        <f ca="1"/>
        <v>9.3491979999999995</v>
      </c>
      <c r="N56">
        <f ca="1"/>
        <v>8.9466880000000035</v>
      </c>
    </row>
    <row r="57" spans="1:14" x14ac:dyDescent="0.25">
      <c r="A57" vm="366">
        <f ca="1"/>
        <v>45740</v>
      </c>
      <c r="B57" vm="367">
        <f ca="1"/>
        <v>11.66</v>
      </c>
      <c r="C57" vm="368">
        <f ca="1"/>
        <v>11.685</v>
      </c>
      <c r="D57" vm="369">
        <f ca="1"/>
        <v>11.440099999999999</v>
      </c>
      <c r="E57">
        <f t="shared" ca="1" si="0"/>
        <v>14.162415999999999</v>
      </c>
      <c r="F57">
        <f t="shared" ca="1" si="1"/>
        <v>13.661566000000004</v>
      </c>
      <c r="I57" vm="370">
        <f ca="1"/>
        <v>45936</v>
      </c>
      <c r="J57" vm="371">
        <f ca="1"/>
        <v>9.17</v>
      </c>
      <c r="K57" vm="372">
        <f ca="1"/>
        <v>9.4</v>
      </c>
      <c r="L57" vm="373">
        <f ca="1"/>
        <v>9.11</v>
      </c>
      <c r="M57">
        <f ca="1"/>
        <v>9.3506859999999996</v>
      </c>
      <c r="N57">
        <f ca="1"/>
        <v>8.9463880000000024</v>
      </c>
    </row>
    <row r="58" spans="1:14" x14ac:dyDescent="0.25">
      <c r="A58" vm="374">
        <f ca="1"/>
        <v>45741</v>
      </c>
      <c r="B58" vm="375">
        <f ca="1"/>
        <v>11.56</v>
      </c>
      <c r="C58" vm="376">
        <f ca="1"/>
        <v>11.77</v>
      </c>
      <c r="D58" vm="377">
        <f ca="1"/>
        <v>11.38</v>
      </c>
      <c r="E58">
        <f t="shared" ca="1" si="0"/>
        <v>14.073015999999997</v>
      </c>
      <c r="F58">
        <f t="shared" ca="1" si="1"/>
        <v>13.572466000000004</v>
      </c>
      <c r="I58" vm="378">
        <f ca="1"/>
        <v>45937</v>
      </c>
      <c r="J58" vm="73">
        <f ca="1"/>
        <v>9.1199999999999992</v>
      </c>
      <c r="K58" vm="379">
        <f ca="1"/>
        <v>9.1598000000000006</v>
      </c>
      <c r="L58" vm="380">
        <f ca="1"/>
        <v>8.8849999999999998</v>
      </c>
      <c r="M58">
        <f ca="1"/>
        <v>9.3426819999999999</v>
      </c>
      <c r="N58">
        <f ca="1"/>
        <v>8.9380880000000023</v>
      </c>
    </row>
    <row r="59" spans="1:14" x14ac:dyDescent="0.25">
      <c r="A59" vm="381">
        <f ca="1"/>
        <v>45742</v>
      </c>
      <c r="B59" vm="278">
        <f ca="1"/>
        <v>11.47</v>
      </c>
      <c r="C59" vm="382">
        <f ca="1"/>
        <v>11.765000000000001</v>
      </c>
      <c r="D59" vm="361">
        <f ca="1"/>
        <v>11.46</v>
      </c>
      <c r="E59">
        <f t="shared" ca="1" si="0"/>
        <v>13.977115999999997</v>
      </c>
      <c r="F59">
        <f t="shared" ca="1" si="1"/>
        <v>13.483866000000004</v>
      </c>
      <c r="I59" vm="383">
        <f ca="1"/>
        <v>45938</v>
      </c>
      <c r="J59" vm="364">
        <f ca="1"/>
        <v>9.16</v>
      </c>
      <c r="K59" vm="384">
        <f ca="1"/>
        <v>9.19</v>
      </c>
      <c r="L59" vm="385">
        <f ca="1"/>
        <v>8.9700000000000006</v>
      </c>
      <c r="M59">
        <f ca="1"/>
        <v>9.3326820000000001</v>
      </c>
      <c r="N59">
        <f ca="1"/>
        <v>8.930888000000003</v>
      </c>
    </row>
    <row r="60" spans="1:14" x14ac:dyDescent="0.25">
      <c r="A60" vm="386">
        <f ca="1"/>
        <v>45743</v>
      </c>
      <c r="B60" vm="387">
        <f ca="1"/>
        <v>11.27</v>
      </c>
      <c r="C60" vm="276">
        <f ca="1"/>
        <v>11.55</v>
      </c>
      <c r="D60" vm="388">
        <f ca="1"/>
        <v>11.175000000000001</v>
      </c>
      <c r="E60">
        <f t="shared" ca="1" si="0"/>
        <v>13.874665999999996</v>
      </c>
      <c r="F60">
        <f t="shared" ca="1" si="1"/>
        <v>13.381566000000005</v>
      </c>
      <c r="I60" vm="389">
        <f ca="1"/>
        <v>45939</v>
      </c>
      <c r="J60" vm="79">
        <f ca="1"/>
        <v>8.9600000000000009</v>
      </c>
      <c r="K60" vm="147">
        <f ca="1"/>
        <v>9.42</v>
      </c>
      <c r="L60" vm="390">
        <f ca="1"/>
        <v>8.94</v>
      </c>
      <c r="M60">
        <f ca="1"/>
        <v>9.3278820000000024</v>
      </c>
      <c r="N60">
        <f ca="1"/>
        <v>8.922188000000002</v>
      </c>
    </row>
    <row r="61" spans="1:14" x14ac:dyDescent="0.25">
      <c r="A61" vm="391">
        <f ca="1"/>
        <v>45744</v>
      </c>
      <c r="B61" vm="392">
        <f ca="1"/>
        <v>11.14</v>
      </c>
      <c r="C61" vm="393">
        <f ca="1"/>
        <v>11.3</v>
      </c>
      <c r="D61" vm="394">
        <f ca="1"/>
        <v>11</v>
      </c>
      <c r="E61">
        <f t="shared" ca="1" si="0"/>
        <v>13.761869999999996</v>
      </c>
      <c r="F61">
        <f t="shared" ca="1" si="1"/>
        <v>13.268966000000004</v>
      </c>
      <c r="I61" vm="395">
        <f ca="1"/>
        <v>45940</v>
      </c>
      <c r="J61" vm="396">
        <f ca="1"/>
        <v>8.08</v>
      </c>
      <c r="K61" vm="244">
        <f ca="1"/>
        <v>8.84</v>
      </c>
      <c r="L61" vm="397">
        <f ca="1"/>
        <v>8.06</v>
      </c>
      <c r="M61">
        <f ca="1"/>
        <v>9.3154819999999994</v>
      </c>
      <c r="N61">
        <f ca="1"/>
        <v>8.9009880000000017</v>
      </c>
    </row>
    <row r="62" spans="1:14" x14ac:dyDescent="0.25">
      <c r="A62" vm="398">
        <f ca="1"/>
        <v>45747</v>
      </c>
      <c r="B62" vm="399">
        <f ca="1"/>
        <v>11.24</v>
      </c>
      <c r="C62" vm="400">
        <f ca="1"/>
        <v>11.42</v>
      </c>
      <c r="D62" vm="401">
        <f ca="1"/>
        <v>10.87</v>
      </c>
      <c r="E62">
        <f t="shared" ca="1" si="0"/>
        <v>13.652569999999995</v>
      </c>
      <c r="F62">
        <f t="shared" ca="1" si="1"/>
        <v>13.155366000000004</v>
      </c>
      <c r="I62" vm="402">
        <f ca="1"/>
        <v>45943</v>
      </c>
      <c r="J62" vm="252">
        <f ca="1"/>
        <v>8.6</v>
      </c>
      <c r="K62" vm="274">
        <f ca="1"/>
        <v>8.6199999999999992</v>
      </c>
      <c r="L62" vm="403">
        <f ca="1"/>
        <v>8.1201000000000008</v>
      </c>
      <c r="M62">
        <f ca="1"/>
        <v>9.3052820000000001</v>
      </c>
      <c r="N62">
        <f ca="1"/>
        <v>8.888790000000002</v>
      </c>
    </row>
    <row r="63" spans="1:14" x14ac:dyDescent="0.25">
      <c r="A63" vm="404">
        <f ca="1"/>
        <v>45748</v>
      </c>
      <c r="B63" vm="405">
        <f ca="1"/>
        <v>11.08</v>
      </c>
      <c r="C63" vm="351">
        <f ca="1"/>
        <v>11.22</v>
      </c>
      <c r="D63" vm="406">
        <f ca="1"/>
        <v>10.77</v>
      </c>
      <c r="E63">
        <f t="shared" ca="1" si="0"/>
        <v>13.539981999999998</v>
      </c>
      <c r="F63">
        <f t="shared" ca="1" si="1"/>
        <v>13.043166000000003</v>
      </c>
      <c r="I63" vm="407">
        <f ca="1"/>
        <v>45944</v>
      </c>
      <c r="J63" vm="408">
        <f ca="1"/>
        <v>8.36</v>
      </c>
      <c r="K63" vm="312">
        <f ca="1"/>
        <v>8.56</v>
      </c>
      <c r="L63" vm="409">
        <f ca="1"/>
        <v>8.3049999999999997</v>
      </c>
      <c r="M63">
        <f ca="1"/>
        <v>9.2968820000000001</v>
      </c>
      <c r="N63">
        <f ca="1"/>
        <v>8.8796900000000019</v>
      </c>
    </row>
    <row r="64" spans="1:14" x14ac:dyDescent="0.25">
      <c r="A64" vm="410">
        <f ca="1"/>
        <v>45749</v>
      </c>
      <c r="B64" vm="302">
        <f ca="1"/>
        <v>11.18</v>
      </c>
      <c r="C64" vm="351">
        <f ca="1"/>
        <v>11.22</v>
      </c>
      <c r="D64" vm="401">
        <f ca="1"/>
        <v>10.87</v>
      </c>
      <c r="E64">
        <f t="shared" ca="1" si="0"/>
        <v>13.433179999999998</v>
      </c>
      <c r="F64">
        <f t="shared" ca="1" si="1"/>
        <v>12.939466000000003</v>
      </c>
      <c r="I64" vm="411">
        <f ca="1"/>
        <v>45945</v>
      </c>
      <c r="J64" vm="412">
        <f ca="1"/>
        <v>8.3699999999999992</v>
      </c>
      <c r="K64" vm="413">
        <f ca="1"/>
        <v>8.7100000000000009</v>
      </c>
      <c r="L64" vm="414">
        <f ca="1"/>
        <v>8.32</v>
      </c>
      <c r="M64">
        <f ca="1"/>
        <v>9.2807819999999985</v>
      </c>
      <c r="N64">
        <f ca="1"/>
        <v>8.865890000000002</v>
      </c>
    </row>
    <row r="65" spans="1:14" x14ac:dyDescent="0.25">
      <c r="A65" vm="415">
        <f ca="1"/>
        <v>45750</v>
      </c>
      <c r="B65" vm="137">
        <f ca="1"/>
        <v>9.26</v>
      </c>
      <c r="C65" vm="315">
        <f ca="1"/>
        <v>10.51</v>
      </c>
      <c r="D65" vm="236">
        <f ca="1"/>
        <v>9.2100000000000009</v>
      </c>
      <c r="E65">
        <f t="shared" ca="1" si="0"/>
        <v>13.314679999999999</v>
      </c>
      <c r="F65">
        <f t="shared" ca="1" si="1"/>
        <v>12.803466</v>
      </c>
      <c r="I65" vm="416">
        <f ca="1"/>
        <v>45946</v>
      </c>
      <c r="J65" vm="304">
        <f ca="1"/>
        <v>8.41</v>
      </c>
      <c r="K65" vm="265">
        <f ca="1"/>
        <v>8.8000000000000007</v>
      </c>
      <c r="L65" vm="417">
        <f ca="1"/>
        <v>8.3000000000000007</v>
      </c>
      <c r="M65">
        <f ca="1"/>
        <v>9.2615819999999989</v>
      </c>
      <c r="N65">
        <f ca="1"/>
        <v>8.8475900000000003</v>
      </c>
    </row>
    <row r="66" spans="1:14" x14ac:dyDescent="0.25">
      <c r="A66" vm="418">
        <f ca="1"/>
        <v>45751</v>
      </c>
      <c r="B66" vm="419">
        <f ca="1"/>
        <v>7.82</v>
      </c>
      <c r="C66" vm="420">
        <f ca="1"/>
        <v>8.61</v>
      </c>
      <c r="D66" vm="421">
        <f ca="1"/>
        <v>7.6550000000000002</v>
      </c>
      <c r="E66">
        <f t="shared" ca="1" si="0"/>
        <v>13.155979999999994</v>
      </c>
      <c r="F66">
        <f t="shared" ca="1" si="1"/>
        <v>12.634366</v>
      </c>
      <c r="I66" vm="422">
        <f ca="1"/>
        <v>45947</v>
      </c>
      <c r="J66" vm="423">
        <f ca="1"/>
        <v>8.25</v>
      </c>
      <c r="K66" vm="424">
        <f ca="1"/>
        <v>8.49</v>
      </c>
      <c r="L66" vm="425">
        <f ca="1"/>
        <v>8.09</v>
      </c>
      <c r="M66">
        <f ca="1"/>
        <v>9.2399819999999995</v>
      </c>
      <c r="N66">
        <f ca="1"/>
        <v>8.82639</v>
      </c>
    </row>
    <row r="67" spans="1:14" x14ac:dyDescent="0.25">
      <c r="A67" vm="426">
        <f ca="1"/>
        <v>45754</v>
      </c>
      <c r="B67" vm="427">
        <f ca="1"/>
        <v>7.88</v>
      </c>
      <c r="C67" vm="428">
        <f ca="1"/>
        <v>8.1850000000000005</v>
      </c>
      <c r="D67" vm="429">
        <f ca="1"/>
        <v>7.14</v>
      </c>
      <c r="E67">
        <f t="shared" ca="1" si="0"/>
        <v>12.989879999999994</v>
      </c>
      <c r="F67">
        <f t="shared" ca="1" si="1"/>
        <v>12.458565999999998</v>
      </c>
      <c r="I67" vm="430">
        <f ca="1"/>
        <v>45950</v>
      </c>
      <c r="J67" vm="431">
        <f ca="1"/>
        <v>8.1</v>
      </c>
      <c r="K67" vm="10">
        <f ca="1"/>
        <v>8.4499999999999993</v>
      </c>
      <c r="L67" vm="425">
        <f ca="1"/>
        <v>8.09</v>
      </c>
      <c r="M67">
        <f ca="1"/>
        <v>9.2200819999999979</v>
      </c>
      <c r="N67">
        <f ca="1"/>
        <v>8.8066899999999997</v>
      </c>
    </row>
    <row r="68" spans="1:14" x14ac:dyDescent="0.25">
      <c r="A68" vm="432">
        <f ca="1"/>
        <v>45755</v>
      </c>
      <c r="B68" vm="433">
        <f ca="1"/>
        <v>7.29</v>
      </c>
      <c r="C68" vm="434">
        <f ca="1"/>
        <v>8.43</v>
      </c>
      <c r="D68" vm="435">
        <f ca="1"/>
        <v>7.13</v>
      </c>
      <c r="E68">
        <f t="shared" ca="1" si="0"/>
        <v>12.836579999999994</v>
      </c>
      <c r="F68">
        <f t="shared" ca="1" si="1"/>
        <v>12.291565999999998</v>
      </c>
      <c r="I68" vm="436">
        <f ca="1"/>
        <v>45951</v>
      </c>
      <c r="J68" vm="437">
        <f ca="1"/>
        <v>7.99</v>
      </c>
      <c r="K68" vm="438">
        <f ca="1"/>
        <v>8.1999999999999993</v>
      </c>
      <c r="L68" vm="437">
        <f ca="1"/>
        <v>7.99</v>
      </c>
      <c r="M68">
        <f ca="1"/>
        <v>9.1948819999999998</v>
      </c>
      <c r="N68">
        <f ca="1"/>
        <v>8.7880900000000004</v>
      </c>
    </row>
    <row r="69" spans="1:14" x14ac:dyDescent="0.25">
      <c r="A69" vm="439">
        <f ca="1"/>
        <v>45756</v>
      </c>
      <c r="B69" vm="440">
        <f ca="1"/>
        <v>8.57</v>
      </c>
      <c r="C69" vm="294">
        <f ca="1"/>
        <v>8.6649999999999991</v>
      </c>
      <c r="D69" vm="441">
        <f ca="1"/>
        <v>6.83</v>
      </c>
      <c r="E69">
        <f t="shared" ca="1" si="0"/>
        <v>12.689479999999996</v>
      </c>
      <c r="F69">
        <f t="shared" ca="1" si="1"/>
        <v>12.121965999999997</v>
      </c>
      <c r="I69" vm="442">
        <f ca="1"/>
        <v>45952</v>
      </c>
      <c r="J69" vm="397">
        <f ca="1"/>
        <v>8.06</v>
      </c>
      <c r="K69" vm="251">
        <f ca="1"/>
        <v>8.2200000000000006</v>
      </c>
      <c r="L69" vm="443">
        <f ca="1"/>
        <v>7.9301000000000004</v>
      </c>
      <c r="M69">
        <f ca="1"/>
        <v>9.1718820000000001</v>
      </c>
      <c r="N69">
        <f ca="1"/>
        <v>8.7664919999999995</v>
      </c>
    </row>
    <row r="70" spans="1:14" x14ac:dyDescent="0.25">
      <c r="A70" vm="444">
        <f ca="1"/>
        <v>45757</v>
      </c>
      <c r="B70" vm="445">
        <f ca="1"/>
        <v>7.43</v>
      </c>
      <c r="C70" vm="446">
        <f ca="1"/>
        <v>8.1374999999999993</v>
      </c>
      <c r="D70" vm="447">
        <f ca="1"/>
        <v>7.2</v>
      </c>
      <c r="E70">
        <f t="shared" ca="1" si="0"/>
        <v>12.536429999999996</v>
      </c>
      <c r="F70">
        <f t="shared" ca="1" si="1"/>
        <v>11.957165999999999</v>
      </c>
      <c r="I70" vm="448">
        <f ca="1"/>
        <v>45953</v>
      </c>
      <c r="J70" vm="449">
        <f ca="1"/>
        <v>8.5299999999999994</v>
      </c>
      <c r="K70" vm="18">
        <f ca="1"/>
        <v>8.64</v>
      </c>
      <c r="L70" vm="450">
        <f ca="1"/>
        <v>8.39</v>
      </c>
      <c r="M70">
        <f ca="1"/>
        <v>9.1531819999999993</v>
      </c>
      <c r="N70">
        <f ca="1"/>
        <v>8.7490919999999974</v>
      </c>
    </row>
    <row r="71" spans="1:14" x14ac:dyDescent="0.25">
      <c r="A71" vm="451">
        <f ca="1"/>
        <v>45758</v>
      </c>
      <c r="B71" vm="452">
        <f ca="1"/>
        <v>7.71</v>
      </c>
      <c r="C71" vm="453">
        <f ca="1"/>
        <v>7.7949999999999999</v>
      </c>
      <c r="D71" vm="454">
        <f ca="1"/>
        <v>7.2750000000000004</v>
      </c>
      <c r="E71">
        <f t="shared" ca="1" si="0"/>
        <v>12.377629999999996</v>
      </c>
      <c r="F71">
        <f t="shared" ca="1" si="1"/>
        <v>11.795065999999998</v>
      </c>
      <c r="I71" vm="455">
        <f ca="1"/>
        <v>45954</v>
      </c>
      <c r="J71" vm="456">
        <f ca="1"/>
        <v>8.3800000000000008</v>
      </c>
      <c r="K71" vm="358">
        <f ca="1"/>
        <v>8.68</v>
      </c>
      <c r="L71" vm="457">
        <f ca="1"/>
        <v>8.375</v>
      </c>
      <c r="M71">
        <f ca="1"/>
        <v>9.1335820000000005</v>
      </c>
      <c r="N71">
        <f ca="1"/>
        <v>8.7305919999999979</v>
      </c>
    </row>
    <row r="72" spans="1:14" x14ac:dyDescent="0.25">
      <c r="A72" vm="458">
        <f ca="1"/>
        <v>45761</v>
      </c>
      <c r="B72" vm="459">
        <f ca="1"/>
        <v>7.89</v>
      </c>
      <c r="C72" vm="460">
        <f ca="1"/>
        <v>8.0850000000000009</v>
      </c>
      <c r="D72" vm="461">
        <f ca="1"/>
        <v>7.68</v>
      </c>
      <c r="E72">
        <f t="shared" ca="1" si="0"/>
        <v>12.228730000000001</v>
      </c>
      <c r="F72">
        <f t="shared" ca="1" si="1"/>
        <v>11.652265999999997</v>
      </c>
      <c r="I72" vm="462">
        <f ca="1"/>
        <v>45957</v>
      </c>
      <c r="J72" vm="12">
        <f ca="1"/>
        <v>8.42</v>
      </c>
      <c r="K72" vm="237">
        <f ca="1"/>
        <v>8.6300000000000008</v>
      </c>
      <c r="L72" vm="304">
        <f ca="1"/>
        <v>8.41</v>
      </c>
      <c r="M72">
        <f ca="1"/>
        <v>9.1122060000000005</v>
      </c>
      <c r="N72">
        <f ca="1"/>
        <v>8.7110979999999998</v>
      </c>
    </row>
    <row r="73" spans="1:14" x14ac:dyDescent="0.25">
      <c r="A73" vm="463">
        <f ca="1"/>
        <v>45762</v>
      </c>
      <c r="B73" vm="464">
        <f ca="1"/>
        <v>7.76</v>
      </c>
      <c r="C73" vm="465">
        <f ca="1"/>
        <v>8.0350000000000001</v>
      </c>
      <c r="D73" vm="466">
        <f ca="1"/>
        <v>7.73</v>
      </c>
      <c r="E73">
        <f t="shared" ca="1" si="0"/>
        <v>12.084629999999999</v>
      </c>
      <c r="F73">
        <f t="shared" ca="1" si="1"/>
        <v>11.512265999999997</v>
      </c>
      <c r="I73" vm="467">
        <f ca="1"/>
        <v>45958</v>
      </c>
      <c r="J73" vm="425">
        <f ca="1"/>
        <v>8.09</v>
      </c>
      <c r="K73" vm="468">
        <f ca="1"/>
        <v>8.4</v>
      </c>
      <c r="L73" vm="469">
        <f ca="1"/>
        <v>8.0549999999999997</v>
      </c>
      <c r="M73">
        <f ca="1"/>
        <v>9.0919059999999998</v>
      </c>
      <c r="N73">
        <f ca="1"/>
        <v>8.6893979999999988</v>
      </c>
    </row>
    <row r="74" spans="1:14" x14ac:dyDescent="0.25">
      <c r="A74" vm="470">
        <f ca="1"/>
        <v>45763</v>
      </c>
      <c r="B74" vm="471">
        <f ca="1"/>
        <v>8.1300000000000008</v>
      </c>
      <c r="C74" vm="472">
        <f ca="1"/>
        <v>8.2899999999999991</v>
      </c>
      <c r="D74" vm="473">
        <f ca="1"/>
        <v>7.77</v>
      </c>
      <c r="E74">
        <f t="shared" ca="1" si="0"/>
        <v>11.943829999999998</v>
      </c>
      <c r="F74">
        <f t="shared" ca="1" si="1"/>
        <v>11.371665999999996</v>
      </c>
      <c r="I74" vm="474">
        <f ca="1"/>
        <v>45959</v>
      </c>
      <c r="J74" vm="475">
        <f ca="1"/>
        <v>8.14</v>
      </c>
      <c r="K74" vm="476">
        <f ca="1"/>
        <v>8.2881999999999998</v>
      </c>
      <c r="L74" vm="477">
        <f ca="1"/>
        <v>8</v>
      </c>
      <c r="M74">
        <f ca="1"/>
        <v>9.0680699999999987</v>
      </c>
      <c r="N74">
        <f ca="1"/>
        <v>8.6660979999999981</v>
      </c>
    </row>
    <row r="75" spans="1:14" x14ac:dyDescent="0.25">
      <c r="A75" vm="478">
        <f ca="1"/>
        <v>45764</v>
      </c>
      <c r="B75" vm="456">
        <f ca="1"/>
        <v>8.3800000000000008</v>
      </c>
      <c r="C75" vm="479">
        <f ca="1"/>
        <v>8.59</v>
      </c>
      <c r="D75" vm="480">
        <f ca="1"/>
        <v>8.1750000000000007</v>
      </c>
      <c r="E75">
        <f t="shared" ca="1" si="0"/>
        <v>11.809129999999998</v>
      </c>
      <c r="F75">
        <f t="shared" ca="1" si="1"/>
        <v>11.234165999999995</v>
      </c>
      <c r="I75" vm="481">
        <f ca="1"/>
        <v>45960</v>
      </c>
      <c r="J75" vm="482">
        <f ca="1"/>
        <v>8.15</v>
      </c>
      <c r="K75" vm="456">
        <f ca="1"/>
        <v>8.3800000000000008</v>
      </c>
      <c r="L75" vm="483">
        <f ca="1"/>
        <v>7.97</v>
      </c>
      <c r="M75">
        <f ca="1"/>
        <v>9.0478699999999996</v>
      </c>
      <c r="N75">
        <f ca="1"/>
        <v>8.6429979999999986</v>
      </c>
    </row>
    <row r="76" spans="1:14" x14ac:dyDescent="0.25">
      <c r="A76" vm="484">
        <f ca="1"/>
        <v>45768</v>
      </c>
      <c r="B76" vm="431">
        <f ca="1"/>
        <v>8.1</v>
      </c>
      <c r="C76" vm="485">
        <f ca="1"/>
        <v>8.19</v>
      </c>
      <c r="D76" vm="486">
        <f ca="1"/>
        <v>7.952</v>
      </c>
      <c r="E76">
        <f t="shared" ca="1" si="0"/>
        <v>11.669350000000001</v>
      </c>
      <c r="F76">
        <f t="shared" ca="1" si="1"/>
        <v>11.103305999999996</v>
      </c>
      <c r="I76" vm="487">
        <f ca="1"/>
        <v>45961</v>
      </c>
      <c r="J76" vm="434">
        <f ca="1"/>
        <v>8.43</v>
      </c>
      <c r="K76" vm="20">
        <f ca="1"/>
        <v>8.48</v>
      </c>
      <c r="L76" vm="431">
        <f ca="1"/>
        <v>8.1</v>
      </c>
      <c r="M76">
        <f ca="1"/>
        <v>9.0273700000000012</v>
      </c>
      <c r="N76">
        <f ca="1"/>
        <v>8.6221979999999991</v>
      </c>
    </row>
    <row r="77" spans="1:14" x14ac:dyDescent="0.25">
      <c r="A77" vm="488">
        <f ca="1"/>
        <v>45769</v>
      </c>
      <c r="B77" vm="417">
        <f ca="1"/>
        <v>8.3000000000000007</v>
      </c>
      <c r="C77" vm="434">
        <f ca="1"/>
        <v>8.43</v>
      </c>
      <c r="D77" vm="489">
        <f ca="1"/>
        <v>8.1549999999999994</v>
      </c>
      <c r="E77">
        <f t="shared" ca="1" si="0"/>
        <v>11.540550000000001</v>
      </c>
      <c r="F77">
        <f t="shared" ca="1" si="1"/>
        <v>10.973205999999994</v>
      </c>
      <c r="I77" vm="490">
        <f ca="1"/>
        <v>45964</v>
      </c>
      <c r="J77" vm="4">
        <f ca="1"/>
        <v>8.5399999999999991</v>
      </c>
      <c r="K77" vm="413">
        <f ca="1"/>
        <v>8.7100000000000009</v>
      </c>
      <c r="L77" vm="471">
        <f ca="1"/>
        <v>8.1300000000000008</v>
      </c>
      <c r="M77">
        <f ca="1"/>
        <v>9.0017700000000005</v>
      </c>
      <c r="N77">
        <f ca="1"/>
        <v>8.5975979999999996</v>
      </c>
    </row>
    <row r="78" spans="1:14" x14ac:dyDescent="0.25">
      <c r="A78" vm="491">
        <f ca="1"/>
        <v>45770</v>
      </c>
      <c r="B78" vm="492">
        <f ca="1"/>
        <v>8.27</v>
      </c>
      <c r="C78" vm="312">
        <f ca="1"/>
        <v>8.56</v>
      </c>
      <c r="D78" vm="493">
        <f ca="1"/>
        <v>8.16</v>
      </c>
      <c r="E78">
        <f t="shared" ca="1" si="0"/>
        <v>11.409549999999999</v>
      </c>
      <c r="F78">
        <f t="shared" ca="1" si="1"/>
        <v>10.840805999999995</v>
      </c>
      <c r="I78" vm="494">
        <f ca="1"/>
        <v>45965</v>
      </c>
      <c r="J78" vm="495">
        <f ca="1"/>
        <v>8.0500000000000007</v>
      </c>
      <c r="K78" vm="496">
        <f ca="1"/>
        <v>8.52</v>
      </c>
      <c r="L78" vm="437">
        <f ca="1"/>
        <v>7.99</v>
      </c>
      <c r="M78">
        <f ca="1"/>
        <v>8.9799699999999998</v>
      </c>
      <c r="N78">
        <f ca="1"/>
        <v>8.5809979999999992</v>
      </c>
    </row>
    <row r="79" spans="1:14" x14ac:dyDescent="0.25">
      <c r="A79" vm="497">
        <f ca="1"/>
        <v>45771</v>
      </c>
      <c r="B79" vm="311">
        <f ca="1"/>
        <v>8.5</v>
      </c>
      <c r="C79" vm="498">
        <f ca="1"/>
        <v>8.5250000000000004</v>
      </c>
      <c r="D79" vm="499">
        <f ca="1"/>
        <v>8.23</v>
      </c>
      <c r="E79">
        <f t="shared" ca="1" si="0"/>
        <v>11.269849999999998</v>
      </c>
      <c r="F79">
        <f t="shared" ca="1" si="1"/>
        <v>10.705305999999997</v>
      </c>
      <c r="I79" vm="500">
        <f ca="1"/>
        <v>45966</v>
      </c>
      <c r="J79" vm="396">
        <f ca="1"/>
        <v>8.08</v>
      </c>
      <c r="K79" vm="501">
        <f ca="1"/>
        <v>8.3650000000000002</v>
      </c>
      <c r="L79" vm="502">
        <f ca="1"/>
        <v>8.0299999999999994</v>
      </c>
      <c r="M79">
        <f ca="1"/>
        <v>8.9569700000000001</v>
      </c>
      <c r="N79">
        <f ca="1"/>
        <v>8.5613979999999987</v>
      </c>
    </row>
    <row r="80" spans="1:14" x14ac:dyDescent="0.25">
      <c r="A80" vm="503">
        <f ca="1"/>
        <v>45772</v>
      </c>
      <c r="B80" vm="504">
        <f ca="1"/>
        <v>8.7200000000000006</v>
      </c>
      <c r="C80" vm="505">
        <f ca="1"/>
        <v>8.75</v>
      </c>
      <c r="D80" vm="243">
        <f ca="1"/>
        <v>8.34</v>
      </c>
      <c r="E80">
        <f t="shared" ca="1" si="0"/>
        <v>11.14405</v>
      </c>
      <c r="F80">
        <f t="shared" ca="1" si="1"/>
        <v>10.583705999999998</v>
      </c>
      <c r="I80" vm="506">
        <f ca="1"/>
        <v>45967</v>
      </c>
      <c r="J80" vm="20">
        <f ca="1"/>
        <v>8.48</v>
      </c>
      <c r="K80" vm="507">
        <f ca="1"/>
        <v>8.5982000000000003</v>
      </c>
      <c r="L80" vm="482">
        <f ca="1"/>
        <v>8.15</v>
      </c>
      <c r="M80">
        <f ca="1"/>
        <v>8.9364340000000002</v>
      </c>
      <c r="N80">
        <f ca="1"/>
        <v>8.544497999999999</v>
      </c>
    </row>
    <row r="81" spans="1:14" x14ac:dyDescent="0.25">
      <c r="A81" vm="508">
        <f ca="1"/>
        <v>45775</v>
      </c>
      <c r="B81" vm="19">
        <f ca="1"/>
        <v>8.69</v>
      </c>
      <c r="C81" vm="509">
        <f ca="1"/>
        <v>8.8450000000000006</v>
      </c>
      <c r="D81" vm="252">
        <f ca="1"/>
        <v>8.6</v>
      </c>
      <c r="E81">
        <f t="shared" ca="1" si="0"/>
        <v>11.029549999999999</v>
      </c>
      <c r="F81">
        <f t="shared" ca="1" si="1"/>
        <v>10.469905999999998</v>
      </c>
      <c r="I81" vm="510">
        <f ca="1"/>
        <v>45968</v>
      </c>
      <c r="J81" vm="34">
        <f ca="1"/>
        <v>8.86</v>
      </c>
      <c r="K81" vm="511">
        <f ca="1"/>
        <v>8.9</v>
      </c>
      <c r="L81" vm="456">
        <f ca="1"/>
        <v>8.3800000000000008</v>
      </c>
      <c r="M81">
        <f ca="1"/>
        <v>8.922034</v>
      </c>
      <c r="N81">
        <f ca="1"/>
        <v>8.5292979999999972</v>
      </c>
    </row>
    <row r="82" spans="1:14" x14ac:dyDescent="0.25">
      <c r="A82" vm="512">
        <f ca="1"/>
        <v>45776</v>
      </c>
      <c r="B82" vm="312">
        <f ca="1"/>
        <v>8.56</v>
      </c>
      <c r="C82" vm="19">
        <f ca="1"/>
        <v>8.69</v>
      </c>
      <c r="D82" vm="513">
        <f ca="1"/>
        <v>8.4600000000000009</v>
      </c>
      <c r="E82">
        <f t="shared" ca="1" si="0"/>
        <v>10.903350000000005</v>
      </c>
      <c r="F82">
        <f t="shared" ca="1" si="1"/>
        <v>10.347705999999999</v>
      </c>
      <c r="I82" vm="514">
        <f ca="1"/>
        <v>45971</v>
      </c>
      <c r="J82" vm="79">
        <f ca="1"/>
        <v>8.9600000000000009</v>
      </c>
      <c r="K82" vm="515">
        <f ca="1"/>
        <v>9.08</v>
      </c>
      <c r="L82" vm="413">
        <f ca="1"/>
        <v>8.7100000000000009</v>
      </c>
      <c r="M82">
        <f ca="1"/>
        <v>8.9106339999999982</v>
      </c>
      <c r="N82">
        <f ca="1"/>
        <v>8.5140039999999981</v>
      </c>
    </row>
    <row r="83" spans="1:14" x14ac:dyDescent="0.25">
      <c r="A83" vm="516">
        <f ca="1"/>
        <v>45777</v>
      </c>
      <c r="B83" vm="313">
        <f ca="1"/>
        <v>8.2799999999999994</v>
      </c>
      <c r="C83" vm="517">
        <f ca="1"/>
        <v>8.4849999999999994</v>
      </c>
      <c r="D83" vm="471">
        <f ca="1"/>
        <v>8.1300000000000008</v>
      </c>
      <c r="E83">
        <f t="shared" ca="1" si="0"/>
        <v>10.763250000000003</v>
      </c>
      <c r="F83">
        <f t="shared" ca="1" si="1"/>
        <v>10.218105999999997</v>
      </c>
      <c r="I83" vm="518">
        <f ca="1"/>
        <v>45972</v>
      </c>
      <c r="J83" vm="57">
        <f ca="1"/>
        <v>9.69</v>
      </c>
      <c r="K83" vm="519">
        <f ca="1"/>
        <v>9.8149999999999995</v>
      </c>
      <c r="L83" vm="385">
        <f ca="1"/>
        <v>8.9700000000000006</v>
      </c>
      <c r="M83">
        <f ca="1"/>
        <v>8.908733999999999</v>
      </c>
      <c r="N83">
        <f ca="1"/>
        <v>8.5050039999999996</v>
      </c>
    </row>
    <row r="84" spans="1:14" x14ac:dyDescent="0.25">
      <c r="A84" vm="520">
        <f ca="1"/>
        <v>45778</v>
      </c>
      <c r="B84" vm="424">
        <f ca="1"/>
        <v>8.49</v>
      </c>
      <c r="C84" vm="505">
        <f ca="1"/>
        <v>8.75</v>
      </c>
      <c r="D84" vm="259">
        <f ca="1"/>
        <v>8.24</v>
      </c>
      <c r="E84">
        <f t="shared" ca="1" si="0"/>
        <v>10.626650000000001</v>
      </c>
      <c r="F84">
        <f t="shared" ca="1" si="1"/>
        <v>10.080905999999995</v>
      </c>
      <c r="I84" vm="521">
        <f ca="1"/>
        <v>45973</v>
      </c>
      <c r="J84" vm="73">
        <f ca="1"/>
        <v>9.1199999999999992</v>
      </c>
      <c r="K84" vm="522">
        <f ca="1"/>
        <v>9.6999999999999993</v>
      </c>
      <c r="L84" vm="318">
        <f ca="1"/>
        <v>9.09</v>
      </c>
      <c r="M84">
        <f ca="1"/>
        <v>8.9039339999999978</v>
      </c>
      <c r="N84">
        <f ca="1"/>
        <v>8.4992039999999989</v>
      </c>
    </row>
    <row r="85" spans="1:14" x14ac:dyDescent="0.25">
      <c r="A85" vm="523">
        <f ca="1"/>
        <v>45779</v>
      </c>
      <c r="B85" vm="274">
        <f ca="1"/>
        <v>8.6199999999999992</v>
      </c>
      <c r="C85" vm="413">
        <f ca="1"/>
        <v>8.7100000000000009</v>
      </c>
      <c r="D85" vm="524">
        <f ca="1"/>
        <v>8.4550000000000001</v>
      </c>
      <c r="E85">
        <f t="shared" ca="1" si="0"/>
        <v>10.495950000000002</v>
      </c>
      <c r="F85">
        <f t="shared" ca="1" si="1"/>
        <v>9.9531059999999965</v>
      </c>
      <c r="I85" vm="525">
        <f ca="1"/>
        <v>45974</v>
      </c>
      <c r="J85" vm="364">
        <f ca="1"/>
        <v>9.16</v>
      </c>
      <c r="K85" vm="65">
        <f ca="1"/>
        <v>9.375</v>
      </c>
      <c r="L85" vm="341">
        <f ca="1"/>
        <v>9.06</v>
      </c>
      <c r="M85">
        <f ca="1"/>
        <v>8.9016339999999996</v>
      </c>
      <c r="N85">
        <f ca="1"/>
        <v>8.4958039999999979</v>
      </c>
    </row>
    <row r="86" spans="1:14" x14ac:dyDescent="0.25">
      <c r="A86" vm="526">
        <f ca="1"/>
        <v>45782</v>
      </c>
      <c r="B86" vm="499">
        <f ca="1"/>
        <v>8.23</v>
      </c>
      <c r="C86" vm="424">
        <f ca="1"/>
        <v>8.49</v>
      </c>
      <c r="D86" vm="527">
        <f ca="1"/>
        <v>8.17</v>
      </c>
      <c r="E86">
        <f t="shared" ca="1" si="0"/>
        <v>10.363150000000001</v>
      </c>
      <c r="F86">
        <f t="shared" ca="1" si="1"/>
        <v>9.833103999999997</v>
      </c>
      <c r="I86" vm="528">
        <f ca="1"/>
        <v>45975</v>
      </c>
      <c r="J86" vm="33">
        <f ca="1"/>
        <v>9.33</v>
      </c>
      <c r="K86" vm="529">
        <f ca="1"/>
        <v>9.44</v>
      </c>
      <c r="L86" vm="511">
        <f ca="1"/>
        <v>8.9</v>
      </c>
      <c r="M86">
        <f ca="1"/>
        <v>8.9062339999999995</v>
      </c>
      <c r="N86">
        <f ca="1"/>
        <v>8.5012039999999978</v>
      </c>
    </row>
    <row r="87" spans="1:14" x14ac:dyDescent="0.25">
      <c r="A87" vm="530">
        <f ca="1"/>
        <v>45783</v>
      </c>
      <c r="B87" vm="531">
        <f ca="1"/>
        <v>7.95</v>
      </c>
      <c r="C87" vm="493">
        <f ca="1"/>
        <v>8.16</v>
      </c>
      <c r="D87" vm="532">
        <f ca="1"/>
        <v>7.7050000000000001</v>
      </c>
      <c r="E87">
        <f t="shared" ca="1" si="0"/>
        <v>10.237650000000004</v>
      </c>
      <c r="F87">
        <f t="shared" ca="1" si="1"/>
        <v>9.7048039999999975</v>
      </c>
      <c r="I87" vm="533">
        <f ca="1"/>
        <v>45978</v>
      </c>
      <c r="J87" vm="534">
        <f ca="1"/>
        <v>8.8699999999999992</v>
      </c>
      <c r="K87" vm="535">
        <f ca="1"/>
        <v>9.3249999999999993</v>
      </c>
      <c r="L87" vm="536">
        <f ca="1"/>
        <v>8.7550000000000008</v>
      </c>
      <c r="M87">
        <f ca="1"/>
        <v>8.9159339999999982</v>
      </c>
      <c r="N87">
        <f ca="1"/>
        <v>8.5097039999999993</v>
      </c>
    </row>
    <row r="88" spans="1:14" x14ac:dyDescent="0.25">
      <c r="A88" vm="537">
        <f ca="1"/>
        <v>45784</v>
      </c>
      <c r="B88" vm="538">
        <f ca="1"/>
        <v>7.94</v>
      </c>
      <c r="C88" vm="539">
        <f ca="1"/>
        <v>8.11</v>
      </c>
      <c r="D88" vm="473">
        <f ca="1"/>
        <v>7.77</v>
      </c>
      <c r="E88">
        <f t="shared" ca="1" si="0"/>
        <v>10.115650000000004</v>
      </c>
      <c r="F88">
        <f t="shared" ca="1" si="1"/>
        <v>9.586903999999997</v>
      </c>
      <c r="I88" vm="540">
        <f ca="1"/>
        <v>45979</v>
      </c>
      <c r="J88" vm="3">
        <f ca="1"/>
        <v>8.98</v>
      </c>
      <c r="K88" vm="157">
        <f ca="1"/>
        <v>9.14</v>
      </c>
      <c r="L88" vm="18">
        <f ca="1"/>
        <v>8.64</v>
      </c>
      <c r="M88">
        <f ca="1"/>
        <v>8.9267339999999997</v>
      </c>
      <c r="N88">
        <f ca="1"/>
        <v>8.5181039999999992</v>
      </c>
    </row>
    <row r="89" spans="1:14" x14ac:dyDescent="0.25">
      <c r="A89" vm="541">
        <f ca="1"/>
        <v>45785</v>
      </c>
      <c r="B89" vm="412">
        <f ca="1"/>
        <v>8.3699999999999992</v>
      </c>
      <c r="C89" vm="542">
        <f ca="1"/>
        <v>8.44</v>
      </c>
      <c r="D89" vm="502">
        <f ca="1"/>
        <v>8.0299999999999994</v>
      </c>
      <c r="E89">
        <f t="shared" ca="1" si="0"/>
        <v>10.008950000000004</v>
      </c>
      <c r="F89">
        <f t="shared" ca="1" si="1"/>
        <v>9.4823039999999974</v>
      </c>
      <c r="I89" vm="543">
        <f ca="1"/>
        <v>45980</v>
      </c>
      <c r="J89" vm="95">
        <f ca="1"/>
        <v>9.01</v>
      </c>
      <c r="K89" vm="544">
        <f ca="1"/>
        <v>9.0500000000000007</v>
      </c>
      <c r="L89" vm="545">
        <f ca="1"/>
        <v>8.66</v>
      </c>
      <c r="M89">
        <f ca="1"/>
        <v>8.9331340000000008</v>
      </c>
      <c r="N89">
        <f ca="1"/>
        <v>8.5265039999999992</v>
      </c>
    </row>
    <row r="90" spans="1:14" x14ac:dyDescent="0.25">
      <c r="A90" vm="546">
        <f ca="1"/>
        <v>45786</v>
      </c>
      <c r="B90" vm="312">
        <f ca="1"/>
        <v>8.56</v>
      </c>
      <c r="C90" vm="252">
        <f ca="1"/>
        <v>8.6</v>
      </c>
      <c r="D90" vm="547">
        <f ca="1"/>
        <v>8.3450000000000006</v>
      </c>
      <c r="E90">
        <f t="shared" ca="1" si="0"/>
        <v>9.9131500000000035</v>
      </c>
      <c r="F90">
        <f t="shared" ca="1" si="1"/>
        <v>9.3963439999999974</v>
      </c>
      <c r="I90" vm="548">
        <f ca="1"/>
        <v>45981</v>
      </c>
      <c r="J90" vm="280">
        <f ca="1"/>
        <v>8.74</v>
      </c>
      <c r="K90" vm="372">
        <f ca="1"/>
        <v>9.4</v>
      </c>
      <c r="L90" vm="549">
        <f ca="1"/>
        <v>8.7149999999999999</v>
      </c>
      <c r="M90">
        <f ca="1"/>
        <v>8.9449339999999982</v>
      </c>
      <c r="N90">
        <f ca="1"/>
        <v>8.5312040000000007</v>
      </c>
    </row>
    <row r="91" spans="1:14" x14ac:dyDescent="0.25">
      <c r="A91" vm="550">
        <f ca="1"/>
        <v>45789</v>
      </c>
      <c r="B91" vm="293">
        <f ca="1"/>
        <v>9.1</v>
      </c>
      <c r="C91" vm="551">
        <f ca="1"/>
        <v>9.41</v>
      </c>
      <c r="D91" vm="552">
        <f ca="1"/>
        <v>9.0050000000000008</v>
      </c>
      <c r="E91">
        <f t="shared" ca="1" si="0"/>
        <v>9.8444500000000037</v>
      </c>
      <c r="F91">
        <f t="shared" ca="1" si="1"/>
        <v>9.3280439999999984</v>
      </c>
      <c r="I91" vm="553">
        <f ca="1"/>
        <v>45982</v>
      </c>
      <c r="J91" vm="554">
        <f ca="1"/>
        <v>8.83</v>
      </c>
      <c r="K91" vm="34">
        <f ca="1"/>
        <v>8.86</v>
      </c>
      <c r="L91" vm="555">
        <f ca="1"/>
        <v>8.2149999999999999</v>
      </c>
      <c r="M91">
        <f ca="1"/>
        <v>8.9435339999999979</v>
      </c>
      <c r="N91">
        <f ca="1"/>
        <v>8.523104</v>
      </c>
    </row>
    <row r="92" spans="1:14" x14ac:dyDescent="0.25">
      <c r="A92" vm="556">
        <f ca="1"/>
        <v>45790</v>
      </c>
      <c r="B92" vm="557">
        <f ca="1"/>
        <v>9.5</v>
      </c>
      <c r="C92" vm="558">
        <f ca="1"/>
        <v>9.64</v>
      </c>
      <c r="D92" vm="73">
        <f ca="1"/>
        <v>9.1199999999999992</v>
      </c>
      <c r="E92">
        <f t="shared" ca="1" si="0"/>
        <v>9.7830500000000047</v>
      </c>
      <c r="F92">
        <f t="shared" ca="1" si="1"/>
        <v>9.2810439999999979</v>
      </c>
      <c r="I92" vm="559">
        <f ca="1"/>
        <v>45985</v>
      </c>
      <c r="J92" vm="364">
        <f ca="1"/>
        <v>9.16</v>
      </c>
      <c r="K92" vm="101">
        <f ca="1"/>
        <v>9.23</v>
      </c>
      <c r="L92" vm="237">
        <f ca="1"/>
        <v>8.6300000000000008</v>
      </c>
      <c r="M92">
        <f ca="1"/>
        <v>8.9533339999999981</v>
      </c>
      <c r="N92">
        <f ca="1"/>
        <v>8.5273040000000009</v>
      </c>
    </row>
    <row r="93" spans="1:14" x14ac:dyDescent="0.25">
      <c r="A93" vm="560">
        <f ca="1"/>
        <v>45791</v>
      </c>
      <c r="B93" vm="561">
        <f ca="1"/>
        <v>9.4700000000000006</v>
      </c>
      <c r="C93" vm="187">
        <f ca="1"/>
        <v>9.5399999999999991</v>
      </c>
      <c r="D93" vm="129">
        <f ca="1"/>
        <v>9.34</v>
      </c>
      <c r="E93">
        <f t="shared" ca="1" si="0"/>
        <v>9.7414500000000039</v>
      </c>
      <c r="F93">
        <f t="shared" ca="1" si="1"/>
        <v>9.2486439999999988</v>
      </c>
      <c r="I93" vm="562">
        <f ca="1"/>
        <v>45986</v>
      </c>
      <c r="J93" vm="384">
        <f ca="1"/>
        <v>9.19</v>
      </c>
      <c r="K93" vm="236">
        <f ca="1"/>
        <v>9.2100000000000009</v>
      </c>
      <c r="L93" vm="563">
        <f ca="1"/>
        <v>8.9049999999999994</v>
      </c>
      <c r="M93">
        <f ca="1"/>
        <v>8.9614239999999992</v>
      </c>
      <c r="N93">
        <f ca="1"/>
        <v>8.5352039999999985</v>
      </c>
    </row>
    <row r="94" spans="1:14" x14ac:dyDescent="0.25">
      <c r="A94" vm="564">
        <f ca="1"/>
        <v>45792</v>
      </c>
      <c r="B94" vm="384">
        <f ca="1"/>
        <v>9.19</v>
      </c>
      <c r="C94" vm="155">
        <f ca="1"/>
        <v>9.32</v>
      </c>
      <c r="D94" vm="565">
        <f ca="1"/>
        <v>9</v>
      </c>
      <c r="E94">
        <f t="shared" ca="1" si="0"/>
        <v>9.7058500000000034</v>
      </c>
      <c r="F94">
        <f t="shared" ca="1" si="1"/>
        <v>9.2216419999999975</v>
      </c>
      <c r="I94" vm="566">
        <f ca="1"/>
        <v>45987</v>
      </c>
      <c r="J94" vm="567">
        <f ca="1"/>
        <v>9.25</v>
      </c>
      <c r="K94" vm="72">
        <f ca="1"/>
        <v>9.4600000000000009</v>
      </c>
      <c r="L94" vm="568">
        <f ca="1"/>
        <v>9.18</v>
      </c>
      <c r="M94">
        <f ca="1"/>
        <v>8.9686239999999984</v>
      </c>
      <c r="N94">
        <f ca="1"/>
        <v>8.5455039999999993</v>
      </c>
    </row>
    <row r="95" spans="1:14" x14ac:dyDescent="0.25">
      <c r="A95" vm="569">
        <f ca="1"/>
        <v>45793</v>
      </c>
      <c r="B95" vm="80">
        <f ca="1"/>
        <v>9.1300000000000008</v>
      </c>
      <c r="C95" vm="570">
        <f ca="1"/>
        <v>9.2899999999999991</v>
      </c>
      <c r="D95" vm="571">
        <f ca="1"/>
        <v>8.9499999999999993</v>
      </c>
      <c r="E95">
        <f t="shared" ca="1" si="0"/>
        <v>9.6708500000000033</v>
      </c>
      <c r="F95">
        <f t="shared" ca="1" si="1"/>
        <v>9.1890419999999988</v>
      </c>
      <c r="I95" vm="572">
        <f ca="1"/>
        <v>45989</v>
      </c>
      <c r="J95" vm="224">
        <f ca="1"/>
        <v>9.43</v>
      </c>
      <c r="K95" vm="561">
        <f ca="1"/>
        <v>9.4700000000000006</v>
      </c>
      <c r="L95" vm="101">
        <f ca="1"/>
        <v>9.23</v>
      </c>
      <c r="M95">
        <f ca="1"/>
        <v>8.9812239999999992</v>
      </c>
      <c r="N95">
        <f ca="1"/>
        <v>8.5575039999999998</v>
      </c>
    </row>
    <row r="96" spans="1:14" x14ac:dyDescent="0.25">
      <c r="A96" vm="573">
        <f ca="1"/>
        <v>45796</v>
      </c>
      <c r="B96" vm="385">
        <f ca="1"/>
        <v>8.9700000000000006</v>
      </c>
      <c r="C96" vm="123">
        <f ca="1"/>
        <v>8.99</v>
      </c>
      <c r="D96" vm="280">
        <f ca="1"/>
        <v>8.74</v>
      </c>
      <c r="E96">
        <f t="shared" ca="1" si="0"/>
        <v>9.6270500000000041</v>
      </c>
      <c r="F96">
        <f t="shared" ca="1" si="1"/>
        <v>9.1510419999999986</v>
      </c>
      <c r="I96" vm="574">
        <f ca="1"/>
        <v>45992</v>
      </c>
      <c r="J96" vm="575">
        <f ca="1"/>
        <v>9.35</v>
      </c>
      <c r="K96" vm="576">
        <f ca="1"/>
        <v>9.6300000000000008</v>
      </c>
      <c r="L96" vm="33">
        <f ca="1"/>
        <v>9.33</v>
      </c>
      <c r="M96">
        <f ca="1"/>
        <v>8.9990239999999986</v>
      </c>
      <c r="N96">
        <f ca="1"/>
        <v>8.5771039999999985</v>
      </c>
    </row>
    <row r="97" spans="1:14" x14ac:dyDescent="0.25">
      <c r="A97" vm="577">
        <f ca="1"/>
        <v>45797</v>
      </c>
      <c r="B97" vm="363">
        <f ca="1"/>
        <v>9.0399999999999991</v>
      </c>
      <c r="C97" vm="164">
        <f ca="1"/>
        <v>9.1649999999999991</v>
      </c>
      <c r="D97" vm="578">
        <f ca="1"/>
        <v>8.8949999999999996</v>
      </c>
      <c r="E97">
        <f t="shared" ca="1" si="0"/>
        <v>9.5925500000000028</v>
      </c>
      <c r="F97">
        <f t="shared" ca="1" si="1"/>
        <v>9.1237419999999982</v>
      </c>
      <c r="I97" vm="579">
        <f ca="1"/>
        <v>45993</v>
      </c>
      <c r="J97" vm="575">
        <f ca="1"/>
        <v>9.35</v>
      </c>
      <c r="K97" vm="224">
        <f ca="1"/>
        <v>9.43</v>
      </c>
      <c r="L97" vm="384">
        <f ca="1"/>
        <v>9.19</v>
      </c>
      <c r="M97">
        <f ca="1"/>
        <v>9.0164239999999989</v>
      </c>
      <c r="N97">
        <f ca="1"/>
        <v>8.5953039999999969</v>
      </c>
    </row>
    <row r="98" spans="1:14" x14ac:dyDescent="0.25">
      <c r="A98" vm="580">
        <f ca="1"/>
        <v>45798</v>
      </c>
      <c r="B98" vm="19">
        <f ca="1"/>
        <v>8.69</v>
      </c>
      <c r="C98" vm="79">
        <f ca="1"/>
        <v>8.9600000000000009</v>
      </c>
      <c r="D98" vm="19">
        <f ca="1"/>
        <v>8.69</v>
      </c>
      <c r="E98">
        <f t="shared" ca="1" si="0"/>
        <v>9.5597500000000029</v>
      </c>
      <c r="F98">
        <f t="shared" ca="1" si="1"/>
        <v>9.0923419999999986</v>
      </c>
      <c r="I98" vm="581">
        <f ca="1"/>
        <v>45994</v>
      </c>
      <c r="J98" vm="522">
        <f ca="1"/>
        <v>9.6999999999999993</v>
      </c>
      <c r="K98" vm="582">
        <f ca="1"/>
        <v>9.8000000000000007</v>
      </c>
      <c r="L98" vm="529">
        <f ca="1"/>
        <v>9.44</v>
      </c>
      <c r="M98">
        <f ca="1"/>
        <v>9.0276239999999994</v>
      </c>
      <c r="N98">
        <f ca="1"/>
        <v>8.6121039999999986</v>
      </c>
    </row>
    <row r="99" spans="1:14" x14ac:dyDescent="0.25">
      <c r="A99" vm="583">
        <f ca="1"/>
        <v>45799</v>
      </c>
      <c r="B99" vm="274">
        <f ca="1"/>
        <v>8.6199999999999992</v>
      </c>
      <c r="C99" vm="584">
        <f ca="1"/>
        <v>8.65</v>
      </c>
      <c r="D99" vm="408">
        <f ca="1"/>
        <v>8.36</v>
      </c>
      <c r="E99">
        <f t="shared" ca="1" si="0"/>
        <v>9.5137500000000017</v>
      </c>
      <c r="F99">
        <f t="shared" ca="1" si="1"/>
        <v>9.0505420000000001</v>
      </c>
      <c r="I99" vm="585">
        <f ca="1"/>
        <v>45995</v>
      </c>
      <c r="J99" vm="335">
        <f ca="1"/>
        <v>9.77</v>
      </c>
      <c r="K99" vm="586">
        <f ca="1"/>
        <v>9.89</v>
      </c>
      <c r="L99" vm="587">
        <f ca="1"/>
        <v>9.7449999999999992</v>
      </c>
      <c r="M99">
        <f ca="1"/>
        <v>9.0299239999999994</v>
      </c>
      <c r="N99">
        <f ca="1"/>
        <v>8.6224039999999977</v>
      </c>
    </row>
    <row r="100" spans="1:14" x14ac:dyDescent="0.25">
      <c r="A100" vm="588">
        <f ca="1"/>
        <v>45800</v>
      </c>
      <c r="B100" vm="4">
        <f ca="1"/>
        <v>8.5399999999999991</v>
      </c>
      <c r="C100" vm="589">
        <f ca="1"/>
        <v>8.58</v>
      </c>
      <c r="D100" vm="245">
        <f ca="1"/>
        <v>8.33</v>
      </c>
      <c r="E100">
        <f t="shared" ca="1" si="0"/>
        <v>9.4709500000000002</v>
      </c>
      <c r="F100">
        <f t="shared" ca="1" si="1"/>
        <v>9.0119419999999995</v>
      </c>
      <c r="I100" vm="590">
        <f ca="1"/>
        <v>45996</v>
      </c>
      <c r="J100" vm="591">
        <f ca="1"/>
        <v>9.98</v>
      </c>
      <c r="K100" vm="592">
        <f ca="1"/>
        <v>10.225</v>
      </c>
      <c r="L100" vm="335">
        <f ca="1"/>
        <v>9.77</v>
      </c>
      <c r="M100">
        <f ca="1"/>
        <v>9.0406239999999993</v>
      </c>
      <c r="N100">
        <f ca="1"/>
        <v>8.6316039999999994</v>
      </c>
    </row>
    <row r="101" spans="1:14" x14ac:dyDescent="0.25">
      <c r="A101" vm="593">
        <f ca="1"/>
        <v>45804</v>
      </c>
      <c r="B101" vm="358">
        <f ca="1"/>
        <v>8.68</v>
      </c>
      <c r="C101" vm="594">
        <f ca="1"/>
        <v>8.7050000000000001</v>
      </c>
      <c r="D101" vm="304">
        <f ca="1"/>
        <v>8.41</v>
      </c>
      <c r="E101">
        <f t="shared" ca="1" si="0"/>
        <v>9.4224500000000013</v>
      </c>
      <c r="F101">
        <f t="shared" ca="1" si="1"/>
        <v>8.9661419999999978</v>
      </c>
      <c r="I101" vm="595">
        <f ca="1"/>
        <v>45999</v>
      </c>
      <c r="J101" vm="218">
        <f ca="1"/>
        <v>9.91</v>
      </c>
      <c r="K101" vm="596">
        <f ca="1"/>
        <v>10.050000000000001</v>
      </c>
      <c r="L101" vm="597">
        <f ca="1"/>
        <v>9.81</v>
      </c>
      <c r="M101">
        <f ca="1"/>
        <v>9.0422239999999992</v>
      </c>
      <c r="N101">
        <f ca="1"/>
        <v>8.6388039999999986</v>
      </c>
    </row>
    <row r="102" spans="1:14" x14ac:dyDescent="0.25">
      <c r="A102" vm="598">
        <f ca="1"/>
        <v>45805</v>
      </c>
      <c r="B102" vm="237">
        <f ca="1"/>
        <v>8.6300000000000008</v>
      </c>
      <c r="C102" vm="599">
        <f ca="1"/>
        <v>8.8282000000000007</v>
      </c>
      <c r="D102" vm="600">
        <f ca="1"/>
        <v>8.5749999999999993</v>
      </c>
      <c r="E102">
        <f t="shared" ca="1" si="0"/>
        <v>9.3735140000000001</v>
      </c>
      <c r="F102">
        <f t="shared" ca="1" si="1"/>
        <v>8.9200419999999987</v>
      </c>
    </row>
    <row r="103" spans="1:14" x14ac:dyDescent="0.25">
      <c r="A103" vm="601">
        <f ca="1"/>
        <v>45806</v>
      </c>
      <c r="B103" vm="258">
        <f ca="1"/>
        <v>8.6999999999999993</v>
      </c>
      <c r="C103" vm="602">
        <f ca="1"/>
        <v>8.7646999999999995</v>
      </c>
      <c r="D103" vm="603">
        <f ca="1"/>
        <v>8.5500000000000007</v>
      </c>
      <c r="E103">
        <f t="shared" ca="1" si="0"/>
        <v>9.3236080000000019</v>
      </c>
      <c r="F103">
        <f t="shared" ca="1" si="1"/>
        <v>8.8708419999999997</v>
      </c>
    </row>
    <row r="104" spans="1:14" x14ac:dyDescent="0.25">
      <c r="A104" vm="604">
        <f ca="1"/>
        <v>45807</v>
      </c>
      <c r="B104" vm="450">
        <f ca="1"/>
        <v>8.39</v>
      </c>
      <c r="C104" vm="605">
        <f ca="1"/>
        <v>8.6449999999999996</v>
      </c>
      <c r="D104" vm="305">
        <f ca="1"/>
        <v>8.35</v>
      </c>
      <c r="E104">
        <f t="shared" ca="1" si="0"/>
        <v>9.2601080000000007</v>
      </c>
      <c r="F104">
        <f t="shared" ca="1" si="1"/>
        <v>8.8134420000000002</v>
      </c>
    </row>
    <row r="105" spans="1:14" x14ac:dyDescent="0.25">
      <c r="A105" vm="606">
        <f ca="1"/>
        <v>45810</v>
      </c>
      <c r="B105" vm="589">
        <f ca="1"/>
        <v>8.58</v>
      </c>
      <c r="C105" vm="2">
        <f ca="1"/>
        <v>8.73</v>
      </c>
      <c r="D105" vm="607">
        <f ca="1"/>
        <v>8.4749999999999996</v>
      </c>
      <c r="E105">
        <f t="shared" ca="1" si="0"/>
        <v>9.1973079999999996</v>
      </c>
      <c r="F105">
        <f t="shared" ca="1" si="1"/>
        <v>8.7516420000000004</v>
      </c>
    </row>
    <row r="106" spans="1:14" x14ac:dyDescent="0.25">
      <c r="A106" vm="608">
        <f ca="1"/>
        <v>45811</v>
      </c>
      <c r="B106" vm="318">
        <f ca="1"/>
        <v>9.09</v>
      </c>
      <c r="C106" vm="609">
        <f ca="1"/>
        <v>9.1549999999999994</v>
      </c>
      <c r="D106" vm="456">
        <f ca="1"/>
        <v>8.3800000000000008</v>
      </c>
      <c r="E106">
        <f t="shared" ca="1" si="0"/>
        <v>9.1474079999999987</v>
      </c>
      <c r="F106">
        <f t="shared" ca="1" si="1"/>
        <v>8.6934419999999992</v>
      </c>
    </row>
    <row r="107" spans="1:14" x14ac:dyDescent="0.25">
      <c r="A107" vm="610">
        <f ca="1"/>
        <v>45812</v>
      </c>
      <c r="B107" vm="299">
        <f ca="1"/>
        <v>8.7799999999999994</v>
      </c>
      <c r="C107" vm="611">
        <f ca="1"/>
        <v>9.27</v>
      </c>
      <c r="D107" vm="258">
        <f ca="1"/>
        <v>8.6999999999999993</v>
      </c>
      <c r="E107">
        <f t="shared" ca="1" si="0"/>
        <v>9.0991079999999993</v>
      </c>
      <c r="F107">
        <f t="shared" ca="1" si="1"/>
        <v>8.6386400000000005</v>
      </c>
    </row>
    <row r="108" spans="1:14" x14ac:dyDescent="0.25">
      <c r="A108" vm="612">
        <f ca="1"/>
        <v>45813</v>
      </c>
      <c r="B108" vm="272">
        <f ca="1"/>
        <v>8.67</v>
      </c>
      <c r="C108" vm="613">
        <f ca="1"/>
        <v>8.89</v>
      </c>
      <c r="D108" vm="614">
        <f ca="1"/>
        <v>8.6150000000000002</v>
      </c>
      <c r="E108">
        <f t="shared" ca="1" si="0"/>
        <v>9.0415080000000003</v>
      </c>
      <c r="F108">
        <f t="shared" ca="1" si="1"/>
        <v>8.5833399999999997</v>
      </c>
    </row>
    <row r="109" spans="1:14" x14ac:dyDescent="0.25">
      <c r="A109" vm="615">
        <f ca="1"/>
        <v>45814</v>
      </c>
      <c r="B109" vm="616">
        <f ca="1"/>
        <v>9.0299999999999994</v>
      </c>
      <c r="C109" vm="110">
        <f ca="1"/>
        <v>9.15</v>
      </c>
      <c r="D109" vm="189">
        <f ca="1"/>
        <v>8.82</v>
      </c>
      <c r="E109">
        <f t="shared" ca="1" si="0"/>
        <v>8.9892079999999979</v>
      </c>
      <c r="F109">
        <f t="shared" ca="1" si="1"/>
        <v>8.5305400000000002</v>
      </c>
    </row>
    <row r="110" spans="1:14" x14ac:dyDescent="0.25">
      <c r="A110" vm="617">
        <f ca="1"/>
        <v>45817</v>
      </c>
      <c r="B110" vm="515">
        <f ca="1"/>
        <v>9.08</v>
      </c>
      <c r="C110" vm="618">
        <f ca="1"/>
        <v>9.2550000000000008</v>
      </c>
      <c r="D110" vm="363">
        <f ca="1"/>
        <v>9.0399999999999991</v>
      </c>
      <c r="E110">
        <f t="shared" ca="1" si="0"/>
        <v>8.943308</v>
      </c>
      <c r="F110">
        <f t="shared" ca="1" si="1"/>
        <v>8.4878400000000003</v>
      </c>
    </row>
    <row r="111" spans="1:14" x14ac:dyDescent="0.25">
      <c r="A111" vm="619">
        <f ca="1"/>
        <v>45818</v>
      </c>
      <c r="B111" vm="371">
        <f ca="1"/>
        <v>9.17</v>
      </c>
      <c r="C111" vm="561">
        <f ca="1"/>
        <v>9.4700000000000006</v>
      </c>
      <c r="D111" vm="80">
        <f ca="1"/>
        <v>9.1300000000000008</v>
      </c>
      <c r="E111">
        <f t="shared" ca="1" si="0"/>
        <v>8.9067079999999983</v>
      </c>
      <c r="F111">
        <f t="shared" ca="1" si="1"/>
        <v>8.4504400000000004</v>
      </c>
    </row>
    <row r="112" spans="1:14" x14ac:dyDescent="0.25">
      <c r="A112" vm="620">
        <f ca="1"/>
        <v>45819</v>
      </c>
      <c r="B112" vm="72">
        <f ca="1"/>
        <v>9.4600000000000009</v>
      </c>
      <c r="C112" vm="621">
        <f ca="1"/>
        <v>9.6</v>
      </c>
      <c r="D112" vm="364">
        <f ca="1"/>
        <v>9.16</v>
      </c>
      <c r="E112">
        <f t="shared" ca="1" si="0"/>
        <v>8.8703079999999996</v>
      </c>
      <c r="F112">
        <f t="shared" ca="1" si="1"/>
        <v>8.4162400000000019</v>
      </c>
    </row>
    <row r="113" spans="1:6" x14ac:dyDescent="0.25">
      <c r="A113" vm="622">
        <f ca="1"/>
        <v>45820</v>
      </c>
      <c r="B113" vm="623">
        <f ca="1"/>
        <v>9.52</v>
      </c>
      <c r="C113" vm="624">
        <f ca="1"/>
        <v>9.5350000000000001</v>
      </c>
      <c r="D113" vm="625">
        <f ca="1"/>
        <v>9.2091999999999992</v>
      </c>
      <c r="E113">
        <f t="shared" ca="1" si="0"/>
        <v>8.8366079999999982</v>
      </c>
      <c r="F113">
        <f t="shared" ca="1" si="1"/>
        <v>8.3850240000000031</v>
      </c>
    </row>
    <row r="114" spans="1:6" x14ac:dyDescent="0.25">
      <c r="A114" vm="626">
        <f ca="1"/>
        <v>45821</v>
      </c>
      <c r="B114" vm="627">
        <f ca="1"/>
        <v>9.7799999999999994</v>
      </c>
      <c r="C114" vm="628">
        <f ca="1"/>
        <v>10</v>
      </c>
      <c r="D114" vm="48">
        <f ca="1"/>
        <v>9.5299999999999994</v>
      </c>
      <c r="E114">
        <f t="shared" ca="1" si="0"/>
        <v>8.812208</v>
      </c>
      <c r="F114">
        <f t="shared" ca="1" si="1"/>
        <v>8.3582240000000017</v>
      </c>
    </row>
    <row r="115" spans="1:6" x14ac:dyDescent="0.25">
      <c r="A115" vm="629">
        <f ca="1"/>
        <v>45824</v>
      </c>
      <c r="B115" vm="49">
        <f ca="1"/>
        <v>9.56</v>
      </c>
      <c r="C115" vm="630">
        <f ca="1"/>
        <v>9.7899999999999991</v>
      </c>
      <c r="D115" vm="631">
        <f ca="1"/>
        <v>9.4049999999999994</v>
      </c>
      <c r="E115">
        <f t="shared" ca="1" si="0"/>
        <v>8.7978079999999981</v>
      </c>
      <c r="F115">
        <f t="shared" ca="1" si="1"/>
        <v>8.3621240000000014</v>
      </c>
    </row>
    <row r="116" spans="1:6" x14ac:dyDescent="0.25">
      <c r="A116" vm="632">
        <f ca="1"/>
        <v>45825</v>
      </c>
      <c r="B116" vm="324">
        <f ca="1"/>
        <v>9.58</v>
      </c>
      <c r="C116" vm="633">
        <f ca="1"/>
        <v>9.8800000000000008</v>
      </c>
      <c r="D116" vm="561">
        <f ca="1"/>
        <v>9.4700000000000006</v>
      </c>
      <c r="E116">
        <f t="shared" ca="1" si="0"/>
        <v>8.8232079999999993</v>
      </c>
      <c r="F116">
        <f t="shared" ca="1" si="1"/>
        <v>8.3984240000000021</v>
      </c>
    </row>
    <row r="117" spans="1:6" x14ac:dyDescent="0.25">
      <c r="A117" vm="634">
        <f ca="1"/>
        <v>45826</v>
      </c>
      <c r="B117" vm="623">
        <f ca="1"/>
        <v>9.52</v>
      </c>
      <c r="C117" vm="630">
        <f ca="1"/>
        <v>9.7899999999999991</v>
      </c>
      <c r="D117" vm="635">
        <f ca="1"/>
        <v>9.4849999999999994</v>
      </c>
      <c r="E117">
        <f t="shared" ref="E117:E180" ca="1" si="2">AVERAGE(C68:C117)</f>
        <v>8.8553079999999991</v>
      </c>
      <c r="F117">
        <f t="shared" ref="F117:F180" ca="1" si="3">AVERAGE(D68:D117)</f>
        <v>8.4453240000000012</v>
      </c>
    </row>
    <row r="118" spans="1:6" x14ac:dyDescent="0.25">
      <c r="A118" vm="636">
        <f ca="1"/>
        <v>45828</v>
      </c>
      <c r="B118" vm="561">
        <f ca="1"/>
        <v>9.4700000000000006</v>
      </c>
      <c r="C118" vm="621">
        <f ca="1"/>
        <v>9.6</v>
      </c>
      <c r="D118" vm="637">
        <f ca="1"/>
        <v>9.3949999999999996</v>
      </c>
      <c r="E118">
        <f t="shared" ca="1" si="2"/>
        <v>8.8787079999999996</v>
      </c>
      <c r="F118">
        <f t="shared" ca="1" si="3"/>
        <v>8.4906240000000022</v>
      </c>
    </row>
    <row r="119" spans="1:6" x14ac:dyDescent="0.25">
      <c r="A119" vm="638">
        <f ca="1"/>
        <v>45831</v>
      </c>
      <c r="B119" vm="385">
        <f ca="1"/>
        <v>8.9700000000000006</v>
      </c>
      <c r="C119" vm="639">
        <f ca="1"/>
        <v>9.6050000000000004</v>
      </c>
      <c r="D119" vm="273">
        <f ca="1"/>
        <v>8.93</v>
      </c>
      <c r="E119">
        <f t="shared" ca="1" si="2"/>
        <v>8.8975079999999984</v>
      </c>
      <c r="F119">
        <f t="shared" ca="1" si="3"/>
        <v>8.532624000000002</v>
      </c>
    </row>
    <row r="120" spans="1:6" x14ac:dyDescent="0.25">
      <c r="A120" vm="640">
        <f ca="1"/>
        <v>45832</v>
      </c>
      <c r="B120" vm="641">
        <f ca="1"/>
        <v>8.77</v>
      </c>
      <c r="C120" vm="642">
        <f ca="1"/>
        <v>8.9749999999999996</v>
      </c>
      <c r="D120" vm="549">
        <f ca="1"/>
        <v>8.7149999999999999</v>
      </c>
      <c r="E120">
        <f t="shared" ca="1" si="2"/>
        <v>8.9142580000000002</v>
      </c>
      <c r="F120">
        <f t="shared" ca="1" si="3"/>
        <v>8.5629240000000024</v>
      </c>
    </row>
    <row r="121" spans="1:6" x14ac:dyDescent="0.25">
      <c r="A121" vm="643">
        <f ca="1"/>
        <v>45833</v>
      </c>
      <c r="B121" vm="252">
        <f ca="1"/>
        <v>8.6</v>
      </c>
      <c r="C121" vm="505">
        <f ca="1"/>
        <v>8.75</v>
      </c>
      <c r="D121" vm="607">
        <f ca="1"/>
        <v>8.4749999999999996</v>
      </c>
      <c r="E121">
        <f t="shared" ca="1" si="2"/>
        <v>8.9333580000000001</v>
      </c>
      <c r="F121">
        <f t="shared" ca="1" si="3"/>
        <v>8.5869240000000016</v>
      </c>
    </row>
    <row r="122" spans="1:6" x14ac:dyDescent="0.25">
      <c r="A122" vm="644">
        <f ca="1"/>
        <v>45834</v>
      </c>
      <c r="B122" vm="571">
        <f ca="1"/>
        <v>8.9499999999999993</v>
      </c>
      <c r="C122" vm="385">
        <f ca="1"/>
        <v>8.9700000000000006</v>
      </c>
      <c r="D122" vm="420">
        <f ca="1"/>
        <v>8.61</v>
      </c>
      <c r="E122">
        <f t="shared" ca="1" si="2"/>
        <v>8.9510580000000033</v>
      </c>
      <c r="F122">
        <f t="shared" ca="1" si="3"/>
        <v>8.6055240000000008</v>
      </c>
    </row>
    <row r="123" spans="1:6" x14ac:dyDescent="0.25">
      <c r="A123" vm="645">
        <f ca="1"/>
        <v>45835</v>
      </c>
      <c r="B123" vm="571">
        <f ca="1"/>
        <v>8.9499999999999993</v>
      </c>
      <c r="C123" vm="80">
        <f ca="1"/>
        <v>9.1300000000000008</v>
      </c>
      <c r="D123" vm="380">
        <f ca="1"/>
        <v>8.8849999999999998</v>
      </c>
      <c r="E123">
        <f t="shared" ca="1" si="2"/>
        <v>8.972958000000002</v>
      </c>
      <c r="F123">
        <f t="shared" ca="1" si="3"/>
        <v>8.6286240000000003</v>
      </c>
    </row>
    <row r="124" spans="1:6" x14ac:dyDescent="0.25">
      <c r="A124" vm="646">
        <f ca="1"/>
        <v>45838</v>
      </c>
      <c r="B124" vm="252">
        <f ca="1"/>
        <v>8.6</v>
      </c>
      <c r="C124" vm="273">
        <f ca="1"/>
        <v>8.93</v>
      </c>
      <c r="D124" vm="647">
        <f ca="1"/>
        <v>8.5950000000000006</v>
      </c>
      <c r="E124">
        <f t="shared" ca="1" si="2"/>
        <v>8.9857580000000024</v>
      </c>
      <c r="F124">
        <f t="shared" ca="1" si="3"/>
        <v>8.6451240000000009</v>
      </c>
    </row>
    <row r="125" spans="1:6" x14ac:dyDescent="0.25">
      <c r="A125" vm="648">
        <f ca="1"/>
        <v>45839</v>
      </c>
      <c r="B125" vm="86">
        <f ca="1"/>
        <v>8.8800000000000008</v>
      </c>
      <c r="C125" vm="95">
        <f ca="1"/>
        <v>9.01</v>
      </c>
      <c r="D125" vm="424">
        <f ca="1"/>
        <v>8.49</v>
      </c>
      <c r="E125">
        <f t="shared" ca="1" si="2"/>
        <v>8.9941580000000023</v>
      </c>
      <c r="F125">
        <f t="shared" ca="1" si="3"/>
        <v>8.6514240000000004</v>
      </c>
    </row>
    <row r="126" spans="1:6" x14ac:dyDescent="0.25">
      <c r="A126" vm="649">
        <f ca="1"/>
        <v>45840</v>
      </c>
      <c r="B126" vm="73">
        <f ca="1"/>
        <v>9.1199999999999992</v>
      </c>
      <c r="C126" vm="371">
        <f ca="1"/>
        <v>9.17</v>
      </c>
      <c r="D126" vm="650">
        <f ca="1"/>
        <v>8.8249999999999993</v>
      </c>
      <c r="E126">
        <f t="shared" ca="1" si="2"/>
        <v>9.0137580000000028</v>
      </c>
      <c r="F126">
        <f t="shared" ca="1" si="3"/>
        <v>8.6688840000000003</v>
      </c>
    </row>
    <row r="127" spans="1:6" x14ac:dyDescent="0.25">
      <c r="A127" vm="651">
        <f ca="1"/>
        <v>45841</v>
      </c>
      <c r="B127" vm="80">
        <f ca="1"/>
        <v>9.1300000000000008</v>
      </c>
      <c r="C127" vm="611">
        <f ca="1"/>
        <v>9.27</v>
      </c>
      <c r="D127" vm="652">
        <f ca="1"/>
        <v>9.0850000000000009</v>
      </c>
      <c r="E127">
        <f t="shared" ca="1" si="2"/>
        <v>9.0305580000000027</v>
      </c>
      <c r="F127">
        <f t="shared" ca="1" si="3"/>
        <v>8.6874840000000013</v>
      </c>
    </row>
    <row r="128" spans="1:6" x14ac:dyDescent="0.25">
      <c r="A128" vm="653">
        <f ca="1"/>
        <v>45845</v>
      </c>
      <c r="B128" vm="554">
        <f ca="1"/>
        <v>8.83</v>
      </c>
      <c r="C128" vm="654">
        <f ca="1"/>
        <v>9.1750000000000007</v>
      </c>
      <c r="D128" vm="358">
        <f ca="1"/>
        <v>8.68</v>
      </c>
      <c r="E128">
        <f t="shared" ca="1" si="2"/>
        <v>9.0428580000000025</v>
      </c>
      <c r="F128">
        <f t="shared" ca="1" si="3"/>
        <v>8.6978840000000002</v>
      </c>
    </row>
    <row r="129" spans="1:6" x14ac:dyDescent="0.25">
      <c r="A129" vm="655">
        <f ca="1"/>
        <v>45846</v>
      </c>
      <c r="B129" vm="175">
        <f ca="1"/>
        <v>9.3800000000000008</v>
      </c>
      <c r="C129" vm="656">
        <f ca="1"/>
        <v>9.5549999999999997</v>
      </c>
      <c r="D129" vm="657">
        <f ca="1"/>
        <v>8.8524999999999991</v>
      </c>
      <c r="E129">
        <f t="shared" ca="1" si="2"/>
        <v>9.0634580000000042</v>
      </c>
      <c r="F129">
        <f t="shared" ca="1" si="3"/>
        <v>8.7103340000000014</v>
      </c>
    </row>
    <row r="130" spans="1:6" x14ac:dyDescent="0.25">
      <c r="A130" vm="658">
        <f ca="1"/>
        <v>45847</v>
      </c>
      <c r="B130" vm="364">
        <f ca="1"/>
        <v>9.16</v>
      </c>
      <c r="C130" vm="63">
        <f ca="1"/>
        <v>9.4499999999999993</v>
      </c>
      <c r="D130" vm="373">
        <f ca="1"/>
        <v>9.11</v>
      </c>
      <c r="E130">
        <f t="shared" ca="1" si="2"/>
        <v>9.0774580000000036</v>
      </c>
      <c r="F130">
        <f t="shared" ca="1" si="3"/>
        <v>8.725734000000001</v>
      </c>
    </row>
    <row r="131" spans="1:6" x14ac:dyDescent="0.25">
      <c r="A131" vm="659">
        <f ca="1"/>
        <v>45848</v>
      </c>
      <c r="B131" vm="570">
        <f ca="1"/>
        <v>9.2899999999999991</v>
      </c>
      <c r="C131" vm="660">
        <f ca="1"/>
        <v>9.3450000000000006</v>
      </c>
      <c r="D131" vm="79">
        <f ca="1"/>
        <v>8.9600000000000009</v>
      </c>
      <c r="E131">
        <f t="shared" ca="1" si="2"/>
        <v>9.0874580000000051</v>
      </c>
      <c r="F131">
        <f t="shared" ca="1" si="3"/>
        <v>8.732934000000002</v>
      </c>
    </row>
    <row r="132" spans="1:6" x14ac:dyDescent="0.25">
      <c r="A132" vm="661">
        <f ca="1"/>
        <v>45849</v>
      </c>
      <c r="B132" vm="567">
        <f ca="1"/>
        <v>9.25</v>
      </c>
      <c r="C132" vm="155">
        <f ca="1"/>
        <v>9.32</v>
      </c>
      <c r="D132" vm="662">
        <f ca="1"/>
        <v>9.1349999999999998</v>
      </c>
      <c r="E132">
        <f t="shared" ca="1" si="2"/>
        <v>9.1000580000000042</v>
      </c>
      <c r="F132">
        <f t="shared" ca="1" si="3"/>
        <v>8.7464339999999989</v>
      </c>
    </row>
    <row r="133" spans="1:6" x14ac:dyDescent="0.25">
      <c r="A133" vm="663">
        <f ca="1"/>
        <v>45852</v>
      </c>
      <c r="B133" vm="87">
        <f ca="1"/>
        <v>8.76</v>
      </c>
      <c r="C133" vm="71">
        <f ca="1"/>
        <v>9.24</v>
      </c>
      <c r="D133" vm="280">
        <f ca="1"/>
        <v>8.74</v>
      </c>
      <c r="E133">
        <f t="shared" ca="1" si="2"/>
        <v>9.1151580000000045</v>
      </c>
      <c r="F133">
        <f t="shared" ca="1" si="3"/>
        <v>8.7586339999999989</v>
      </c>
    </row>
    <row r="134" spans="1:6" x14ac:dyDescent="0.25">
      <c r="A134" vm="664">
        <f ca="1"/>
        <v>45853</v>
      </c>
      <c r="B134" vm="472">
        <f ca="1"/>
        <v>8.2899999999999991</v>
      </c>
      <c r="C134" vm="665">
        <f ca="1"/>
        <v>8.8752999999999993</v>
      </c>
      <c r="D134" vm="313">
        <f ca="1"/>
        <v>8.2799999999999994</v>
      </c>
      <c r="E134">
        <f t="shared" ca="1" si="2"/>
        <v>9.1176640000000031</v>
      </c>
      <c r="F134">
        <f t="shared" ca="1" si="3"/>
        <v>8.7594339999999988</v>
      </c>
    </row>
    <row r="135" spans="1:6" x14ac:dyDescent="0.25">
      <c r="A135" vm="666">
        <f ca="1"/>
        <v>45854</v>
      </c>
      <c r="B135" vm="499">
        <f ca="1"/>
        <v>8.23</v>
      </c>
      <c r="C135" vm="501">
        <f ca="1"/>
        <v>8.3650000000000002</v>
      </c>
      <c r="D135" vm="667">
        <f ca="1"/>
        <v>8.0399999999999991</v>
      </c>
      <c r="E135">
        <f t="shared" ca="1" si="2"/>
        <v>9.1107640000000032</v>
      </c>
      <c r="F135">
        <f t="shared" ca="1" si="3"/>
        <v>8.7511340000000004</v>
      </c>
    </row>
    <row r="136" spans="1:6" x14ac:dyDescent="0.25">
      <c r="A136" vm="668">
        <f ca="1"/>
        <v>45855</v>
      </c>
      <c r="B136" vm="434">
        <f ca="1"/>
        <v>8.43</v>
      </c>
      <c r="C136" vm="669">
        <f ca="1"/>
        <v>8.5649999999999995</v>
      </c>
      <c r="D136" vm="670">
        <f ca="1"/>
        <v>8.2750000000000004</v>
      </c>
      <c r="E136">
        <f t="shared" ca="1" si="2"/>
        <v>9.1122640000000033</v>
      </c>
      <c r="F136">
        <f t="shared" ca="1" si="3"/>
        <v>8.7532339999999991</v>
      </c>
    </row>
    <row r="137" spans="1:6" x14ac:dyDescent="0.25">
      <c r="A137" vm="1">
        <f ca="1"/>
        <v>45856</v>
      </c>
      <c r="B137" vm="2">
        <f ca="1"/>
        <v>8.73</v>
      </c>
      <c r="C137" vm="3">
        <f ca="1"/>
        <v>8.98</v>
      </c>
      <c r="D137" vm="4">
        <f ca="1"/>
        <v>8.5399999999999991</v>
      </c>
      <c r="E137">
        <f t="shared" ca="1" si="2"/>
        <v>9.1286640000000041</v>
      </c>
      <c r="F137">
        <f t="shared" ca="1" si="3"/>
        <v>8.7699339999999992</v>
      </c>
    </row>
    <row r="138" spans="1:6" x14ac:dyDescent="0.25">
      <c r="A138" vm="9">
        <f ca="1"/>
        <v>45859</v>
      </c>
      <c r="B138" vm="10">
        <f ca="1"/>
        <v>8.4499999999999993</v>
      </c>
      <c r="C138" vm="11">
        <f ca="1"/>
        <v>8.7788000000000004</v>
      </c>
      <c r="D138" vm="12">
        <f ca="1"/>
        <v>8.42</v>
      </c>
      <c r="E138">
        <f t="shared" ca="1" si="2"/>
        <v>9.1420400000000033</v>
      </c>
      <c r="F138">
        <f t="shared" ca="1" si="3"/>
        <v>8.7829340000000009</v>
      </c>
    </row>
    <row r="139" spans="1:6" x14ac:dyDescent="0.25">
      <c r="A139" vm="17">
        <f ca="1"/>
        <v>45860</v>
      </c>
      <c r="B139" vm="18">
        <f ca="1"/>
        <v>8.64</v>
      </c>
      <c r="C139" vm="19">
        <f ca="1"/>
        <v>8.69</v>
      </c>
      <c r="D139" vm="20">
        <f ca="1"/>
        <v>8.48</v>
      </c>
      <c r="E139">
        <f t="shared" ca="1" si="2"/>
        <v>9.1470400000000023</v>
      </c>
      <c r="F139">
        <f t="shared" ca="1" si="3"/>
        <v>8.7919339999999995</v>
      </c>
    </row>
    <row r="140" spans="1:6" x14ac:dyDescent="0.25">
      <c r="A140" vm="25">
        <f ca="1"/>
        <v>45861</v>
      </c>
      <c r="B140" vm="26">
        <f ca="1"/>
        <v>8.92</v>
      </c>
      <c r="C140" vm="27">
        <f ca="1"/>
        <v>8.9649999999999999</v>
      </c>
      <c r="D140" vm="28">
        <f ca="1"/>
        <v>8.5815999999999999</v>
      </c>
      <c r="E140">
        <f t="shared" ca="1" si="2"/>
        <v>9.1543400000000013</v>
      </c>
      <c r="F140">
        <f t="shared" ca="1" si="3"/>
        <v>8.7966660000000001</v>
      </c>
    </row>
    <row r="141" spans="1:6" x14ac:dyDescent="0.25">
      <c r="A141" vm="31">
        <f ca="1"/>
        <v>45862</v>
      </c>
      <c r="B141" vm="32">
        <f ca="1"/>
        <v>9.2799999999999994</v>
      </c>
      <c r="C141" vm="33">
        <f ca="1"/>
        <v>9.33</v>
      </c>
      <c r="D141" vm="34">
        <f ca="1"/>
        <v>8.86</v>
      </c>
      <c r="E141">
        <f t="shared" ca="1" si="2"/>
        <v>9.1527399999999997</v>
      </c>
      <c r="F141">
        <f t="shared" ca="1" si="3"/>
        <v>8.7937660000000015</v>
      </c>
    </row>
    <row r="142" spans="1:6" x14ac:dyDescent="0.25">
      <c r="A142" vm="39">
        <f ca="1"/>
        <v>45863</v>
      </c>
      <c r="B142" vm="40">
        <f ca="1"/>
        <v>9.1999999999999993</v>
      </c>
      <c r="C142" vm="41">
        <f ca="1"/>
        <v>9.3255999999999997</v>
      </c>
      <c r="D142" vm="42">
        <f ca="1"/>
        <v>9.125</v>
      </c>
      <c r="E142">
        <f t="shared" ca="1" si="2"/>
        <v>9.146452</v>
      </c>
      <c r="F142">
        <f t="shared" ca="1" si="3"/>
        <v>8.7938660000000013</v>
      </c>
    </row>
    <row r="143" spans="1:6" x14ac:dyDescent="0.25">
      <c r="A143" vm="47">
        <f ca="1"/>
        <v>45866</v>
      </c>
      <c r="B143" vm="48">
        <f ca="1"/>
        <v>9.5299999999999994</v>
      </c>
      <c r="C143" vm="49">
        <f ca="1"/>
        <v>9.56</v>
      </c>
      <c r="D143" vm="50">
        <f ca="1"/>
        <v>9.3000000000000007</v>
      </c>
      <c r="E143">
        <f t="shared" ca="1" si="2"/>
        <v>9.1468520000000009</v>
      </c>
      <c r="F143">
        <f t="shared" ca="1" si="3"/>
        <v>8.7930659999999996</v>
      </c>
    </row>
    <row r="144" spans="1:6" x14ac:dyDescent="0.25">
      <c r="A144" vm="55">
        <f ca="1"/>
        <v>45867</v>
      </c>
      <c r="B144" vm="56">
        <f ca="1"/>
        <v>9.65</v>
      </c>
      <c r="C144" vm="57">
        <f ca="1"/>
        <v>9.69</v>
      </c>
      <c r="D144" vm="33">
        <f ca="1"/>
        <v>9.33</v>
      </c>
      <c r="E144">
        <f t="shared" ca="1" si="2"/>
        <v>9.1542519999999996</v>
      </c>
      <c r="F144">
        <f t="shared" ca="1" si="3"/>
        <v>8.7996660000000002</v>
      </c>
    </row>
    <row r="145" spans="1:6" x14ac:dyDescent="0.25">
      <c r="A145" vm="62">
        <f ca="1"/>
        <v>45868</v>
      </c>
      <c r="B145" vm="63">
        <f ca="1"/>
        <v>9.4499999999999993</v>
      </c>
      <c r="C145" vm="64">
        <f ca="1"/>
        <v>9.66</v>
      </c>
      <c r="D145" vm="65">
        <f ca="1"/>
        <v>9.375</v>
      </c>
      <c r="E145">
        <f t="shared" ca="1" si="2"/>
        <v>9.1616519999999984</v>
      </c>
      <c r="F145">
        <f t="shared" ca="1" si="3"/>
        <v>8.8081659999999982</v>
      </c>
    </row>
    <row r="146" spans="1:6" x14ac:dyDescent="0.25">
      <c r="A146" vm="70">
        <f ca="1"/>
        <v>45869</v>
      </c>
      <c r="B146" vm="71">
        <f ca="1"/>
        <v>9.24</v>
      </c>
      <c r="C146" vm="72">
        <f ca="1"/>
        <v>9.4600000000000009</v>
      </c>
      <c r="D146" vm="73">
        <f ca="1"/>
        <v>9.1199999999999992</v>
      </c>
      <c r="E146">
        <f t="shared" ca="1" si="2"/>
        <v>9.1710519999999978</v>
      </c>
      <c r="F146">
        <f t="shared" ca="1" si="3"/>
        <v>8.815766</v>
      </c>
    </row>
    <row r="147" spans="1:6" x14ac:dyDescent="0.25">
      <c r="A147" vm="78">
        <f ca="1"/>
        <v>45870</v>
      </c>
      <c r="B147" vm="79">
        <f ca="1"/>
        <v>8.9600000000000009</v>
      </c>
      <c r="C147" vm="80">
        <f ca="1"/>
        <v>9.1300000000000008</v>
      </c>
      <c r="D147" vm="2">
        <f ca="1"/>
        <v>8.73</v>
      </c>
      <c r="E147">
        <f t="shared" ca="1" si="2"/>
        <v>9.1703519999999994</v>
      </c>
      <c r="F147">
        <f t="shared" ca="1" si="3"/>
        <v>8.8124660000000006</v>
      </c>
    </row>
    <row r="148" spans="1:6" x14ac:dyDescent="0.25">
      <c r="A148" vm="85">
        <f ca="1"/>
        <v>45873</v>
      </c>
      <c r="B148" vm="86">
        <f ca="1"/>
        <v>8.8800000000000008</v>
      </c>
      <c r="C148" vm="3">
        <f ca="1"/>
        <v>8.98</v>
      </c>
      <c r="D148" vm="87">
        <f ca="1"/>
        <v>8.76</v>
      </c>
      <c r="E148">
        <f t="shared" ca="1" si="2"/>
        <v>9.1707519999999985</v>
      </c>
      <c r="F148">
        <f t="shared" ca="1" si="3"/>
        <v>8.8138660000000009</v>
      </c>
    </row>
    <row r="149" spans="1:6" x14ac:dyDescent="0.25">
      <c r="A149" vm="92">
        <f ca="1"/>
        <v>45874</v>
      </c>
      <c r="B149" vm="93">
        <f ca="1"/>
        <v>9.36</v>
      </c>
      <c r="C149" vm="94">
        <f ca="1"/>
        <v>9.5150000000000006</v>
      </c>
      <c r="D149" vm="95">
        <f ca="1"/>
        <v>9.01</v>
      </c>
      <c r="E149">
        <f t="shared" ca="1" si="2"/>
        <v>9.188051999999999</v>
      </c>
      <c r="F149">
        <f t="shared" ca="1" si="3"/>
        <v>8.8268660000000008</v>
      </c>
    </row>
    <row r="150" spans="1:6" x14ac:dyDescent="0.25">
      <c r="A150" vm="100">
        <f ca="1"/>
        <v>45875</v>
      </c>
      <c r="B150" vm="101">
        <f ca="1"/>
        <v>9.23</v>
      </c>
      <c r="C150" vm="102">
        <f ca="1"/>
        <v>9.76</v>
      </c>
      <c r="D150" vm="103">
        <f ca="1"/>
        <v>9.2149999999999999</v>
      </c>
      <c r="E150">
        <f t="shared" ca="1" si="2"/>
        <v>9.2116519999999973</v>
      </c>
      <c r="F150">
        <f t="shared" ca="1" si="3"/>
        <v>8.8445660000000004</v>
      </c>
    </row>
    <row r="151" spans="1:6" x14ac:dyDescent="0.25">
      <c r="A151" vm="108">
        <f ca="1"/>
        <v>45876</v>
      </c>
      <c r="B151" vm="40">
        <f ca="1"/>
        <v>9.1999999999999993</v>
      </c>
      <c r="C151" vm="109">
        <f ca="1"/>
        <v>9.57</v>
      </c>
      <c r="D151" vm="110">
        <f ca="1"/>
        <v>9.15</v>
      </c>
      <c r="E151">
        <f t="shared" ca="1" si="2"/>
        <v>9.2289519999999978</v>
      </c>
      <c r="F151">
        <f t="shared" ca="1" si="3"/>
        <v>8.8593659999999996</v>
      </c>
    </row>
    <row r="152" spans="1:6" x14ac:dyDescent="0.25">
      <c r="A152" vm="115">
        <f ca="1"/>
        <v>45877</v>
      </c>
      <c r="B152" vm="101">
        <f ca="1"/>
        <v>9.23</v>
      </c>
      <c r="C152" vm="116">
        <f ca="1"/>
        <v>9.4450000000000003</v>
      </c>
      <c r="D152" vm="117">
        <f ca="1"/>
        <v>9.0749999999999993</v>
      </c>
      <c r="E152">
        <f t="shared" ca="1" si="2"/>
        <v>9.2412879999999991</v>
      </c>
      <c r="F152">
        <f t="shared" ca="1" si="3"/>
        <v>8.8693659999999994</v>
      </c>
    </row>
    <row r="153" spans="1:6" x14ac:dyDescent="0.25">
      <c r="A153" vm="122">
        <f ca="1"/>
        <v>45880</v>
      </c>
      <c r="B153" vm="123">
        <f ca="1"/>
        <v>8.99</v>
      </c>
      <c r="C153" vm="72">
        <f ca="1"/>
        <v>9.4600000000000009</v>
      </c>
      <c r="D153" vm="26">
        <f ca="1"/>
        <v>8.92</v>
      </c>
      <c r="E153">
        <f t="shared" ca="1" si="2"/>
        <v>9.2551939999999977</v>
      </c>
      <c r="F153">
        <f t="shared" ca="1" si="3"/>
        <v>8.8767659999999999</v>
      </c>
    </row>
    <row r="154" spans="1:6" x14ac:dyDescent="0.25">
      <c r="A154" vm="128">
        <f ca="1"/>
        <v>45881</v>
      </c>
      <c r="B154" vm="129">
        <f ca="1"/>
        <v>9.34</v>
      </c>
      <c r="C154" vm="130">
        <f ca="1"/>
        <v>9.3699999999999992</v>
      </c>
      <c r="D154" vm="95">
        <f ca="1"/>
        <v>9.01</v>
      </c>
      <c r="E154">
        <f t="shared" ca="1" si="2"/>
        <v>9.2696939999999977</v>
      </c>
      <c r="F154">
        <f t="shared" ca="1" si="3"/>
        <v>8.8899659999999976</v>
      </c>
    </row>
    <row r="155" spans="1:6" x14ac:dyDescent="0.25">
      <c r="A155" vm="135">
        <f ca="1"/>
        <v>45882</v>
      </c>
      <c r="B155" vm="49">
        <f ca="1"/>
        <v>9.56</v>
      </c>
      <c r="C155" vm="136">
        <f ca="1"/>
        <v>9.5749999999999993</v>
      </c>
      <c r="D155" vm="137">
        <f ca="1"/>
        <v>9.26</v>
      </c>
      <c r="E155">
        <f t="shared" ca="1" si="2"/>
        <v>9.2865939999999974</v>
      </c>
      <c r="F155">
        <f t="shared" ca="1" si="3"/>
        <v>8.9056659999999983</v>
      </c>
    </row>
    <row r="156" spans="1:6" x14ac:dyDescent="0.25">
      <c r="A156" vm="142">
        <f ca="1"/>
        <v>45883</v>
      </c>
      <c r="B156" vm="56">
        <f ca="1"/>
        <v>9.65</v>
      </c>
      <c r="C156" vm="64">
        <f ca="1"/>
        <v>9.66</v>
      </c>
      <c r="D156" vm="50">
        <f ca="1"/>
        <v>9.3000000000000007</v>
      </c>
      <c r="E156">
        <f t="shared" ca="1" si="2"/>
        <v>9.2966939999999987</v>
      </c>
      <c r="F156">
        <f t="shared" ca="1" si="3"/>
        <v>8.9240659999999998</v>
      </c>
    </row>
    <row r="157" spans="1:6" x14ac:dyDescent="0.25">
      <c r="A157" vm="146">
        <f ca="1"/>
        <v>45884</v>
      </c>
      <c r="B157" vm="147">
        <f ca="1"/>
        <v>9.42</v>
      </c>
      <c r="C157" vm="148">
        <f ca="1"/>
        <v>9.6988000000000003</v>
      </c>
      <c r="D157" vm="149">
        <f ca="1"/>
        <v>9.3847000000000005</v>
      </c>
      <c r="E157">
        <f t="shared" ca="1" si="2"/>
        <v>9.3052699999999984</v>
      </c>
      <c r="F157">
        <f t="shared" ca="1" si="3"/>
        <v>8.937759999999999</v>
      </c>
    </row>
    <row r="158" spans="1:6" x14ac:dyDescent="0.25">
      <c r="A158" vm="154">
        <f ca="1"/>
        <v>45887</v>
      </c>
      <c r="B158" vm="155">
        <f ca="1"/>
        <v>9.32</v>
      </c>
      <c r="C158" vm="156">
        <f ca="1"/>
        <v>9.4149999999999991</v>
      </c>
      <c r="D158" vm="157">
        <f ca="1"/>
        <v>9.14</v>
      </c>
      <c r="E158">
        <f t="shared" ca="1" si="2"/>
        <v>9.3157700000000006</v>
      </c>
      <c r="F158">
        <f t="shared" ca="1" si="3"/>
        <v>8.9482599999999994</v>
      </c>
    </row>
    <row r="159" spans="1:6" x14ac:dyDescent="0.25">
      <c r="A159" vm="161">
        <f ca="1"/>
        <v>45888</v>
      </c>
      <c r="B159" vm="162">
        <f ca="1"/>
        <v>9.2200000000000006</v>
      </c>
      <c r="C159" vm="163">
        <f ca="1"/>
        <v>9.48</v>
      </c>
      <c r="D159" vm="164">
        <f ca="1"/>
        <v>9.1649999999999991</v>
      </c>
      <c r="E159">
        <f t="shared" ca="1" si="2"/>
        <v>9.3223699999999994</v>
      </c>
      <c r="F159">
        <f t="shared" ca="1" si="3"/>
        <v>8.9551599999999993</v>
      </c>
    </row>
    <row r="160" spans="1:6" x14ac:dyDescent="0.25">
      <c r="A160" vm="168">
        <f ca="1"/>
        <v>45889</v>
      </c>
      <c r="B160" vm="32">
        <f ca="1"/>
        <v>9.2799999999999994</v>
      </c>
      <c r="C160" vm="169">
        <f ca="1"/>
        <v>9.39</v>
      </c>
      <c r="D160" vm="42">
        <f ca="1"/>
        <v>9.125</v>
      </c>
      <c r="E160">
        <f t="shared" ca="1" si="2"/>
        <v>9.3250700000000002</v>
      </c>
      <c r="F160">
        <f t="shared" ca="1" si="3"/>
        <v>8.9568599999999989</v>
      </c>
    </row>
    <row r="161" spans="1:6" x14ac:dyDescent="0.25">
      <c r="A161" vm="174">
        <f ca="1"/>
        <v>45890</v>
      </c>
      <c r="B161" vm="175">
        <f ca="1"/>
        <v>9.3800000000000008</v>
      </c>
      <c r="C161" vm="176">
        <f ca="1"/>
        <v>9.5050000000000008</v>
      </c>
      <c r="D161" vm="157">
        <f ca="1"/>
        <v>9.14</v>
      </c>
      <c r="E161">
        <f t="shared" ca="1" si="2"/>
        <v>9.3257699999999986</v>
      </c>
      <c r="F161">
        <f t="shared" ca="1" si="3"/>
        <v>8.9570599999999985</v>
      </c>
    </row>
    <row r="162" spans="1:6" x14ac:dyDescent="0.25">
      <c r="A162" vm="180">
        <f ca="1"/>
        <v>45891</v>
      </c>
      <c r="B162" vm="181">
        <f ca="1"/>
        <v>9.94</v>
      </c>
      <c r="C162" vm="182">
        <f ca="1"/>
        <v>9.99</v>
      </c>
      <c r="D162" vm="93">
        <f ca="1"/>
        <v>9.36</v>
      </c>
      <c r="E162">
        <f t="shared" ca="1" si="2"/>
        <v>9.3335699999999999</v>
      </c>
      <c r="F162">
        <f t="shared" ca="1" si="3"/>
        <v>8.961059999999998</v>
      </c>
    </row>
    <row r="163" spans="1:6" x14ac:dyDescent="0.25">
      <c r="A163" vm="186">
        <f ca="1"/>
        <v>45894</v>
      </c>
      <c r="B163" vm="187">
        <f ca="1"/>
        <v>9.5399999999999991</v>
      </c>
      <c r="C163" vm="188">
        <f ca="1"/>
        <v>9.61</v>
      </c>
      <c r="D163" vm="189">
        <f ca="1"/>
        <v>8.82</v>
      </c>
      <c r="E163">
        <f t="shared" ca="1" si="2"/>
        <v>9.33507</v>
      </c>
      <c r="F163">
        <f t="shared" ca="1" si="3"/>
        <v>8.9532759999999989</v>
      </c>
    </row>
    <row r="164" spans="1:6" x14ac:dyDescent="0.25">
      <c r="A164" vm="193">
        <f ca="1"/>
        <v>45895</v>
      </c>
      <c r="B164" vm="194">
        <f ca="1"/>
        <v>9.02</v>
      </c>
      <c r="C164" vm="94">
        <f ca="1"/>
        <v>9.5150000000000006</v>
      </c>
      <c r="D164" vm="95">
        <f ca="1"/>
        <v>9.01</v>
      </c>
      <c r="E164">
        <f t="shared" ca="1" si="2"/>
        <v>9.3253699999999995</v>
      </c>
      <c r="F164">
        <f t="shared" ca="1" si="3"/>
        <v>8.9428759999999983</v>
      </c>
    </row>
    <row r="165" spans="1:6" x14ac:dyDescent="0.25">
      <c r="A165" vm="199">
        <f ca="1"/>
        <v>45896</v>
      </c>
      <c r="B165" vm="50">
        <f ca="1"/>
        <v>9.3000000000000007</v>
      </c>
      <c r="C165" vm="200">
        <f ca="1"/>
        <v>9.625</v>
      </c>
      <c r="D165" vm="201">
        <f ca="1"/>
        <v>8.9949999999999992</v>
      </c>
      <c r="E165">
        <f t="shared" ca="1" si="2"/>
        <v>9.3220700000000001</v>
      </c>
      <c r="F165">
        <f t="shared" ca="1" si="3"/>
        <v>8.9346760000000014</v>
      </c>
    </row>
    <row r="166" spans="1:6" x14ac:dyDescent="0.25">
      <c r="A166" vm="206">
        <f ca="1"/>
        <v>45897</v>
      </c>
      <c r="B166" vm="188">
        <f ca="1"/>
        <v>9.61</v>
      </c>
      <c r="C166" vm="207">
        <f ca="1"/>
        <v>9.6199999999999992</v>
      </c>
      <c r="D166" vm="157">
        <f ca="1"/>
        <v>9.14</v>
      </c>
      <c r="E166">
        <f t="shared" ca="1" si="2"/>
        <v>9.3168700000000015</v>
      </c>
      <c r="F166">
        <f t="shared" ca="1" si="3"/>
        <v>8.928075999999999</v>
      </c>
    </row>
    <row r="167" spans="1:6" x14ac:dyDescent="0.25">
      <c r="A167" vm="210">
        <f ca="1"/>
        <v>45898</v>
      </c>
      <c r="B167" vm="187">
        <f ca="1"/>
        <v>9.5399999999999991</v>
      </c>
      <c r="C167" vm="56">
        <f ca="1"/>
        <v>9.65</v>
      </c>
      <c r="D167" vm="211">
        <f ca="1"/>
        <v>9.4747000000000003</v>
      </c>
      <c r="E167">
        <f t="shared" ca="1" si="2"/>
        <v>9.314070000000001</v>
      </c>
      <c r="F167">
        <f t="shared" ca="1" si="3"/>
        <v>8.9278699999999986</v>
      </c>
    </row>
    <row r="168" spans="1:6" x14ac:dyDescent="0.25">
      <c r="A168" vm="216">
        <f ca="1"/>
        <v>45902</v>
      </c>
      <c r="B168" vm="217">
        <f ca="1"/>
        <v>9.9</v>
      </c>
      <c r="C168" vm="218">
        <f ca="1"/>
        <v>9.91</v>
      </c>
      <c r="D168" vm="147">
        <f ca="1"/>
        <v>9.42</v>
      </c>
      <c r="E168">
        <f t="shared" ca="1" si="2"/>
        <v>9.3202700000000007</v>
      </c>
      <c r="F168">
        <f t="shared" ca="1" si="3"/>
        <v>8.9283699999999975</v>
      </c>
    </row>
    <row r="169" spans="1:6" x14ac:dyDescent="0.25">
      <c r="A169" vm="223">
        <f ca="1"/>
        <v>45903</v>
      </c>
      <c r="B169" vm="224">
        <f ca="1"/>
        <v>9.43</v>
      </c>
      <c r="C169" vm="181">
        <f ca="1"/>
        <v>9.94</v>
      </c>
      <c r="D169" vm="175">
        <f ca="1"/>
        <v>9.3800000000000008</v>
      </c>
      <c r="E169">
        <f t="shared" ca="1" si="2"/>
        <v>9.3269700000000011</v>
      </c>
      <c r="F169">
        <f t="shared" ca="1" si="3"/>
        <v>8.9373699999999978</v>
      </c>
    </row>
    <row r="170" spans="1:6" x14ac:dyDescent="0.25">
      <c r="A170" vm="229">
        <f ca="1"/>
        <v>45904</v>
      </c>
      <c r="B170" vm="71">
        <f ca="1"/>
        <v>9.24</v>
      </c>
      <c r="C170" vm="230">
        <f ca="1"/>
        <v>9.49</v>
      </c>
      <c r="D170" vm="101">
        <f ca="1"/>
        <v>9.23</v>
      </c>
      <c r="E170">
        <f t="shared" ca="1" si="2"/>
        <v>9.3372700000000002</v>
      </c>
      <c r="F170">
        <f t="shared" ca="1" si="3"/>
        <v>8.9476699999999987</v>
      </c>
    </row>
    <row r="171" spans="1:6" x14ac:dyDescent="0.25">
      <c r="A171" vm="235">
        <f ca="1"/>
        <v>45905</v>
      </c>
      <c r="B171" vm="87">
        <f ca="1"/>
        <v>8.76</v>
      </c>
      <c r="C171" vm="236">
        <f ca="1"/>
        <v>9.2100000000000009</v>
      </c>
      <c r="D171" vm="237">
        <f ca="1"/>
        <v>8.6300000000000008</v>
      </c>
      <c r="E171">
        <f t="shared" ca="1" si="2"/>
        <v>9.3464700000000001</v>
      </c>
      <c r="F171">
        <f t="shared" ca="1" si="3"/>
        <v>8.9507700000000003</v>
      </c>
    </row>
    <row r="172" spans="1:6" x14ac:dyDescent="0.25">
      <c r="A172" vm="242">
        <f ca="1"/>
        <v>45908</v>
      </c>
      <c r="B172" vm="243">
        <f ca="1"/>
        <v>8.34</v>
      </c>
      <c r="C172" vm="244">
        <f ca="1"/>
        <v>8.84</v>
      </c>
      <c r="D172" vm="245">
        <f ca="1"/>
        <v>8.33</v>
      </c>
      <c r="E172">
        <f t="shared" ca="1" si="2"/>
        <v>9.343869999999999</v>
      </c>
      <c r="F172">
        <f t="shared" ca="1" si="3"/>
        <v>8.9451699999999992</v>
      </c>
    </row>
    <row r="173" spans="1:6" x14ac:dyDescent="0.25">
      <c r="A173" vm="250">
        <f ca="1"/>
        <v>45909</v>
      </c>
      <c r="B173" vm="251">
        <f ca="1"/>
        <v>8.2200000000000006</v>
      </c>
      <c r="C173" vm="252">
        <f ca="1"/>
        <v>8.6</v>
      </c>
      <c r="D173" vm="251">
        <f ca="1"/>
        <v>8.2200000000000006</v>
      </c>
      <c r="E173">
        <f t="shared" ca="1" si="2"/>
        <v>9.3332700000000006</v>
      </c>
      <c r="F173">
        <f t="shared" ca="1" si="3"/>
        <v>8.93187</v>
      </c>
    </row>
    <row r="174" spans="1:6" x14ac:dyDescent="0.25">
      <c r="A174" vm="257">
        <f ca="1"/>
        <v>45910</v>
      </c>
      <c r="B174" vm="258">
        <f ca="1"/>
        <v>8.6999999999999993</v>
      </c>
      <c r="C174" vm="2">
        <f ca="1"/>
        <v>8.73</v>
      </c>
      <c r="D174" vm="259">
        <f ca="1"/>
        <v>8.24</v>
      </c>
      <c r="E174">
        <f t="shared" ca="1" si="2"/>
        <v>9.3292700000000011</v>
      </c>
      <c r="F174">
        <f t="shared" ca="1" si="3"/>
        <v>8.9247700000000005</v>
      </c>
    </row>
    <row r="175" spans="1:6" x14ac:dyDescent="0.25">
      <c r="A175" vm="264">
        <f ca="1"/>
        <v>45911</v>
      </c>
      <c r="B175" vm="265">
        <f ca="1"/>
        <v>8.8000000000000007</v>
      </c>
      <c r="C175" vm="266">
        <f ca="1"/>
        <v>8.81</v>
      </c>
      <c r="D175" vm="20">
        <f ca="1"/>
        <v>8.48</v>
      </c>
      <c r="E175">
        <f t="shared" ca="1" si="2"/>
        <v>9.3252699999999997</v>
      </c>
      <c r="F175">
        <f t="shared" ca="1" si="3"/>
        <v>8.924570000000001</v>
      </c>
    </row>
    <row r="176" spans="1:6" x14ac:dyDescent="0.25">
      <c r="A176" vm="271">
        <f ca="1"/>
        <v>45912</v>
      </c>
      <c r="B176" vm="272">
        <f ca="1"/>
        <v>8.67</v>
      </c>
      <c r="C176" vm="273">
        <f ca="1"/>
        <v>8.93</v>
      </c>
      <c r="D176" vm="274">
        <f ca="1"/>
        <v>8.6199999999999992</v>
      </c>
      <c r="E176">
        <f t="shared" ca="1" si="2"/>
        <v>9.3204700000000003</v>
      </c>
      <c r="F176">
        <f t="shared" ca="1" si="3"/>
        <v>8.9204699999999999</v>
      </c>
    </row>
    <row r="177" spans="1:6" x14ac:dyDescent="0.25">
      <c r="A177" vm="279">
        <f ca="1"/>
        <v>45915</v>
      </c>
      <c r="B177" vm="12">
        <f ca="1"/>
        <v>8.42</v>
      </c>
      <c r="C177" vm="280">
        <f ca="1"/>
        <v>8.74</v>
      </c>
      <c r="D177" vm="12">
        <f ca="1"/>
        <v>8.42</v>
      </c>
      <c r="E177">
        <f t="shared" ca="1" si="2"/>
        <v>9.3098700000000019</v>
      </c>
      <c r="F177">
        <f t="shared" ca="1" si="3"/>
        <v>8.9071700000000007</v>
      </c>
    </row>
    <row r="178" spans="1:6" x14ac:dyDescent="0.25">
      <c r="A178" vm="285">
        <f ca="1"/>
        <v>45916</v>
      </c>
      <c r="B178" vm="87">
        <f ca="1"/>
        <v>8.76</v>
      </c>
      <c r="C178" vm="286">
        <f ca="1"/>
        <v>8.8055000000000003</v>
      </c>
      <c r="D178" vm="287">
        <f ca="1"/>
        <v>8.51</v>
      </c>
      <c r="E178">
        <f t="shared" ca="1" si="2"/>
        <v>9.302480000000001</v>
      </c>
      <c r="F178">
        <f t="shared" ca="1" si="3"/>
        <v>8.9037700000000015</v>
      </c>
    </row>
    <row r="179" spans="1:6" x14ac:dyDescent="0.25">
      <c r="A179" vm="292">
        <f ca="1"/>
        <v>45917</v>
      </c>
      <c r="B179" vm="87">
        <f ca="1"/>
        <v>8.76</v>
      </c>
      <c r="C179" vm="293">
        <f ca="1"/>
        <v>9.1</v>
      </c>
      <c r="D179" vm="294">
        <f ca="1"/>
        <v>8.6649999999999991</v>
      </c>
      <c r="E179">
        <f t="shared" ca="1" si="2"/>
        <v>9.2933800000000009</v>
      </c>
      <c r="F179">
        <f t="shared" ca="1" si="3"/>
        <v>8.9000200000000014</v>
      </c>
    </row>
    <row r="180" spans="1:6" x14ac:dyDescent="0.25">
      <c r="A180" vm="298">
        <f ca="1"/>
        <v>45918</v>
      </c>
      <c r="B180" vm="299">
        <f ca="1"/>
        <v>8.7799999999999994</v>
      </c>
      <c r="C180" vm="244">
        <f ca="1"/>
        <v>8.84</v>
      </c>
      <c r="D180" vm="237">
        <f ca="1"/>
        <v>8.6300000000000008</v>
      </c>
      <c r="E180">
        <f t="shared" ca="1" si="2"/>
        <v>9.2811800000000009</v>
      </c>
      <c r="F180">
        <f t="shared" ca="1" si="3"/>
        <v>8.8904200000000007</v>
      </c>
    </row>
    <row r="181" spans="1:6" x14ac:dyDescent="0.25">
      <c r="A181" vm="303">
        <f ca="1"/>
        <v>45919</v>
      </c>
      <c r="B181" vm="304">
        <f ca="1"/>
        <v>8.41</v>
      </c>
      <c r="C181" vm="280">
        <f ca="1"/>
        <v>8.74</v>
      </c>
      <c r="D181" vm="305">
        <f ca="1"/>
        <v>8.35</v>
      </c>
      <c r="E181">
        <f t="shared" ref="E181:E236" ca="1" si="4">AVERAGE(C132:C181)</f>
        <v>9.2690799999999989</v>
      </c>
      <c r="F181">
        <f t="shared" ref="F181:F236" ca="1" si="5">AVERAGE(D132:D181)</f>
        <v>8.8782200000000007</v>
      </c>
    </row>
    <row r="182" spans="1:6" x14ac:dyDescent="0.25">
      <c r="A182" vm="310">
        <f ca="1"/>
        <v>45922</v>
      </c>
      <c r="B182" vm="311">
        <f ca="1"/>
        <v>8.5</v>
      </c>
      <c r="C182" vm="312">
        <f ca="1"/>
        <v>8.56</v>
      </c>
      <c r="D182" vm="313">
        <f ca="1"/>
        <v>8.2799999999999994</v>
      </c>
      <c r="E182">
        <f t="shared" ca="1" si="4"/>
        <v>9.2538799999999988</v>
      </c>
      <c r="F182">
        <f t="shared" ca="1" si="5"/>
        <v>8.8611200000000014</v>
      </c>
    </row>
    <row r="183" spans="1:6" x14ac:dyDescent="0.25">
      <c r="A183" vm="317">
        <f ca="1"/>
        <v>45923</v>
      </c>
      <c r="B183" vm="318">
        <f ca="1"/>
        <v>9.09</v>
      </c>
      <c r="C183" vm="71">
        <f ca="1"/>
        <v>9.24</v>
      </c>
      <c r="D183" vm="252">
        <f ca="1"/>
        <v>8.6</v>
      </c>
      <c r="E183">
        <f t="shared" ca="1" si="4"/>
        <v>9.2538799999999988</v>
      </c>
      <c r="F183">
        <f t="shared" ca="1" si="5"/>
        <v>8.8583200000000009</v>
      </c>
    </row>
    <row r="184" spans="1:6" x14ac:dyDescent="0.25">
      <c r="A184" vm="323">
        <f ca="1"/>
        <v>45924</v>
      </c>
      <c r="B184" vm="324">
        <f ca="1"/>
        <v>9.58</v>
      </c>
      <c r="C184" vm="325">
        <f ca="1"/>
        <v>9.7750000000000004</v>
      </c>
      <c r="D184" vm="101">
        <f ca="1"/>
        <v>9.23</v>
      </c>
      <c r="E184">
        <f t="shared" ca="1" si="4"/>
        <v>9.2718739999999986</v>
      </c>
      <c r="F184">
        <f t="shared" ca="1" si="5"/>
        <v>8.8773200000000028</v>
      </c>
    </row>
    <row r="185" spans="1:6" x14ac:dyDescent="0.25">
      <c r="A185" vm="328">
        <f ca="1"/>
        <v>45925</v>
      </c>
      <c r="B185" vm="72">
        <f ca="1"/>
        <v>9.4600000000000009</v>
      </c>
      <c r="C185" vm="57">
        <f ca="1"/>
        <v>9.69</v>
      </c>
      <c r="D185" vm="329">
        <f ca="1"/>
        <v>9.31</v>
      </c>
      <c r="E185">
        <f t="shared" ca="1" si="4"/>
        <v>9.2983740000000008</v>
      </c>
      <c r="F185">
        <f t="shared" ca="1" si="5"/>
        <v>8.9027200000000022</v>
      </c>
    </row>
    <row r="186" spans="1:6" x14ac:dyDescent="0.25">
      <c r="A186" vm="334">
        <f ca="1"/>
        <v>45926</v>
      </c>
      <c r="B186" vm="335">
        <f ca="1"/>
        <v>9.77</v>
      </c>
      <c r="C186" vm="336">
        <f ca="1"/>
        <v>9.9700000000000006</v>
      </c>
      <c r="D186" vm="63">
        <f ca="1"/>
        <v>9.4499999999999993</v>
      </c>
      <c r="E186">
        <f t="shared" ca="1" si="4"/>
        <v>9.326474000000001</v>
      </c>
      <c r="F186">
        <f t="shared" ca="1" si="5"/>
        <v>8.9262200000000025</v>
      </c>
    </row>
    <row r="187" spans="1:6" x14ac:dyDescent="0.25">
      <c r="A187" vm="340">
        <f ca="1"/>
        <v>45929</v>
      </c>
      <c r="B187" vm="341">
        <f ca="1"/>
        <v>9.06</v>
      </c>
      <c r="C187" vm="56">
        <f ca="1"/>
        <v>9.65</v>
      </c>
      <c r="D187" vm="341">
        <f ca="1"/>
        <v>9.06</v>
      </c>
      <c r="E187">
        <f t="shared" ca="1" si="4"/>
        <v>9.3398740000000018</v>
      </c>
      <c r="F187">
        <f t="shared" ca="1" si="5"/>
        <v>8.9366200000000031</v>
      </c>
    </row>
    <row r="188" spans="1:6" x14ac:dyDescent="0.25">
      <c r="A188" vm="346">
        <f ca="1"/>
        <v>45930</v>
      </c>
      <c r="B188" vm="26">
        <f ca="1"/>
        <v>8.92</v>
      </c>
      <c r="C188" vm="79">
        <f ca="1"/>
        <v>8.9600000000000009</v>
      </c>
      <c r="D188" vm="347">
        <f ca="1"/>
        <v>8.6850000000000005</v>
      </c>
      <c r="E188">
        <f t="shared" ca="1" si="4"/>
        <v>9.3434980000000003</v>
      </c>
      <c r="F188">
        <f t="shared" ca="1" si="5"/>
        <v>8.9419200000000032</v>
      </c>
    </row>
    <row r="189" spans="1:6" x14ac:dyDescent="0.25">
      <c r="A189" vm="352">
        <f ca="1"/>
        <v>45931</v>
      </c>
      <c r="B189" vm="95">
        <f ca="1"/>
        <v>9.01</v>
      </c>
      <c r="C189" vm="318">
        <f ca="1"/>
        <v>9.09</v>
      </c>
      <c r="D189" vm="265">
        <f ca="1"/>
        <v>8.8000000000000007</v>
      </c>
      <c r="E189">
        <f t="shared" ca="1" si="4"/>
        <v>9.3514979999999994</v>
      </c>
      <c r="F189">
        <f t="shared" ca="1" si="5"/>
        <v>8.9483200000000025</v>
      </c>
    </row>
    <row r="190" spans="1:6" x14ac:dyDescent="0.25">
      <c r="A190" vm="357">
        <f ca="1"/>
        <v>45932</v>
      </c>
      <c r="B190" vm="358">
        <f ca="1"/>
        <v>8.68</v>
      </c>
      <c r="C190" vm="194">
        <f ca="1"/>
        <v>9.02</v>
      </c>
      <c r="D190" vm="359">
        <f ca="1"/>
        <v>8.6349999999999998</v>
      </c>
      <c r="E190">
        <f t="shared" ca="1" si="4"/>
        <v>9.3525979999999986</v>
      </c>
      <c r="F190">
        <f t="shared" ca="1" si="5"/>
        <v>8.9493880000000043</v>
      </c>
    </row>
    <row r="191" spans="1:6" x14ac:dyDescent="0.25">
      <c r="A191" vm="362">
        <f ca="1"/>
        <v>45933</v>
      </c>
      <c r="B191" vm="363">
        <f ca="1"/>
        <v>9.0399999999999991</v>
      </c>
      <c r="C191" vm="364">
        <f ca="1"/>
        <v>9.16</v>
      </c>
      <c r="D191" vm="365">
        <f ca="1"/>
        <v>8.7249999999999996</v>
      </c>
      <c r="E191">
        <f t="shared" ca="1" si="4"/>
        <v>9.3491979999999995</v>
      </c>
      <c r="F191">
        <f t="shared" ca="1" si="5"/>
        <v>8.9466880000000035</v>
      </c>
    </row>
    <row r="192" spans="1:6" x14ac:dyDescent="0.25">
      <c r="A192" vm="370">
        <f ca="1"/>
        <v>45936</v>
      </c>
      <c r="B192" vm="371">
        <f ca="1"/>
        <v>9.17</v>
      </c>
      <c r="C192" vm="372">
        <f ca="1"/>
        <v>9.4</v>
      </c>
      <c r="D192" vm="373">
        <f ca="1"/>
        <v>9.11</v>
      </c>
      <c r="E192">
        <f t="shared" ca="1" si="4"/>
        <v>9.3506859999999996</v>
      </c>
      <c r="F192">
        <f t="shared" ca="1" si="5"/>
        <v>8.9463880000000024</v>
      </c>
    </row>
    <row r="193" spans="1:6" x14ac:dyDescent="0.25">
      <c r="A193" vm="378">
        <f ca="1"/>
        <v>45937</v>
      </c>
      <c r="B193" vm="73">
        <f ca="1"/>
        <v>9.1199999999999992</v>
      </c>
      <c r="C193" vm="379">
        <f ca="1"/>
        <v>9.1598000000000006</v>
      </c>
      <c r="D193" vm="380">
        <f ca="1"/>
        <v>8.8849999999999998</v>
      </c>
      <c r="E193">
        <f t="shared" ca="1" si="4"/>
        <v>9.3426819999999999</v>
      </c>
      <c r="F193">
        <f t="shared" ca="1" si="5"/>
        <v>8.9380880000000023</v>
      </c>
    </row>
    <row r="194" spans="1:6" x14ac:dyDescent="0.25">
      <c r="A194" vm="383">
        <f ca="1"/>
        <v>45938</v>
      </c>
      <c r="B194" vm="364">
        <f ca="1"/>
        <v>9.16</v>
      </c>
      <c r="C194" vm="384">
        <f ca="1"/>
        <v>9.19</v>
      </c>
      <c r="D194" vm="385">
        <f ca="1"/>
        <v>8.9700000000000006</v>
      </c>
      <c r="E194">
        <f t="shared" ca="1" si="4"/>
        <v>9.3326820000000001</v>
      </c>
      <c r="F194">
        <f t="shared" ca="1" si="5"/>
        <v>8.930888000000003</v>
      </c>
    </row>
    <row r="195" spans="1:6" x14ac:dyDescent="0.25">
      <c r="A195" vm="389">
        <f ca="1"/>
        <v>45939</v>
      </c>
      <c r="B195" vm="79">
        <f ca="1"/>
        <v>8.9600000000000009</v>
      </c>
      <c r="C195" vm="147">
        <f ca="1"/>
        <v>9.42</v>
      </c>
      <c r="D195" vm="390">
        <f ca="1"/>
        <v>8.94</v>
      </c>
      <c r="E195">
        <f t="shared" ca="1" si="4"/>
        <v>9.3278820000000024</v>
      </c>
      <c r="F195">
        <f t="shared" ca="1" si="5"/>
        <v>8.922188000000002</v>
      </c>
    </row>
    <row r="196" spans="1:6" x14ac:dyDescent="0.25">
      <c r="A196" vm="395">
        <f ca="1"/>
        <v>45940</v>
      </c>
      <c r="B196" vm="396">
        <f ca="1"/>
        <v>8.08</v>
      </c>
      <c r="C196" vm="244">
        <f ca="1"/>
        <v>8.84</v>
      </c>
      <c r="D196" vm="397">
        <f ca="1"/>
        <v>8.06</v>
      </c>
      <c r="E196">
        <f t="shared" ca="1" si="4"/>
        <v>9.3154819999999994</v>
      </c>
      <c r="F196">
        <f t="shared" ca="1" si="5"/>
        <v>8.9009880000000017</v>
      </c>
    </row>
    <row r="197" spans="1:6" x14ac:dyDescent="0.25">
      <c r="A197" vm="402">
        <f ca="1"/>
        <v>45943</v>
      </c>
      <c r="B197" vm="252">
        <f ca="1"/>
        <v>8.6</v>
      </c>
      <c r="C197" vm="274">
        <f ca="1"/>
        <v>8.6199999999999992</v>
      </c>
      <c r="D197" vm="403">
        <f ca="1"/>
        <v>8.1201000000000008</v>
      </c>
      <c r="E197">
        <f t="shared" ca="1" si="4"/>
        <v>9.3052820000000001</v>
      </c>
      <c r="F197">
        <f t="shared" ca="1" si="5"/>
        <v>8.888790000000002</v>
      </c>
    </row>
    <row r="198" spans="1:6" x14ac:dyDescent="0.25">
      <c r="A198" vm="407">
        <f ca="1"/>
        <v>45944</v>
      </c>
      <c r="B198" vm="408">
        <f ca="1"/>
        <v>8.36</v>
      </c>
      <c r="C198" vm="312">
        <f ca="1"/>
        <v>8.56</v>
      </c>
      <c r="D198" vm="409">
        <f ca="1"/>
        <v>8.3049999999999997</v>
      </c>
      <c r="E198">
        <f t="shared" ca="1" si="4"/>
        <v>9.2968820000000001</v>
      </c>
      <c r="F198">
        <f t="shared" ca="1" si="5"/>
        <v>8.8796900000000019</v>
      </c>
    </row>
    <row r="199" spans="1:6" x14ac:dyDescent="0.25">
      <c r="A199" vm="411">
        <f ca="1"/>
        <v>45945</v>
      </c>
      <c r="B199" vm="412">
        <f ca="1"/>
        <v>8.3699999999999992</v>
      </c>
      <c r="C199" vm="413">
        <f ca="1"/>
        <v>8.7100000000000009</v>
      </c>
      <c r="D199" vm="414">
        <f ca="1"/>
        <v>8.32</v>
      </c>
      <c r="E199">
        <f t="shared" ca="1" si="4"/>
        <v>9.2807819999999985</v>
      </c>
      <c r="F199">
        <f t="shared" ca="1" si="5"/>
        <v>8.865890000000002</v>
      </c>
    </row>
    <row r="200" spans="1:6" x14ac:dyDescent="0.25">
      <c r="A200" vm="416">
        <f ca="1"/>
        <v>45946</v>
      </c>
      <c r="B200" vm="304">
        <f ca="1"/>
        <v>8.41</v>
      </c>
      <c r="C200" vm="265">
        <f ca="1"/>
        <v>8.8000000000000007</v>
      </c>
      <c r="D200" vm="417">
        <f ca="1"/>
        <v>8.3000000000000007</v>
      </c>
      <c r="E200">
        <f t="shared" ca="1" si="4"/>
        <v>9.2615819999999989</v>
      </c>
      <c r="F200">
        <f t="shared" ca="1" si="5"/>
        <v>8.8475900000000003</v>
      </c>
    </row>
    <row r="201" spans="1:6" x14ac:dyDescent="0.25">
      <c r="A201" vm="422">
        <f ca="1"/>
        <v>45947</v>
      </c>
      <c r="B201" vm="423">
        <f ca="1"/>
        <v>8.25</v>
      </c>
      <c r="C201" vm="424">
        <f ca="1"/>
        <v>8.49</v>
      </c>
      <c r="D201" vm="425">
        <f ca="1"/>
        <v>8.09</v>
      </c>
      <c r="E201">
        <f t="shared" ca="1" si="4"/>
        <v>9.2399819999999995</v>
      </c>
      <c r="F201">
        <f t="shared" ca="1" si="5"/>
        <v>8.82639</v>
      </c>
    </row>
    <row r="202" spans="1:6" x14ac:dyDescent="0.25">
      <c r="A202" vm="430">
        <f ca="1"/>
        <v>45950</v>
      </c>
      <c r="B202" vm="431">
        <f ca="1"/>
        <v>8.1</v>
      </c>
      <c r="C202" vm="10">
        <f ca="1"/>
        <v>8.4499999999999993</v>
      </c>
      <c r="D202" vm="425">
        <f ca="1"/>
        <v>8.09</v>
      </c>
      <c r="E202">
        <f t="shared" ca="1" si="4"/>
        <v>9.2200819999999979</v>
      </c>
      <c r="F202">
        <f t="shared" ca="1" si="5"/>
        <v>8.8066899999999997</v>
      </c>
    </row>
    <row r="203" spans="1:6" x14ac:dyDescent="0.25">
      <c r="A203" vm="436">
        <f ca="1"/>
        <v>45951</v>
      </c>
      <c r="B203" vm="437">
        <f ca="1"/>
        <v>7.99</v>
      </c>
      <c r="C203" vm="438">
        <f ca="1"/>
        <v>8.1999999999999993</v>
      </c>
      <c r="D203" vm="437">
        <f ca="1"/>
        <v>7.99</v>
      </c>
      <c r="E203">
        <f t="shared" ca="1" si="4"/>
        <v>9.1948819999999998</v>
      </c>
      <c r="F203">
        <f t="shared" ca="1" si="5"/>
        <v>8.7880900000000004</v>
      </c>
    </row>
    <row r="204" spans="1:6" x14ac:dyDescent="0.25">
      <c r="A204" vm="442">
        <f ca="1"/>
        <v>45952</v>
      </c>
      <c r="B204" vm="397">
        <f ca="1"/>
        <v>8.06</v>
      </c>
      <c r="C204" vm="251">
        <f ca="1"/>
        <v>8.2200000000000006</v>
      </c>
      <c r="D204" vm="443">
        <f ca="1"/>
        <v>7.9301000000000004</v>
      </c>
      <c r="E204">
        <f t="shared" ca="1" si="4"/>
        <v>9.1718820000000001</v>
      </c>
      <c r="F204">
        <f t="shared" ca="1" si="5"/>
        <v>8.7664919999999995</v>
      </c>
    </row>
    <row r="205" spans="1:6" x14ac:dyDescent="0.25">
      <c r="A205" vm="448">
        <f ca="1"/>
        <v>45953</v>
      </c>
      <c r="B205" vm="449">
        <f ca="1"/>
        <v>8.5299999999999994</v>
      </c>
      <c r="C205" vm="18">
        <f ca="1"/>
        <v>8.64</v>
      </c>
      <c r="D205" vm="450">
        <f ca="1"/>
        <v>8.39</v>
      </c>
      <c r="E205">
        <f t="shared" ca="1" si="4"/>
        <v>9.1531819999999993</v>
      </c>
      <c r="F205">
        <f t="shared" ca="1" si="5"/>
        <v>8.7490919999999974</v>
      </c>
    </row>
    <row r="206" spans="1:6" x14ac:dyDescent="0.25">
      <c r="A206" vm="455">
        <f ca="1"/>
        <v>45954</v>
      </c>
      <c r="B206" vm="456">
        <f ca="1"/>
        <v>8.3800000000000008</v>
      </c>
      <c r="C206" vm="358">
        <f ca="1"/>
        <v>8.68</v>
      </c>
      <c r="D206" vm="457">
        <f ca="1"/>
        <v>8.375</v>
      </c>
      <c r="E206">
        <f t="shared" ca="1" si="4"/>
        <v>9.1335820000000005</v>
      </c>
      <c r="F206">
        <f t="shared" ca="1" si="5"/>
        <v>8.7305919999999979</v>
      </c>
    </row>
    <row r="207" spans="1:6" x14ac:dyDescent="0.25">
      <c r="A207" vm="462">
        <f ca="1"/>
        <v>45957</v>
      </c>
      <c r="B207" vm="12">
        <f ca="1"/>
        <v>8.42</v>
      </c>
      <c r="C207" vm="237">
        <f ca="1"/>
        <v>8.6300000000000008</v>
      </c>
      <c r="D207" vm="304">
        <f ca="1"/>
        <v>8.41</v>
      </c>
      <c r="E207">
        <f t="shared" ca="1" si="4"/>
        <v>9.1122060000000005</v>
      </c>
      <c r="F207">
        <f t="shared" ca="1" si="5"/>
        <v>8.7110979999999998</v>
      </c>
    </row>
    <row r="208" spans="1:6" x14ac:dyDescent="0.25">
      <c r="A208" vm="467">
        <f ca="1"/>
        <v>45958</v>
      </c>
      <c r="B208" vm="425">
        <f ca="1"/>
        <v>8.09</v>
      </c>
      <c r="C208" vm="468">
        <f ca="1"/>
        <v>8.4</v>
      </c>
      <c r="D208" vm="469">
        <f ca="1"/>
        <v>8.0549999999999997</v>
      </c>
      <c r="E208">
        <f t="shared" ca="1" si="4"/>
        <v>9.0919059999999998</v>
      </c>
      <c r="F208">
        <f t="shared" ca="1" si="5"/>
        <v>8.6893979999999988</v>
      </c>
    </row>
    <row r="209" spans="1:6" x14ac:dyDescent="0.25">
      <c r="A209" vm="474">
        <f ca="1"/>
        <v>45959</v>
      </c>
      <c r="B209" vm="475">
        <f ca="1"/>
        <v>8.14</v>
      </c>
      <c r="C209" vm="476">
        <f ca="1"/>
        <v>8.2881999999999998</v>
      </c>
      <c r="D209" vm="477">
        <f ca="1"/>
        <v>8</v>
      </c>
      <c r="E209">
        <f t="shared" ca="1" si="4"/>
        <v>9.0680699999999987</v>
      </c>
      <c r="F209">
        <f t="shared" ca="1" si="5"/>
        <v>8.6660979999999981</v>
      </c>
    </row>
    <row r="210" spans="1:6" x14ac:dyDescent="0.25">
      <c r="A210" vm="481">
        <f ca="1"/>
        <v>45960</v>
      </c>
      <c r="B210" vm="482">
        <f ca="1"/>
        <v>8.15</v>
      </c>
      <c r="C210" vm="456">
        <f ca="1"/>
        <v>8.3800000000000008</v>
      </c>
      <c r="D210" vm="483">
        <f ca="1"/>
        <v>7.97</v>
      </c>
      <c r="E210">
        <f t="shared" ca="1" si="4"/>
        <v>9.0478699999999996</v>
      </c>
      <c r="F210">
        <f t="shared" ca="1" si="5"/>
        <v>8.6429979999999986</v>
      </c>
    </row>
    <row r="211" spans="1:6" x14ac:dyDescent="0.25">
      <c r="A211" vm="487">
        <f ca="1"/>
        <v>45961</v>
      </c>
      <c r="B211" vm="434">
        <f ca="1"/>
        <v>8.43</v>
      </c>
      <c r="C211" vm="20">
        <f ca="1"/>
        <v>8.48</v>
      </c>
      <c r="D211" vm="431">
        <f ca="1"/>
        <v>8.1</v>
      </c>
      <c r="E211">
        <f t="shared" ca="1" si="4"/>
        <v>9.0273700000000012</v>
      </c>
      <c r="F211">
        <f t="shared" ca="1" si="5"/>
        <v>8.6221979999999991</v>
      </c>
    </row>
    <row r="212" spans="1:6" x14ac:dyDescent="0.25">
      <c r="A212" vm="490">
        <f ca="1"/>
        <v>45964</v>
      </c>
      <c r="B212" vm="4">
        <f ca="1"/>
        <v>8.5399999999999991</v>
      </c>
      <c r="C212" vm="413">
        <f ca="1"/>
        <v>8.7100000000000009</v>
      </c>
      <c r="D212" vm="471">
        <f ca="1"/>
        <v>8.1300000000000008</v>
      </c>
      <c r="E212">
        <f t="shared" ca="1" si="4"/>
        <v>9.0017700000000005</v>
      </c>
      <c r="F212">
        <f t="shared" ca="1" si="5"/>
        <v>8.5975979999999996</v>
      </c>
    </row>
    <row r="213" spans="1:6" x14ac:dyDescent="0.25">
      <c r="A213" vm="494">
        <f ca="1"/>
        <v>45965</v>
      </c>
      <c r="B213" vm="495">
        <f ca="1"/>
        <v>8.0500000000000007</v>
      </c>
      <c r="C213" vm="496">
        <f ca="1"/>
        <v>8.52</v>
      </c>
      <c r="D213" vm="437">
        <f ca="1"/>
        <v>7.99</v>
      </c>
      <c r="E213">
        <f t="shared" ca="1" si="4"/>
        <v>8.9799699999999998</v>
      </c>
      <c r="F213">
        <f t="shared" ca="1" si="5"/>
        <v>8.5809979999999992</v>
      </c>
    </row>
    <row r="214" spans="1:6" x14ac:dyDescent="0.25">
      <c r="A214" vm="500">
        <f ca="1"/>
        <v>45966</v>
      </c>
      <c r="B214" vm="396">
        <f ca="1"/>
        <v>8.08</v>
      </c>
      <c r="C214" vm="501">
        <f ca="1"/>
        <v>8.3650000000000002</v>
      </c>
      <c r="D214" vm="502">
        <f ca="1"/>
        <v>8.0299999999999994</v>
      </c>
      <c r="E214">
        <f t="shared" ca="1" si="4"/>
        <v>8.9569700000000001</v>
      </c>
      <c r="F214">
        <f t="shared" ca="1" si="5"/>
        <v>8.5613979999999987</v>
      </c>
    </row>
    <row r="215" spans="1:6" x14ac:dyDescent="0.25">
      <c r="A215" vm="506">
        <f ca="1"/>
        <v>45967</v>
      </c>
      <c r="B215" vm="20">
        <f ca="1"/>
        <v>8.48</v>
      </c>
      <c r="C215" vm="507">
        <f ca="1"/>
        <v>8.5982000000000003</v>
      </c>
      <c r="D215" vm="482">
        <f ca="1"/>
        <v>8.15</v>
      </c>
      <c r="E215">
        <f t="shared" ca="1" si="4"/>
        <v>8.9364340000000002</v>
      </c>
      <c r="F215">
        <f t="shared" ca="1" si="5"/>
        <v>8.544497999999999</v>
      </c>
    </row>
    <row r="216" spans="1:6" x14ac:dyDescent="0.25">
      <c r="A216" vm="510">
        <f ca="1"/>
        <v>45968</v>
      </c>
      <c r="B216" vm="34">
        <f ca="1"/>
        <v>8.86</v>
      </c>
      <c r="C216" vm="511">
        <f ca="1"/>
        <v>8.9</v>
      </c>
      <c r="D216" vm="456">
        <f ca="1"/>
        <v>8.3800000000000008</v>
      </c>
      <c r="E216">
        <f t="shared" ca="1" si="4"/>
        <v>8.922034</v>
      </c>
      <c r="F216">
        <f t="shared" ca="1" si="5"/>
        <v>8.5292979999999972</v>
      </c>
    </row>
    <row r="217" spans="1:6" x14ac:dyDescent="0.25">
      <c r="A217" vm="514">
        <f ca="1"/>
        <v>45971</v>
      </c>
      <c r="B217" vm="79">
        <f ca="1"/>
        <v>8.9600000000000009</v>
      </c>
      <c r="C217" vm="515">
        <f ca="1"/>
        <v>9.08</v>
      </c>
      <c r="D217" vm="413">
        <f ca="1"/>
        <v>8.7100000000000009</v>
      </c>
      <c r="E217">
        <f t="shared" ca="1" si="4"/>
        <v>8.9106339999999982</v>
      </c>
      <c r="F217">
        <f t="shared" ca="1" si="5"/>
        <v>8.5140039999999981</v>
      </c>
    </row>
    <row r="218" spans="1:6" x14ac:dyDescent="0.25">
      <c r="A218" vm="518">
        <f ca="1"/>
        <v>45972</v>
      </c>
      <c r="B218" vm="57">
        <f ca="1"/>
        <v>9.69</v>
      </c>
      <c r="C218" vm="519">
        <f ca="1"/>
        <v>9.8149999999999995</v>
      </c>
      <c r="D218" vm="385">
        <f ca="1"/>
        <v>8.9700000000000006</v>
      </c>
      <c r="E218">
        <f t="shared" ca="1" si="4"/>
        <v>8.908733999999999</v>
      </c>
      <c r="F218">
        <f t="shared" ca="1" si="5"/>
        <v>8.5050039999999996</v>
      </c>
    </row>
    <row r="219" spans="1:6" x14ac:dyDescent="0.25">
      <c r="A219" vm="521">
        <f ca="1"/>
        <v>45973</v>
      </c>
      <c r="B219" vm="73">
        <f ca="1"/>
        <v>9.1199999999999992</v>
      </c>
      <c r="C219" vm="522">
        <f ca="1"/>
        <v>9.6999999999999993</v>
      </c>
      <c r="D219" vm="318">
        <f ca="1"/>
        <v>9.09</v>
      </c>
      <c r="E219">
        <f t="shared" ca="1" si="4"/>
        <v>8.9039339999999978</v>
      </c>
      <c r="F219">
        <f t="shared" ca="1" si="5"/>
        <v>8.4992039999999989</v>
      </c>
    </row>
    <row r="220" spans="1:6" x14ac:dyDescent="0.25">
      <c r="A220" vm="525">
        <f ca="1"/>
        <v>45974</v>
      </c>
      <c r="B220" vm="364">
        <f ca="1"/>
        <v>9.16</v>
      </c>
      <c r="C220" vm="65">
        <f ca="1"/>
        <v>9.375</v>
      </c>
      <c r="D220" vm="341">
        <f ca="1"/>
        <v>9.06</v>
      </c>
      <c r="E220">
        <f t="shared" ca="1" si="4"/>
        <v>8.9016339999999996</v>
      </c>
      <c r="F220">
        <f t="shared" ca="1" si="5"/>
        <v>8.4958039999999979</v>
      </c>
    </row>
    <row r="221" spans="1:6" x14ac:dyDescent="0.25">
      <c r="A221" vm="528">
        <f ca="1"/>
        <v>45975</v>
      </c>
      <c r="B221" vm="33">
        <f ca="1"/>
        <v>9.33</v>
      </c>
      <c r="C221" vm="529">
        <f ca="1"/>
        <v>9.44</v>
      </c>
      <c r="D221" vm="511">
        <f ca="1"/>
        <v>8.9</v>
      </c>
      <c r="E221">
        <f t="shared" ca="1" si="4"/>
        <v>8.9062339999999995</v>
      </c>
      <c r="F221">
        <f t="shared" ca="1" si="5"/>
        <v>8.5012039999999978</v>
      </c>
    </row>
    <row r="222" spans="1:6" x14ac:dyDescent="0.25">
      <c r="A222" vm="533">
        <f ca="1"/>
        <v>45978</v>
      </c>
      <c r="B222" vm="534">
        <f ca="1"/>
        <v>8.8699999999999992</v>
      </c>
      <c r="C222" vm="535">
        <f ca="1"/>
        <v>9.3249999999999993</v>
      </c>
      <c r="D222" vm="536">
        <f ca="1"/>
        <v>8.7550000000000008</v>
      </c>
      <c r="E222">
        <f t="shared" ca="1" si="4"/>
        <v>8.9159339999999982</v>
      </c>
      <c r="F222">
        <f t="shared" ca="1" si="5"/>
        <v>8.5097039999999993</v>
      </c>
    </row>
    <row r="223" spans="1:6" x14ac:dyDescent="0.25">
      <c r="A223" vm="540">
        <f ca="1"/>
        <v>45979</v>
      </c>
      <c r="B223" vm="3">
        <f ca="1"/>
        <v>8.98</v>
      </c>
      <c r="C223" vm="157">
        <f ca="1"/>
        <v>9.14</v>
      </c>
      <c r="D223" vm="18">
        <f ca="1"/>
        <v>8.64</v>
      </c>
      <c r="E223">
        <f t="shared" ca="1" si="4"/>
        <v>8.9267339999999997</v>
      </c>
      <c r="F223">
        <f t="shared" ca="1" si="5"/>
        <v>8.5181039999999992</v>
      </c>
    </row>
    <row r="224" spans="1:6" x14ac:dyDescent="0.25">
      <c r="A224" vm="543">
        <f ca="1"/>
        <v>45980</v>
      </c>
      <c r="B224" vm="95">
        <f ca="1"/>
        <v>9.01</v>
      </c>
      <c r="C224" vm="544">
        <f ca="1"/>
        <v>9.0500000000000007</v>
      </c>
      <c r="D224" vm="545">
        <f ca="1"/>
        <v>8.66</v>
      </c>
      <c r="E224">
        <f t="shared" ca="1" si="4"/>
        <v>8.9331340000000008</v>
      </c>
      <c r="F224">
        <f t="shared" ca="1" si="5"/>
        <v>8.5265039999999992</v>
      </c>
    </row>
    <row r="225" spans="1:6" x14ac:dyDescent="0.25">
      <c r="A225" vm="548">
        <f ca="1"/>
        <v>45981</v>
      </c>
      <c r="B225" vm="280">
        <f ca="1"/>
        <v>8.74</v>
      </c>
      <c r="C225" vm="372">
        <f ca="1"/>
        <v>9.4</v>
      </c>
      <c r="D225" vm="549">
        <f ca="1"/>
        <v>8.7149999999999999</v>
      </c>
      <c r="E225">
        <f t="shared" ca="1" si="4"/>
        <v>8.9449339999999982</v>
      </c>
      <c r="F225">
        <f t="shared" ca="1" si="5"/>
        <v>8.5312040000000007</v>
      </c>
    </row>
    <row r="226" spans="1:6" x14ac:dyDescent="0.25">
      <c r="A226" vm="553">
        <f ca="1"/>
        <v>45982</v>
      </c>
      <c r="B226" vm="554">
        <f ca="1"/>
        <v>8.83</v>
      </c>
      <c r="C226" vm="34">
        <f ca="1"/>
        <v>8.86</v>
      </c>
      <c r="D226" vm="555">
        <f ca="1"/>
        <v>8.2149999999999999</v>
      </c>
      <c r="E226">
        <f t="shared" ca="1" si="4"/>
        <v>8.9435339999999979</v>
      </c>
      <c r="F226">
        <f t="shared" ca="1" si="5"/>
        <v>8.523104</v>
      </c>
    </row>
    <row r="227" spans="1:6" x14ac:dyDescent="0.25">
      <c r="A227" vm="559">
        <f ca="1"/>
        <v>45985</v>
      </c>
      <c r="B227" vm="364">
        <f ca="1"/>
        <v>9.16</v>
      </c>
      <c r="C227" vm="101">
        <f ca="1"/>
        <v>9.23</v>
      </c>
      <c r="D227" vm="237">
        <f ca="1"/>
        <v>8.6300000000000008</v>
      </c>
      <c r="E227">
        <f t="shared" ca="1" si="4"/>
        <v>8.9533339999999981</v>
      </c>
      <c r="F227">
        <f t="shared" ca="1" si="5"/>
        <v>8.5273040000000009</v>
      </c>
    </row>
    <row r="228" spans="1:6" x14ac:dyDescent="0.25">
      <c r="A228" vm="562">
        <f ca="1"/>
        <v>45986</v>
      </c>
      <c r="B228" vm="384">
        <f ca="1"/>
        <v>9.19</v>
      </c>
      <c r="C228" vm="236">
        <f ca="1"/>
        <v>9.2100000000000009</v>
      </c>
      <c r="D228" vm="563">
        <f ca="1"/>
        <v>8.9049999999999994</v>
      </c>
      <c r="E228">
        <f t="shared" ca="1" si="4"/>
        <v>8.9614239999999992</v>
      </c>
      <c r="F228">
        <f t="shared" ca="1" si="5"/>
        <v>8.5352039999999985</v>
      </c>
    </row>
    <row r="229" spans="1:6" x14ac:dyDescent="0.25">
      <c r="A229" vm="566">
        <f ca="1"/>
        <v>45987</v>
      </c>
      <c r="B229" vm="567">
        <f ca="1"/>
        <v>9.25</v>
      </c>
      <c r="C229" vm="72">
        <f ca="1"/>
        <v>9.4600000000000009</v>
      </c>
      <c r="D229" vm="568">
        <f ca="1"/>
        <v>9.18</v>
      </c>
      <c r="E229">
        <f t="shared" ca="1" si="4"/>
        <v>8.9686239999999984</v>
      </c>
      <c r="F229">
        <f t="shared" ca="1" si="5"/>
        <v>8.5455039999999993</v>
      </c>
    </row>
    <row r="230" spans="1:6" x14ac:dyDescent="0.25">
      <c r="A230" vm="572">
        <f ca="1"/>
        <v>45989</v>
      </c>
      <c r="B230" vm="224">
        <f ca="1"/>
        <v>9.43</v>
      </c>
      <c r="C230" vm="561">
        <f ca="1"/>
        <v>9.4700000000000006</v>
      </c>
      <c r="D230" vm="101">
        <f ca="1"/>
        <v>9.23</v>
      </c>
      <c r="E230">
        <f t="shared" ca="1" si="4"/>
        <v>8.9812239999999992</v>
      </c>
      <c r="F230">
        <f t="shared" ca="1" si="5"/>
        <v>8.5575039999999998</v>
      </c>
    </row>
    <row r="231" spans="1:6" x14ac:dyDescent="0.25">
      <c r="A231" vm="574">
        <f ca="1"/>
        <v>45992</v>
      </c>
      <c r="B231" vm="575">
        <f ca="1"/>
        <v>9.35</v>
      </c>
      <c r="C231" vm="576">
        <f ca="1"/>
        <v>9.6300000000000008</v>
      </c>
      <c r="D231" vm="33">
        <f ca="1"/>
        <v>9.33</v>
      </c>
      <c r="E231">
        <f t="shared" ca="1" si="4"/>
        <v>8.9990239999999986</v>
      </c>
      <c r="F231">
        <f t="shared" ca="1" si="5"/>
        <v>8.5771039999999985</v>
      </c>
    </row>
    <row r="232" spans="1:6" x14ac:dyDescent="0.25">
      <c r="A232" vm="579">
        <f ca="1"/>
        <v>45993</v>
      </c>
      <c r="B232" vm="575">
        <f ca="1"/>
        <v>9.35</v>
      </c>
      <c r="C232" vm="224">
        <f ca="1"/>
        <v>9.43</v>
      </c>
      <c r="D232" vm="384">
        <f ca="1"/>
        <v>9.19</v>
      </c>
      <c r="E232">
        <f t="shared" ca="1" si="4"/>
        <v>9.0164239999999989</v>
      </c>
      <c r="F232">
        <f t="shared" ca="1" si="5"/>
        <v>8.5953039999999969</v>
      </c>
    </row>
    <row r="233" spans="1:6" x14ac:dyDescent="0.25">
      <c r="A233" vm="581">
        <f ca="1"/>
        <v>45994</v>
      </c>
      <c r="B233" vm="522">
        <f ca="1"/>
        <v>9.6999999999999993</v>
      </c>
      <c r="C233" vm="582">
        <f ca="1"/>
        <v>9.8000000000000007</v>
      </c>
      <c r="D233" vm="529">
        <f ca="1"/>
        <v>9.44</v>
      </c>
      <c r="E233">
        <f t="shared" ca="1" si="4"/>
        <v>9.0276239999999994</v>
      </c>
      <c r="F233">
        <f t="shared" ca="1" si="5"/>
        <v>8.6121039999999986</v>
      </c>
    </row>
    <row r="234" spans="1:6" x14ac:dyDescent="0.25">
      <c r="A234" vm="585">
        <f ca="1"/>
        <v>45995</v>
      </c>
      <c r="B234" vm="335">
        <f ca="1"/>
        <v>9.77</v>
      </c>
      <c r="C234" vm="586">
        <f ca="1"/>
        <v>9.89</v>
      </c>
      <c r="D234" vm="587">
        <f ca="1"/>
        <v>9.7449999999999992</v>
      </c>
      <c r="E234">
        <f t="shared" ca="1" si="4"/>
        <v>9.0299239999999994</v>
      </c>
      <c r="F234">
        <f t="shared" ca="1" si="5"/>
        <v>8.6224039999999977</v>
      </c>
    </row>
    <row r="235" spans="1:6" x14ac:dyDescent="0.25">
      <c r="A235" vm="590">
        <f ca="1"/>
        <v>45996</v>
      </c>
      <c r="B235" vm="591">
        <f ca="1"/>
        <v>9.98</v>
      </c>
      <c r="C235" vm="592">
        <f ca="1"/>
        <v>10.225</v>
      </c>
      <c r="D235" vm="335">
        <f ca="1"/>
        <v>9.77</v>
      </c>
      <c r="E235">
        <f t="shared" ca="1" si="4"/>
        <v>9.0406239999999993</v>
      </c>
      <c r="F235">
        <f t="shared" ca="1" si="5"/>
        <v>8.6316039999999994</v>
      </c>
    </row>
    <row r="236" spans="1:6" x14ac:dyDescent="0.25">
      <c r="A236" vm="595">
        <f ca="1"/>
        <v>45999</v>
      </c>
      <c r="B236" vm="218">
        <f ca="1"/>
        <v>9.91</v>
      </c>
      <c r="C236" vm="596">
        <f ca="1"/>
        <v>10.050000000000001</v>
      </c>
      <c r="D236" vm="597">
        <f ca="1"/>
        <v>9.81</v>
      </c>
      <c r="E236">
        <f t="shared" ca="1" si="4"/>
        <v>9.0422239999999992</v>
      </c>
      <c r="F236">
        <f t="shared" ca="1" si="5"/>
        <v>8.6388039999999986</v>
      </c>
    </row>
  </sheetData>
  <mergeCells count="1">
    <mergeCell ref="A1:D1"/>
  </mergeCells>
  <pageMargins left="0.75" right="0.75" top="1" bottom="1" header="0.5" footer="0.5"/>
  <drawing r:id="rId1"/>
  <extLst>
    <ext xmlns:x15="http://schemas.microsoft.com/office/spreadsheetml/2010/11/main" uri="{F7C9EE02-42E1-4005-9D12-6889AFFD525C}">
      <x15:webExtensions xmlns:xm="http://schemas.microsoft.com/office/excel/2006/main">
        <x15:webExtension appRef="{17490DA3-473D-45C0-8006-0D21A505F181}">
          <xm:f>CRGY!1:1048576</xm:f>
        </x15:webExtension>
      </x15:webExtens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36"/>
  <sheetViews>
    <sheetView workbookViewId="0">
      <selection activeCell="F4" sqref="F4"/>
    </sheetView>
  </sheetViews>
  <sheetFormatPr defaultRowHeight="15" x14ac:dyDescent="0.25"/>
  <cols>
    <col min="1" max="1" width="9.42578125" bestFit="1" customWidth="1"/>
  </cols>
  <sheetData>
    <row r="1" spans="1:4" x14ac:dyDescent="0.25">
      <c r="A1" s="3" t="s">
        <v>5</v>
      </c>
      <c r="B1" s="3"/>
      <c r="C1" s="3"/>
      <c r="D1" s="3"/>
    </row>
    <row r="2" spans="1:4" x14ac:dyDescent="0.25">
      <c r="A2" t="str" cm="1">
        <f t="array" aca="1" ref="A2:D236" ca="1">_xlfn.STOCKHISTORY("LFST", DATE(YEAR(TODAY()),1,1), TODAY(), 0, 1,0,1,3,4)</f>
        <v>Date</v>
      </c>
      <c r="B2" t="str">
        <f ca="1"/>
        <v>Close</v>
      </c>
      <c r="C2" t="str">
        <f ca="1"/>
        <v>High</v>
      </c>
      <c r="D2" t="str">
        <f ca="1"/>
        <v>Low</v>
      </c>
    </row>
    <row r="3" spans="1:4" x14ac:dyDescent="0.25">
      <c r="A3" vm="5">
        <f ca="1"/>
        <v>45659</v>
      </c>
      <c r="B3" vm="671">
        <f ca="1"/>
        <v>7.55</v>
      </c>
      <c r="C3" vm="672">
        <f ca="1"/>
        <v>7.58</v>
      </c>
      <c r="D3" vm="673">
        <f ca="1"/>
        <v>7.38</v>
      </c>
    </row>
    <row r="4" spans="1:4" x14ac:dyDescent="0.25">
      <c r="A4" vm="13">
        <f ca="1"/>
        <v>45660</v>
      </c>
      <c r="B4" vm="674">
        <f ca="1"/>
        <v>7.84</v>
      </c>
      <c r="C4" vm="675">
        <f ca="1"/>
        <v>7.86</v>
      </c>
      <c r="D4" vm="676">
        <f ca="1"/>
        <v>7.62</v>
      </c>
    </row>
    <row r="5" spans="1:4" x14ac:dyDescent="0.25">
      <c r="A5" vm="21">
        <f ca="1"/>
        <v>45663</v>
      </c>
      <c r="B5" vm="677">
        <f ca="1"/>
        <v>7.65</v>
      </c>
      <c r="C5" vm="678">
        <f ca="1"/>
        <v>7.96</v>
      </c>
      <c r="D5" vm="672">
        <f ca="1"/>
        <v>7.58</v>
      </c>
    </row>
    <row r="6" spans="1:4" x14ac:dyDescent="0.25">
      <c r="A6" vm="29">
        <f ca="1"/>
        <v>45664</v>
      </c>
      <c r="B6" vm="679">
        <f ca="1"/>
        <v>7.52</v>
      </c>
      <c r="C6" vm="680">
        <f ca="1"/>
        <v>7.79</v>
      </c>
      <c r="D6" vm="681">
        <f ca="1"/>
        <v>7.36</v>
      </c>
    </row>
    <row r="7" spans="1:4" x14ac:dyDescent="0.25">
      <c r="A7" vm="35">
        <f ca="1"/>
        <v>45665</v>
      </c>
      <c r="B7" vm="682">
        <f ca="1"/>
        <v>7.7</v>
      </c>
      <c r="C7" vm="683">
        <f ca="1"/>
        <v>7.75</v>
      </c>
      <c r="D7" vm="684">
        <f ca="1"/>
        <v>7.4649999999999999</v>
      </c>
    </row>
    <row r="8" spans="1:4" x14ac:dyDescent="0.25">
      <c r="A8" vm="43">
        <f ca="1"/>
        <v>45667</v>
      </c>
      <c r="B8" vm="466">
        <f ca="1"/>
        <v>7.73</v>
      </c>
      <c r="C8" vm="680">
        <f ca="1"/>
        <v>7.79</v>
      </c>
      <c r="D8" vm="685">
        <f ca="1"/>
        <v>7.44</v>
      </c>
    </row>
    <row r="9" spans="1:4" x14ac:dyDescent="0.25">
      <c r="A9" vm="51">
        <f ca="1"/>
        <v>45670</v>
      </c>
      <c r="B9" vm="466">
        <f ca="1"/>
        <v>7.73</v>
      </c>
      <c r="C9" vm="466">
        <f ca="1"/>
        <v>7.73</v>
      </c>
      <c r="D9" vm="686">
        <f ca="1"/>
        <v>7.5122</v>
      </c>
    </row>
    <row r="10" spans="1:4" x14ac:dyDescent="0.25">
      <c r="A10" vm="58">
        <f ca="1"/>
        <v>45671</v>
      </c>
      <c r="B10" vm="464">
        <f ca="1"/>
        <v>7.76</v>
      </c>
      <c r="C10" vm="687">
        <f ca="1"/>
        <v>7.83</v>
      </c>
      <c r="D10" vm="688">
        <f ca="1"/>
        <v>7.61</v>
      </c>
    </row>
    <row r="11" spans="1:4" x14ac:dyDescent="0.25">
      <c r="A11" vm="66">
        <f ca="1"/>
        <v>45672</v>
      </c>
      <c r="B11" vm="483">
        <f ca="1"/>
        <v>7.97</v>
      </c>
      <c r="C11" vm="495">
        <f ca="1"/>
        <v>8.0500000000000007</v>
      </c>
      <c r="D11" vm="689">
        <f ca="1"/>
        <v>7.8</v>
      </c>
    </row>
    <row r="12" spans="1:4" x14ac:dyDescent="0.25">
      <c r="A12" vm="74">
        <f ca="1"/>
        <v>45673</v>
      </c>
      <c r="B12" vm="690">
        <f ca="1"/>
        <v>7.98</v>
      </c>
      <c r="C12" vm="691">
        <f ca="1"/>
        <v>8.02</v>
      </c>
      <c r="D12" vm="692">
        <f ca="1"/>
        <v>7.7450000000000001</v>
      </c>
    </row>
    <row r="13" spans="1:4" x14ac:dyDescent="0.25">
      <c r="A13" vm="81">
        <f ca="1"/>
        <v>45674</v>
      </c>
      <c r="B13" vm="437">
        <f ca="1"/>
        <v>7.99</v>
      </c>
      <c r="C13" vm="431">
        <f ca="1"/>
        <v>8.1</v>
      </c>
      <c r="D13" vm="693">
        <f ca="1"/>
        <v>7.9</v>
      </c>
    </row>
    <row r="14" spans="1:4" x14ac:dyDescent="0.25">
      <c r="A14" vm="88">
        <f ca="1"/>
        <v>45678</v>
      </c>
      <c r="B14" vm="477">
        <f ca="1"/>
        <v>8</v>
      </c>
      <c r="C14" vm="489">
        <f ca="1"/>
        <v>8.1549999999999994</v>
      </c>
      <c r="D14" vm="678">
        <f ca="1"/>
        <v>7.96</v>
      </c>
    </row>
    <row r="15" spans="1:4" x14ac:dyDescent="0.25">
      <c r="A15" vm="96">
        <f ca="1"/>
        <v>45679</v>
      </c>
      <c r="B15" vm="483">
        <f ca="1"/>
        <v>7.97</v>
      </c>
      <c r="C15" vm="667">
        <f ca="1"/>
        <v>8.0399999999999991</v>
      </c>
      <c r="D15" vm="694">
        <f ca="1"/>
        <v>7.87</v>
      </c>
    </row>
    <row r="16" spans="1:4" x14ac:dyDescent="0.25">
      <c r="A16" vm="104">
        <f ca="1"/>
        <v>45680</v>
      </c>
      <c r="B16" vm="437">
        <f ca="1"/>
        <v>7.99</v>
      </c>
      <c r="C16" vm="695">
        <f ca="1"/>
        <v>7.9950000000000001</v>
      </c>
      <c r="D16" vm="466">
        <f ca="1"/>
        <v>7.73</v>
      </c>
    </row>
    <row r="17" spans="1:4" x14ac:dyDescent="0.25">
      <c r="A17" vm="111">
        <f ca="1"/>
        <v>45681</v>
      </c>
      <c r="B17" vm="483">
        <f ca="1"/>
        <v>7.97</v>
      </c>
      <c r="C17" vm="397">
        <f ca="1"/>
        <v>8.06</v>
      </c>
      <c r="D17" vm="696">
        <f ca="1"/>
        <v>7.9050000000000002</v>
      </c>
    </row>
    <row r="18" spans="1:4" x14ac:dyDescent="0.25">
      <c r="A18" vm="118">
        <f ca="1"/>
        <v>45684</v>
      </c>
      <c r="B18" vm="477">
        <f ca="1"/>
        <v>8</v>
      </c>
      <c r="C18" vm="691">
        <f ca="1"/>
        <v>8.02</v>
      </c>
      <c r="D18" vm="689">
        <f ca="1"/>
        <v>7.8</v>
      </c>
    </row>
    <row r="19" spans="1:4" x14ac:dyDescent="0.25">
      <c r="A19" vm="124">
        <f ca="1"/>
        <v>45685</v>
      </c>
      <c r="B19" vm="527">
        <f ca="1"/>
        <v>8.17</v>
      </c>
      <c r="C19" vm="423">
        <f ca="1"/>
        <v>8.25</v>
      </c>
      <c r="D19" vm="538">
        <f ca="1"/>
        <v>7.94</v>
      </c>
    </row>
    <row r="20" spans="1:4" x14ac:dyDescent="0.25">
      <c r="A20" vm="131">
        <f ca="1"/>
        <v>45686</v>
      </c>
      <c r="B20" vm="396">
        <f ca="1"/>
        <v>8.08</v>
      </c>
      <c r="C20" vm="697">
        <f ca="1"/>
        <v>8.2100000000000009</v>
      </c>
      <c r="D20" vm="531">
        <f ca="1"/>
        <v>7.95</v>
      </c>
    </row>
    <row r="21" spans="1:4" x14ac:dyDescent="0.25">
      <c r="A21" vm="138">
        <f ca="1"/>
        <v>45687</v>
      </c>
      <c r="B21" vm="698">
        <f ca="1"/>
        <v>8.1199999999999992</v>
      </c>
      <c r="C21" vm="699">
        <f ca="1"/>
        <v>8.2050000000000001</v>
      </c>
      <c r="D21" vm="460">
        <f ca="1"/>
        <v>8.0850000000000009</v>
      </c>
    </row>
    <row r="22" spans="1:4" x14ac:dyDescent="0.25">
      <c r="A22" vm="143">
        <f ca="1"/>
        <v>45688</v>
      </c>
      <c r="B22" vm="483">
        <f ca="1"/>
        <v>7.97</v>
      </c>
      <c r="C22" vm="471">
        <f ca="1"/>
        <v>8.1300000000000008</v>
      </c>
      <c r="D22" vm="700">
        <f ca="1"/>
        <v>7.9450000000000003</v>
      </c>
    </row>
    <row r="23" spans="1:4" x14ac:dyDescent="0.25">
      <c r="A23" vm="150">
        <f ca="1"/>
        <v>45691</v>
      </c>
      <c r="B23" vm="667">
        <f ca="1"/>
        <v>8.0399999999999991</v>
      </c>
      <c r="C23" vm="701">
        <f ca="1"/>
        <v>8.1150000000000002</v>
      </c>
      <c r="D23" vm="702">
        <f ca="1"/>
        <v>7.6616</v>
      </c>
    </row>
    <row r="24" spans="1:4" x14ac:dyDescent="0.25">
      <c r="A24" vm="158">
        <f ca="1"/>
        <v>45692</v>
      </c>
      <c r="B24" vm="495">
        <f ca="1"/>
        <v>8.0500000000000007</v>
      </c>
      <c r="C24" vm="703">
        <f ca="1"/>
        <v>8.1050000000000004</v>
      </c>
      <c r="D24" vm="704">
        <f ca="1"/>
        <v>7.93</v>
      </c>
    </row>
    <row r="25" spans="1:4" x14ac:dyDescent="0.25">
      <c r="A25" vm="165">
        <f ca="1"/>
        <v>45693</v>
      </c>
      <c r="B25" vm="482">
        <f ca="1"/>
        <v>8.15</v>
      </c>
      <c r="C25" vm="699">
        <f ca="1"/>
        <v>8.2050000000000001</v>
      </c>
      <c r="D25" vm="397">
        <f ca="1"/>
        <v>8.06</v>
      </c>
    </row>
    <row r="26" spans="1:4" x14ac:dyDescent="0.25">
      <c r="A26" vm="170">
        <f ca="1"/>
        <v>45694</v>
      </c>
      <c r="B26" vm="690">
        <f ca="1"/>
        <v>7.98</v>
      </c>
      <c r="C26" vm="482">
        <f ca="1"/>
        <v>8.15</v>
      </c>
      <c r="D26" vm="693">
        <f ca="1"/>
        <v>7.9</v>
      </c>
    </row>
    <row r="27" spans="1:4" x14ac:dyDescent="0.25">
      <c r="A27" vm="177">
        <f ca="1"/>
        <v>45695</v>
      </c>
      <c r="B27" vm="705">
        <f ca="1"/>
        <v>7.91</v>
      </c>
      <c r="C27" vm="691">
        <f ca="1"/>
        <v>8.02</v>
      </c>
      <c r="D27" vm="694">
        <f ca="1"/>
        <v>7.87</v>
      </c>
    </row>
    <row r="28" spans="1:4" x14ac:dyDescent="0.25">
      <c r="A28" vm="183">
        <f ca="1"/>
        <v>45698</v>
      </c>
      <c r="B28" vm="397">
        <f ca="1"/>
        <v>8.06</v>
      </c>
      <c r="C28" vm="706">
        <f ca="1"/>
        <v>8.07</v>
      </c>
      <c r="D28" vm="707">
        <f ca="1"/>
        <v>7.8449999999999998</v>
      </c>
    </row>
    <row r="29" spans="1:4" x14ac:dyDescent="0.25">
      <c r="A29" vm="190">
        <f ca="1"/>
        <v>45699</v>
      </c>
      <c r="B29" vm="538">
        <f ca="1"/>
        <v>7.94</v>
      </c>
      <c r="C29" vm="495">
        <f ca="1"/>
        <v>8.0500000000000007</v>
      </c>
      <c r="D29" vm="427">
        <f ca="1"/>
        <v>7.88</v>
      </c>
    </row>
    <row r="30" spans="1:4" x14ac:dyDescent="0.25">
      <c r="A30" vm="195">
        <f ca="1"/>
        <v>45700</v>
      </c>
      <c r="B30" vm="675">
        <f ca="1"/>
        <v>7.86</v>
      </c>
      <c r="C30" vm="708">
        <f ca="1"/>
        <v>7.8949999999999996</v>
      </c>
      <c r="D30" vm="709">
        <f ca="1"/>
        <v>7.78</v>
      </c>
    </row>
    <row r="31" spans="1:4" x14ac:dyDescent="0.25">
      <c r="A31" vm="202">
        <f ca="1"/>
        <v>45701</v>
      </c>
      <c r="B31" vm="437">
        <f ca="1"/>
        <v>7.99</v>
      </c>
      <c r="C31" vm="710">
        <f ca="1"/>
        <v>8.0150000000000006</v>
      </c>
      <c r="D31" vm="687">
        <f ca="1"/>
        <v>7.83</v>
      </c>
    </row>
    <row r="32" spans="1:4" x14ac:dyDescent="0.25">
      <c r="A32" vm="208">
        <f ca="1"/>
        <v>45702</v>
      </c>
      <c r="B32" vm="483">
        <f ca="1"/>
        <v>7.97</v>
      </c>
      <c r="C32" vm="469">
        <f ca="1"/>
        <v>8.0549999999999997</v>
      </c>
      <c r="D32" vm="711">
        <f ca="1"/>
        <v>7.9349999999999996</v>
      </c>
    </row>
    <row r="33" spans="1:4" x14ac:dyDescent="0.25">
      <c r="A33" vm="212">
        <f ca="1"/>
        <v>45706</v>
      </c>
      <c r="B33" vm="477">
        <f ca="1"/>
        <v>8</v>
      </c>
      <c r="C33" vm="469">
        <f ca="1"/>
        <v>8.0549999999999997</v>
      </c>
      <c r="D33" vm="694">
        <f ca="1"/>
        <v>7.87</v>
      </c>
    </row>
    <row r="34" spans="1:4" x14ac:dyDescent="0.25">
      <c r="A34" vm="219">
        <f ca="1"/>
        <v>45707</v>
      </c>
      <c r="B34" vm="437">
        <f ca="1"/>
        <v>7.99</v>
      </c>
      <c r="C34" vm="438">
        <f ca="1"/>
        <v>8.1999999999999993</v>
      </c>
      <c r="D34" vm="427">
        <f ca="1"/>
        <v>7.88</v>
      </c>
    </row>
    <row r="35" spans="1:4" x14ac:dyDescent="0.25">
      <c r="A35" vm="225">
        <f ca="1"/>
        <v>45708</v>
      </c>
      <c r="B35" vm="459">
        <f ca="1"/>
        <v>7.89</v>
      </c>
      <c r="C35" vm="477">
        <f ca="1"/>
        <v>8</v>
      </c>
      <c r="D35" vm="466">
        <f ca="1"/>
        <v>7.73</v>
      </c>
    </row>
    <row r="36" spans="1:4" x14ac:dyDescent="0.25">
      <c r="A36" vm="231">
        <f ca="1"/>
        <v>45709</v>
      </c>
      <c r="B36" vm="682">
        <f ca="1"/>
        <v>7.7</v>
      </c>
      <c r="C36" vm="690">
        <f ca="1"/>
        <v>7.98</v>
      </c>
      <c r="D36" vm="712">
        <f ca="1"/>
        <v>7.5650000000000004</v>
      </c>
    </row>
    <row r="37" spans="1:4" x14ac:dyDescent="0.25">
      <c r="A37" vm="238">
        <f ca="1"/>
        <v>45712</v>
      </c>
      <c r="B37" vm="713">
        <f ca="1"/>
        <v>7.59</v>
      </c>
      <c r="C37" vm="714">
        <f ca="1"/>
        <v>7.7649999999999997</v>
      </c>
      <c r="D37" vm="679">
        <f ca="1"/>
        <v>7.52</v>
      </c>
    </row>
    <row r="38" spans="1:4" x14ac:dyDescent="0.25">
      <c r="A38" vm="246">
        <f ca="1"/>
        <v>45713</v>
      </c>
      <c r="B38" vm="679">
        <f ca="1"/>
        <v>7.52</v>
      </c>
      <c r="C38" vm="715">
        <f ca="1"/>
        <v>7.69</v>
      </c>
      <c r="D38" vm="716">
        <f ca="1"/>
        <v>7.45</v>
      </c>
    </row>
    <row r="39" spans="1:4" x14ac:dyDescent="0.25">
      <c r="A39" vm="253">
        <f ca="1"/>
        <v>45714</v>
      </c>
      <c r="B39" vm="717">
        <f ca="1"/>
        <v>7.51</v>
      </c>
      <c r="C39" vm="677">
        <f ca="1"/>
        <v>7.65</v>
      </c>
      <c r="D39" vm="718">
        <f ca="1"/>
        <v>7.48</v>
      </c>
    </row>
    <row r="40" spans="1:4" x14ac:dyDescent="0.25">
      <c r="A40" vm="260">
        <f ca="1"/>
        <v>45715</v>
      </c>
      <c r="B40" vm="719">
        <f ca="1"/>
        <v>7.74</v>
      </c>
      <c r="C40" vm="699">
        <f ca="1"/>
        <v>8.2050000000000001</v>
      </c>
      <c r="D40" vm="720">
        <f ca="1"/>
        <v>7.28</v>
      </c>
    </row>
    <row r="41" spans="1:4" x14ac:dyDescent="0.25">
      <c r="A41" vm="267">
        <f ca="1"/>
        <v>45716</v>
      </c>
      <c r="B41" vm="680">
        <f ca="1"/>
        <v>7.79</v>
      </c>
      <c r="C41" vm="693">
        <f ca="1"/>
        <v>7.9</v>
      </c>
      <c r="D41" vm="672">
        <f ca="1"/>
        <v>7.58</v>
      </c>
    </row>
    <row r="42" spans="1:4" x14ac:dyDescent="0.25">
      <c r="A42" vm="275">
        <f ca="1"/>
        <v>45719</v>
      </c>
      <c r="B42" vm="705">
        <f ca="1"/>
        <v>7.91</v>
      </c>
      <c r="C42" vm="710">
        <f ca="1"/>
        <v>8.0150000000000006</v>
      </c>
      <c r="D42" vm="419">
        <f ca="1"/>
        <v>7.82</v>
      </c>
    </row>
    <row r="43" spans="1:4" x14ac:dyDescent="0.25">
      <c r="A43" vm="281">
        <f ca="1"/>
        <v>45720</v>
      </c>
      <c r="B43" vm="691">
        <f ca="1"/>
        <v>8.02</v>
      </c>
      <c r="C43" vm="721">
        <f ca="1"/>
        <v>8.0760000000000005</v>
      </c>
      <c r="D43" vm="473">
        <f ca="1"/>
        <v>7.77</v>
      </c>
    </row>
    <row r="44" spans="1:4" x14ac:dyDescent="0.25">
      <c r="A44" vm="288">
        <f ca="1"/>
        <v>45721</v>
      </c>
      <c r="B44" vm="493">
        <f ca="1"/>
        <v>8.16</v>
      </c>
      <c r="C44" vm="722">
        <f ca="1"/>
        <v>8.2949999999999999</v>
      </c>
      <c r="D44" vm="483">
        <f ca="1"/>
        <v>7.97</v>
      </c>
    </row>
    <row r="45" spans="1:4" x14ac:dyDescent="0.25">
      <c r="A45" vm="295">
        <f ca="1"/>
        <v>45722</v>
      </c>
      <c r="B45" vm="427">
        <f ca="1"/>
        <v>7.88</v>
      </c>
      <c r="C45" vm="723">
        <f ca="1"/>
        <v>8.0950000000000006</v>
      </c>
      <c r="D45" vm="724">
        <f ca="1"/>
        <v>7.7249999999999996</v>
      </c>
    </row>
    <row r="46" spans="1:4" x14ac:dyDescent="0.25">
      <c r="A46" vm="300">
        <f ca="1"/>
        <v>45723</v>
      </c>
      <c r="B46" vm="713">
        <f ca="1"/>
        <v>7.59</v>
      </c>
      <c r="C46" vm="725">
        <f ca="1"/>
        <v>7.85</v>
      </c>
      <c r="D46" vm="726">
        <f ca="1"/>
        <v>7.5</v>
      </c>
    </row>
    <row r="47" spans="1:4" x14ac:dyDescent="0.25">
      <c r="A47" vm="306">
        <f ca="1"/>
        <v>45726</v>
      </c>
      <c r="B47" vm="727">
        <f ca="1"/>
        <v>7.11</v>
      </c>
      <c r="C47" vm="672">
        <f ca="1"/>
        <v>7.58</v>
      </c>
      <c r="D47" vm="728">
        <f ca="1"/>
        <v>7.0650000000000004</v>
      </c>
    </row>
    <row r="48" spans="1:4" x14ac:dyDescent="0.25">
      <c r="A48" vm="314">
        <f ca="1"/>
        <v>45727</v>
      </c>
      <c r="B48" vm="729">
        <f ca="1"/>
        <v>6.95</v>
      </c>
      <c r="C48" vm="730">
        <f ca="1"/>
        <v>7.15</v>
      </c>
      <c r="D48" vm="731">
        <f ca="1"/>
        <v>6.87</v>
      </c>
    </row>
    <row r="49" spans="1:4" x14ac:dyDescent="0.25">
      <c r="A49" vm="319">
        <f ca="1"/>
        <v>45728</v>
      </c>
      <c r="B49" vm="732">
        <f ca="1"/>
        <v>6.85</v>
      </c>
      <c r="C49" vm="733">
        <f ca="1"/>
        <v>7.03</v>
      </c>
      <c r="D49" vm="734">
        <f ca="1"/>
        <v>6.8150000000000004</v>
      </c>
    </row>
    <row r="50" spans="1:4" x14ac:dyDescent="0.25">
      <c r="A50" vm="326">
        <f ca="1"/>
        <v>45729</v>
      </c>
      <c r="B50" vm="735">
        <f ca="1"/>
        <v>6.99</v>
      </c>
      <c r="C50" vm="736">
        <f ca="1"/>
        <v>7.01</v>
      </c>
      <c r="D50" vm="737">
        <f ca="1"/>
        <v>6.78</v>
      </c>
    </row>
    <row r="51" spans="1:4" x14ac:dyDescent="0.25">
      <c r="A51" vm="330">
        <f ca="1"/>
        <v>45730</v>
      </c>
      <c r="B51" vm="738">
        <f ca="1"/>
        <v>6.92</v>
      </c>
      <c r="C51" vm="739">
        <f ca="1"/>
        <v>7.1749999999999998</v>
      </c>
      <c r="D51" vm="740">
        <f ca="1"/>
        <v>6.91</v>
      </c>
    </row>
    <row r="52" spans="1:4" x14ac:dyDescent="0.25">
      <c r="A52" vm="337">
        <f ca="1"/>
        <v>45733</v>
      </c>
      <c r="B52" vm="741">
        <f ca="1"/>
        <v>6.89</v>
      </c>
      <c r="C52" vm="736">
        <f ca="1"/>
        <v>7.01</v>
      </c>
      <c r="D52" vm="742">
        <f ca="1"/>
        <v>6.76</v>
      </c>
    </row>
    <row r="53" spans="1:4" x14ac:dyDescent="0.25">
      <c r="A53" vm="342">
        <f ca="1"/>
        <v>45734</v>
      </c>
      <c r="B53" vm="743">
        <f ca="1"/>
        <v>6.74</v>
      </c>
      <c r="C53" vm="744">
        <f ca="1"/>
        <v>6.8849999999999998</v>
      </c>
      <c r="D53" vm="745">
        <f ca="1"/>
        <v>6.71</v>
      </c>
    </row>
    <row r="54" spans="1:4" x14ac:dyDescent="0.25">
      <c r="A54" vm="348">
        <f ca="1"/>
        <v>45735</v>
      </c>
      <c r="B54" vm="746">
        <f ca="1"/>
        <v>6.81</v>
      </c>
      <c r="C54" vm="747">
        <f ca="1"/>
        <v>6.8449999999999998</v>
      </c>
      <c r="D54" vm="748">
        <f ca="1"/>
        <v>6.6449999999999996</v>
      </c>
    </row>
    <row r="55" spans="1:4" x14ac:dyDescent="0.25">
      <c r="A55" vm="353">
        <f ca="1"/>
        <v>45736</v>
      </c>
      <c r="B55" vm="749">
        <f ca="1"/>
        <v>6.82</v>
      </c>
      <c r="C55" vm="738">
        <f ca="1"/>
        <v>6.92</v>
      </c>
      <c r="D55" vm="750">
        <f ca="1"/>
        <v>6.7649999999999997</v>
      </c>
    </row>
    <row r="56" spans="1:4" x14ac:dyDescent="0.25">
      <c r="A56" vm="360">
        <f ca="1"/>
        <v>45737</v>
      </c>
      <c r="B56" vm="732">
        <f ca="1"/>
        <v>6.85</v>
      </c>
      <c r="C56" vm="741">
        <f ca="1"/>
        <v>6.89</v>
      </c>
      <c r="D56" vm="745">
        <f ca="1"/>
        <v>6.71</v>
      </c>
    </row>
    <row r="57" spans="1:4" x14ac:dyDescent="0.25">
      <c r="A57" vm="366">
        <f ca="1"/>
        <v>45740</v>
      </c>
      <c r="B57" vm="742">
        <f ca="1"/>
        <v>6.76</v>
      </c>
      <c r="C57" vm="751">
        <f ca="1"/>
        <v>7.08</v>
      </c>
      <c r="D57" vm="752">
        <f ca="1"/>
        <v>6.6849999999999996</v>
      </c>
    </row>
    <row r="58" spans="1:4" x14ac:dyDescent="0.25">
      <c r="A58" vm="374">
        <f ca="1"/>
        <v>45741</v>
      </c>
      <c r="B58" vm="753">
        <f ca="1"/>
        <v>6.77</v>
      </c>
      <c r="C58" vm="754">
        <f ca="1"/>
        <v>6.9050000000000002</v>
      </c>
      <c r="D58" vm="755">
        <f ca="1"/>
        <v>6.7</v>
      </c>
    </row>
    <row r="59" spans="1:4" x14ac:dyDescent="0.25">
      <c r="A59" vm="381">
        <f ca="1"/>
        <v>45742</v>
      </c>
      <c r="B59" vm="756">
        <f ca="1"/>
        <v>6.6</v>
      </c>
      <c r="C59" vm="757">
        <f ca="1"/>
        <v>6.8</v>
      </c>
      <c r="D59" vm="758">
        <f ca="1"/>
        <v>6.58</v>
      </c>
    </row>
    <row r="60" spans="1:4" x14ac:dyDescent="0.25">
      <c r="A60" vm="386">
        <f ca="1"/>
        <v>45743</v>
      </c>
      <c r="B60" vm="753">
        <f ca="1"/>
        <v>6.77</v>
      </c>
      <c r="C60" vm="753">
        <f ca="1"/>
        <v>6.77</v>
      </c>
      <c r="D60" vm="759">
        <f ca="1"/>
        <v>6.52</v>
      </c>
    </row>
    <row r="61" spans="1:4" x14ac:dyDescent="0.25">
      <c r="A61" vm="391">
        <f ca="1"/>
        <v>45744</v>
      </c>
      <c r="B61" vm="755">
        <f ca="1"/>
        <v>6.7</v>
      </c>
      <c r="C61" vm="746">
        <f ca="1"/>
        <v>6.81</v>
      </c>
      <c r="D61" vm="760">
        <f ca="1"/>
        <v>6.54</v>
      </c>
    </row>
    <row r="62" spans="1:4" x14ac:dyDescent="0.25">
      <c r="A62" vm="398">
        <f ca="1"/>
        <v>45747</v>
      </c>
      <c r="B62" vm="761">
        <f ca="1"/>
        <v>6.66</v>
      </c>
      <c r="C62" vm="762">
        <f ca="1"/>
        <v>6.68</v>
      </c>
      <c r="D62" vm="763">
        <f ca="1"/>
        <v>6.57</v>
      </c>
    </row>
    <row r="63" spans="1:4" x14ac:dyDescent="0.25">
      <c r="A63" vm="404">
        <f ca="1"/>
        <v>45748</v>
      </c>
      <c r="B63" vm="764">
        <f ca="1"/>
        <v>6.63</v>
      </c>
      <c r="C63" vm="765">
        <f ca="1"/>
        <v>6.7949999999999999</v>
      </c>
      <c r="D63" vm="766">
        <f ca="1"/>
        <v>6.56</v>
      </c>
    </row>
    <row r="64" spans="1:4" x14ac:dyDescent="0.25">
      <c r="A64" vm="410">
        <f ca="1"/>
        <v>45749</v>
      </c>
      <c r="B64" vm="764">
        <f ca="1"/>
        <v>6.63</v>
      </c>
      <c r="C64" vm="745">
        <f ca="1"/>
        <v>6.71</v>
      </c>
      <c r="D64" vm="767">
        <f ca="1"/>
        <v>6.53</v>
      </c>
    </row>
    <row r="65" spans="1:4" x14ac:dyDescent="0.25">
      <c r="A65" vm="415">
        <f ca="1"/>
        <v>45750</v>
      </c>
      <c r="B65" vm="743">
        <f ca="1"/>
        <v>6.74</v>
      </c>
      <c r="C65" vm="737">
        <f ca="1"/>
        <v>6.78</v>
      </c>
      <c r="D65" vm="768">
        <f ca="1"/>
        <v>6.48</v>
      </c>
    </row>
    <row r="66" spans="1:4" x14ac:dyDescent="0.25">
      <c r="A66" vm="418">
        <f ca="1"/>
        <v>45751</v>
      </c>
      <c r="B66" vm="769">
        <f ca="1"/>
        <v>6.64</v>
      </c>
      <c r="C66" vm="742">
        <f ca="1"/>
        <v>6.76</v>
      </c>
      <c r="D66" vm="770">
        <f ca="1"/>
        <v>6.4550000000000001</v>
      </c>
    </row>
    <row r="67" spans="1:4" x14ac:dyDescent="0.25">
      <c r="A67" vm="426">
        <f ca="1"/>
        <v>45754</v>
      </c>
      <c r="B67" vm="771">
        <f ca="1"/>
        <v>6.51</v>
      </c>
      <c r="C67" vm="772">
        <f ca="1"/>
        <v>6.73</v>
      </c>
      <c r="D67" vm="773">
        <f ca="1"/>
        <v>6.2527999999999997</v>
      </c>
    </row>
    <row r="68" spans="1:4" x14ac:dyDescent="0.25">
      <c r="A68" vm="432">
        <f ca="1"/>
        <v>45755</v>
      </c>
      <c r="B68" vm="767">
        <f ca="1"/>
        <v>6.53</v>
      </c>
      <c r="C68" vm="774">
        <f ca="1"/>
        <v>7</v>
      </c>
      <c r="D68" vm="771">
        <f ca="1"/>
        <v>6.51</v>
      </c>
    </row>
    <row r="69" spans="1:4" x14ac:dyDescent="0.25">
      <c r="A69" vm="439">
        <f ca="1"/>
        <v>45756</v>
      </c>
      <c r="B69" vm="740">
        <f ca="1"/>
        <v>6.91</v>
      </c>
      <c r="C69" vm="775">
        <f ca="1"/>
        <v>7.02</v>
      </c>
      <c r="D69" vm="771">
        <f ca="1"/>
        <v>6.51</v>
      </c>
    </row>
    <row r="70" spans="1:4" x14ac:dyDescent="0.25">
      <c r="A70" vm="444">
        <f ca="1"/>
        <v>45757</v>
      </c>
      <c r="B70" vm="753">
        <f ca="1"/>
        <v>6.77</v>
      </c>
      <c r="C70" vm="776">
        <f ca="1"/>
        <v>6.93</v>
      </c>
      <c r="D70" vm="777">
        <f ca="1"/>
        <v>6.5949999999999998</v>
      </c>
    </row>
    <row r="71" spans="1:4" x14ac:dyDescent="0.25">
      <c r="A71" vm="451">
        <f ca="1"/>
        <v>45758</v>
      </c>
      <c r="B71" vm="778">
        <f ca="1"/>
        <v>6.84</v>
      </c>
      <c r="C71" vm="738">
        <f ca="1"/>
        <v>6.92</v>
      </c>
      <c r="D71" vm="779">
        <f ca="1"/>
        <v>6.665</v>
      </c>
    </row>
    <row r="72" spans="1:4" x14ac:dyDescent="0.25">
      <c r="A72" vm="458">
        <f ca="1"/>
        <v>45761</v>
      </c>
      <c r="B72" vm="732">
        <f ca="1"/>
        <v>6.85</v>
      </c>
      <c r="C72" vm="776">
        <f ca="1"/>
        <v>6.93</v>
      </c>
      <c r="D72" vm="737">
        <f ca="1"/>
        <v>6.78</v>
      </c>
    </row>
    <row r="73" spans="1:4" x14ac:dyDescent="0.25">
      <c r="A73" vm="463">
        <f ca="1"/>
        <v>45762</v>
      </c>
      <c r="B73" vm="749">
        <f ca="1"/>
        <v>6.82</v>
      </c>
      <c r="C73" vm="729">
        <f ca="1"/>
        <v>6.95</v>
      </c>
      <c r="D73" vm="737">
        <f ca="1"/>
        <v>6.78</v>
      </c>
    </row>
    <row r="74" spans="1:4" x14ac:dyDescent="0.25">
      <c r="A74" vm="470">
        <f ca="1"/>
        <v>45763</v>
      </c>
      <c r="B74" vm="745">
        <f ca="1"/>
        <v>6.71</v>
      </c>
      <c r="C74" vm="780">
        <f ca="1"/>
        <v>6.86</v>
      </c>
      <c r="D74" vm="781">
        <f ca="1"/>
        <v>6.625</v>
      </c>
    </row>
    <row r="75" spans="1:4" x14ac:dyDescent="0.25">
      <c r="A75" vm="478">
        <f ca="1"/>
        <v>45764</v>
      </c>
      <c r="B75" vm="755">
        <f ca="1"/>
        <v>6.7</v>
      </c>
      <c r="C75" vm="782">
        <f ca="1"/>
        <v>6.7350000000000003</v>
      </c>
      <c r="D75" vm="763">
        <f ca="1"/>
        <v>6.57</v>
      </c>
    </row>
    <row r="76" spans="1:4" x14ac:dyDescent="0.25">
      <c r="A76" vm="484">
        <f ca="1"/>
        <v>45768</v>
      </c>
      <c r="B76" vm="783">
        <f ca="1"/>
        <v>6.16</v>
      </c>
      <c r="C76" vm="743">
        <f ca="1"/>
        <v>6.74</v>
      </c>
      <c r="D76" vm="784">
        <f ca="1"/>
        <v>6.125</v>
      </c>
    </row>
    <row r="77" spans="1:4" x14ac:dyDescent="0.25">
      <c r="A77" vm="488">
        <f ca="1"/>
        <v>45769</v>
      </c>
      <c r="B77" vm="785">
        <f ca="1"/>
        <v>6.13</v>
      </c>
      <c r="C77" vm="786">
        <f ca="1"/>
        <v>6.2149999999999999</v>
      </c>
      <c r="D77" vm="787">
        <f ca="1"/>
        <v>6.03</v>
      </c>
    </row>
    <row r="78" spans="1:4" x14ac:dyDescent="0.25">
      <c r="A78" vm="491">
        <f ca="1"/>
        <v>45770</v>
      </c>
      <c r="B78" vm="788">
        <f ca="1"/>
        <v>6.37</v>
      </c>
      <c r="C78" vm="789">
        <f ca="1"/>
        <v>6.45</v>
      </c>
      <c r="D78" vm="790">
        <f ca="1"/>
        <v>6.21</v>
      </c>
    </row>
    <row r="79" spans="1:4" x14ac:dyDescent="0.25">
      <c r="A79" vm="497">
        <f ca="1"/>
        <v>45771</v>
      </c>
      <c r="B79" vm="791">
        <f ca="1"/>
        <v>6.49</v>
      </c>
      <c r="C79" vm="792">
        <f ca="1"/>
        <v>6.5</v>
      </c>
      <c r="D79" vm="793">
        <f ca="1"/>
        <v>6.31</v>
      </c>
    </row>
    <row r="80" spans="1:4" x14ac:dyDescent="0.25">
      <c r="A80" vm="503">
        <f ca="1"/>
        <v>45772</v>
      </c>
      <c r="B80" vm="767">
        <f ca="1"/>
        <v>6.53</v>
      </c>
      <c r="C80" vm="760">
        <f ca="1"/>
        <v>6.54</v>
      </c>
      <c r="D80" vm="794">
        <f ca="1"/>
        <v>6.39</v>
      </c>
    </row>
    <row r="81" spans="1:4" x14ac:dyDescent="0.25">
      <c r="A81" vm="508">
        <f ca="1"/>
        <v>45775</v>
      </c>
      <c r="B81" vm="767">
        <f ca="1"/>
        <v>6.53</v>
      </c>
      <c r="C81" vm="777">
        <f ca="1"/>
        <v>6.5949999999999998</v>
      </c>
      <c r="D81" vm="795">
        <f ca="1"/>
        <v>6.4349999999999996</v>
      </c>
    </row>
    <row r="82" spans="1:4" x14ac:dyDescent="0.25">
      <c r="A82" vm="512">
        <f ca="1"/>
        <v>45776</v>
      </c>
      <c r="B82" vm="766">
        <f ca="1"/>
        <v>6.56</v>
      </c>
      <c r="C82" vm="796">
        <f ca="1"/>
        <v>6.6050000000000004</v>
      </c>
      <c r="D82" vm="791">
        <f ca="1"/>
        <v>6.49</v>
      </c>
    </row>
    <row r="83" spans="1:4" x14ac:dyDescent="0.25">
      <c r="A83" vm="516">
        <f ca="1"/>
        <v>45777</v>
      </c>
      <c r="B83" vm="763">
        <f ca="1"/>
        <v>6.57</v>
      </c>
      <c r="C83" vm="756">
        <f ca="1"/>
        <v>6.6</v>
      </c>
      <c r="D83" vm="797">
        <f ca="1"/>
        <v>6.43</v>
      </c>
    </row>
    <row r="84" spans="1:4" x14ac:dyDescent="0.25">
      <c r="A84" vm="520">
        <f ca="1"/>
        <v>45778</v>
      </c>
      <c r="B84" vm="759">
        <f ca="1"/>
        <v>6.52</v>
      </c>
      <c r="C84" vm="756">
        <f ca="1"/>
        <v>6.6</v>
      </c>
      <c r="D84" vm="798">
        <f ca="1"/>
        <v>6.4450000000000003</v>
      </c>
    </row>
    <row r="85" spans="1:4" x14ac:dyDescent="0.25">
      <c r="A85" vm="523">
        <f ca="1"/>
        <v>45779</v>
      </c>
      <c r="B85" vm="757">
        <f ca="1"/>
        <v>6.8</v>
      </c>
      <c r="C85" vm="799">
        <f ca="1"/>
        <v>6.8650000000000002</v>
      </c>
      <c r="D85" vm="758">
        <f ca="1"/>
        <v>6.58</v>
      </c>
    </row>
    <row r="86" spans="1:4" x14ac:dyDescent="0.25">
      <c r="A86" vm="526">
        <f ca="1"/>
        <v>45782</v>
      </c>
      <c r="B86" vm="800">
        <f ca="1"/>
        <v>6.62</v>
      </c>
      <c r="C86" vm="737">
        <f ca="1"/>
        <v>6.78</v>
      </c>
      <c r="D86" vm="756">
        <f ca="1"/>
        <v>6.6</v>
      </c>
    </row>
    <row r="87" spans="1:4" x14ac:dyDescent="0.25">
      <c r="A87" vm="530">
        <f ca="1"/>
        <v>45783</v>
      </c>
      <c r="B87" vm="801">
        <f ca="1"/>
        <v>6.55</v>
      </c>
      <c r="C87" vm="769">
        <f ca="1"/>
        <v>6.64</v>
      </c>
      <c r="D87" vm="802">
        <f ca="1"/>
        <v>6.4747000000000003</v>
      </c>
    </row>
    <row r="88" spans="1:4" x14ac:dyDescent="0.25">
      <c r="A88" vm="537">
        <f ca="1"/>
        <v>45784</v>
      </c>
      <c r="B88" vm="803">
        <f ca="1"/>
        <v>5.51</v>
      </c>
      <c r="C88" vm="804">
        <f ca="1"/>
        <v>6.2850000000000001</v>
      </c>
      <c r="D88" vm="805">
        <f ca="1"/>
        <v>5.39</v>
      </c>
    </row>
    <row r="89" spans="1:4" x14ac:dyDescent="0.25">
      <c r="A89" vm="541">
        <f ca="1"/>
        <v>45785</v>
      </c>
      <c r="B89" vm="806">
        <f ca="1"/>
        <v>5.81</v>
      </c>
      <c r="C89" vm="807">
        <f ca="1"/>
        <v>5.86</v>
      </c>
      <c r="D89" vm="808">
        <f ca="1"/>
        <v>5.56</v>
      </c>
    </row>
    <row r="90" spans="1:4" x14ac:dyDescent="0.25">
      <c r="A90" vm="546">
        <f ca="1"/>
        <v>45786</v>
      </c>
      <c r="B90" vm="809">
        <f ca="1"/>
        <v>5.73</v>
      </c>
      <c r="C90" vm="810">
        <f ca="1"/>
        <v>5.8</v>
      </c>
      <c r="D90" vm="811">
        <f ca="1"/>
        <v>5.6550000000000002</v>
      </c>
    </row>
    <row r="91" spans="1:4" x14ac:dyDescent="0.25">
      <c r="A91" vm="550">
        <f ca="1"/>
        <v>45789</v>
      </c>
      <c r="B91" vm="812">
        <f ca="1"/>
        <v>5.85</v>
      </c>
      <c r="C91" vm="813">
        <f ca="1"/>
        <v>5.9</v>
      </c>
      <c r="D91" vm="814">
        <f ca="1"/>
        <v>5.61</v>
      </c>
    </row>
    <row r="92" spans="1:4" x14ac:dyDescent="0.25">
      <c r="A92" vm="556">
        <f ca="1"/>
        <v>45790</v>
      </c>
      <c r="B92" vm="815">
        <f ca="1"/>
        <v>5.87</v>
      </c>
      <c r="C92" vm="816">
        <f ca="1"/>
        <v>6</v>
      </c>
      <c r="D92" vm="817">
        <f ca="1"/>
        <v>5.7350000000000003</v>
      </c>
    </row>
    <row r="93" spans="1:4" x14ac:dyDescent="0.25">
      <c r="A93" vm="560">
        <f ca="1"/>
        <v>45791</v>
      </c>
      <c r="B93" vm="818">
        <f ca="1"/>
        <v>5.74</v>
      </c>
      <c r="C93" vm="819">
        <f ca="1"/>
        <v>5.875</v>
      </c>
      <c r="D93" vm="820">
        <f ca="1"/>
        <v>5.71</v>
      </c>
    </row>
    <row r="94" spans="1:4" x14ac:dyDescent="0.25">
      <c r="A94" vm="564">
        <f ca="1"/>
        <v>45792</v>
      </c>
      <c r="B94" vm="821">
        <f ca="1"/>
        <v>5.79</v>
      </c>
      <c r="C94" vm="810">
        <f ca="1"/>
        <v>5.8</v>
      </c>
      <c r="D94" vm="822">
        <f ca="1"/>
        <v>5.6</v>
      </c>
    </row>
    <row r="95" spans="1:4" x14ac:dyDescent="0.25">
      <c r="A95" vm="569">
        <f ca="1"/>
        <v>45793</v>
      </c>
      <c r="B95" vm="823">
        <f ca="1"/>
        <v>5.84</v>
      </c>
      <c r="C95" vm="815">
        <f ca="1"/>
        <v>5.87</v>
      </c>
      <c r="D95" vm="824">
        <f ca="1"/>
        <v>5.75</v>
      </c>
    </row>
    <row r="96" spans="1:4" x14ac:dyDescent="0.25">
      <c r="A96" vm="573">
        <f ca="1"/>
        <v>45796</v>
      </c>
      <c r="B96" vm="823">
        <f ca="1"/>
        <v>5.84</v>
      </c>
      <c r="C96" vm="813">
        <f ca="1"/>
        <v>5.9</v>
      </c>
      <c r="D96" vm="821">
        <f ca="1"/>
        <v>5.79</v>
      </c>
    </row>
    <row r="97" spans="1:4" x14ac:dyDescent="0.25">
      <c r="A97" vm="577">
        <f ca="1"/>
        <v>45797</v>
      </c>
      <c r="B97" vm="825">
        <f ca="1"/>
        <v>5.83</v>
      </c>
      <c r="C97" vm="826">
        <f ca="1"/>
        <v>5.91</v>
      </c>
      <c r="D97" vm="817">
        <f ca="1"/>
        <v>5.7350000000000003</v>
      </c>
    </row>
    <row r="98" spans="1:4" x14ac:dyDescent="0.25">
      <c r="A98" vm="580">
        <f ca="1"/>
        <v>45798</v>
      </c>
      <c r="B98" vm="827">
        <f ca="1"/>
        <v>5.67</v>
      </c>
      <c r="C98" vm="812">
        <f ca="1"/>
        <v>5.85</v>
      </c>
      <c r="D98" vm="811">
        <f ca="1"/>
        <v>5.6550000000000002</v>
      </c>
    </row>
    <row r="99" spans="1:4" x14ac:dyDescent="0.25">
      <c r="A99" vm="583">
        <f ca="1"/>
        <v>45799</v>
      </c>
      <c r="B99" vm="828">
        <f ca="1"/>
        <v>5.63</v>
      </c>
      <c r="C99" vm="827">
        <f ca="1"/>
        <v>5.67</v>
      </c>
      <c r="D99" vm="814">
        <f ca="1"/>
        <v>5.61</v>
      </c>
    </row>
    <row r="100" spans="1:4" x14ac:dyDescent="0.25">
      <c r="A100" vm="588">
        <f ca="1"/>
        <v>45800</v>
      </c>
      <c r="B100" vm="829">
        <f ca="1"/>
        <v>5.49</v>
      </c>
      <c r="C100" vm="830">
        <f ca="1"/>
        <v>5.59</v>
      </c>
      <c r="D100" vm="831">
        <f ca="1"/>
        <v>5.47</v>
      </c>
    </row>
    <row r="101" spans="1:4" x14ac:dyDescent="0.25">
      <c r="A101" vm="593">
        <f ca="1"/>
        <v>45804</v>
      </c>
      <c r="B101" vm="832">
        <f ca="1"/>
        <v>6.06</v>
      </c>
      <c r="C101" vm="833">
        <f ca="1"/>
        <v>6.11</v>
      </c>
      <c r="D101" vm="834">
        <f ca="1"/>
        <v>5.69</v>
      </c>
    </row>
    <row r="102" spans="1:4" x14ac:dyDescent="0.25">
      <c r="A102" vm="598">
        <f ca="1"/>
        <v>45805</v>
      </c>
      <c r="B102" vm="835">
        <f ca="1"/>
        <v>6.04</v>
      </c>
      <c r="C102" vm="836">
        <f ca="1"/>
        <v>6.18</v>
      </c>
      <c r="D102" vm="837">
        <f ca="1"/>
        <v>5.94</v>
      </c>
    </row>
    <row r="103" spans="1:4" x14ac:dyDescent="0.25">
      <c r="A103" vm="601">
        <f ca="1"/>
        <v>45806</v>
      </c>
      <c r="B103" vm="826">
        <f ca="1"/>
        <v>5.91</v>
      </c>
      <c r="C103" vm="838">
        <f ca="1"/>
        <v>6.12</v>
      </c>
      <c r="D103" vm="819">
        <f ca="1"/>
        <v>5.875</v>
      </c>
    </row>
    <row r="104" spans="1:4" x14ac:dyDescent="0.25">
      <c r="A104" vm="604">
        <f ca="1"/>
        <v>45807</v>
      </c>
      <c r="B104" vm="837">
        <f ca="1"/>
        <v>5.94</v>
      </c>
      <c r="C104" vm="816">
        <f ca="1"/>
        <v>6</v>
      </c>
      <c r="D104" vm="807">
        <f ca="1"/>
        <v>5.86</v>
      </c>
    </row>
    <row r="105" spans="1:4" x14ac:dyDescent="0.25">
      <c r="A105" vm="606">
        <f ca="1"/>
        <v>45810</v>
      </c>
      <c r="B105" vm="839">
        <f ca="1"/>
        <v>5.88</v>
      </c>
      <c r="C105" vm="840">
        <f ca="1"/>
        <v>5.9550000000000001</v>
      </c>
      <c r="D105" vm="841">
        <f ca="1"/>
        <v>5.76</v>
      </c>
    </row>
    <row r="106" spans="1:4" x14ac:dyDescent="0.25">
      <c r="A106" vm="608">
        <f ca="1"/>
        <v>45811</v>
      </c>
      <c r="B106" vm="842">
        <f ca="1"/>
        <v>5.96</v>
      </c>
      <c r="C106" vm="843">
        <f ca="1"/>
        <v>6.05</v>
      </c>
      <c r="D106" vm="821">
        <f ca="1"/>
        <v>5.79</v>
      </c>
    </row>
    <row r="107" spans="1:4" x14ac:dyDescent="0.25">
      <c r="A107" vm="610">
        <f ca="1"/>
        <v>45812</v>
      </c>
      <c r="B107" vm="844">
        <f ca="1"/>
        <v>5.95</v>
      </c>
      <c r="C107" vm="845">
        <f ca="1"/>
        <v>6.01</v>
      </c>
      <c r="D107" vm="846">
        <f ca="1"/>
        <v>5.89</v>
      </c>
    </row>
    <row r="108" spans="1:4" x14ac:dyDescent="0.25">
      <c r="A108" vm="612">
        <f ca="1"/>
        <v>45813</v>
      </c>
      <c r="B108" vm="847">
        <f ca="1"/>
        <v>5.93</v>
      </c>
      <c r="C108" vm="845">
        <f ca="1"/>
        <v>6.01</v>
      </c>
      <c r="D108" vm="819">
        <f ca="1"/>
        <v>5.875</v>
      </c>
    </row>
    <row r="109" spans="1:4" x14ac:dyDescent="0.25">
      <c r="A109" vm="615">
        <f ca="1"/>
        <v>45814</v>
      </c>
      <c r="B109" vm="823">
        <f ca="1"/>
        <v>5.84</v>
      </c>
      <c r="C109" vm="848">
        <f ca="1"/>
        <v>6.0110999999999999</v>
      </c>
      <c r="D109" vm="810">
        <f ca="1"/>
        <v>5.8</v>
      </c>
    </row>
    <row r="110" spans="1:4" x14ac:dyDescent="0.25">
      <c r="A110" vm="617">
        <f ca="1"/>
        <v>45817</v>
      </c>
      <c r="B110" vm="839">
        <f ca="1"/>
        <v>5.88</v>
      </c>
      <c r="C110" vm="787">
        <f ca="1"/>
        <v>6.03</v>
      </c>
      <c r="D110" vm="849">
        <f ca="1"/>
        <v>5.78</v>
      </c>
    </row>
    <row r="111" spans="1:4" x14ac:dyDescent="0.25">
      <c r="A111" vm="619">
        <f ca="1"/>
        <v>45818</v>
      </c>
      <c r="B111" vm="850">
        <f ca="1"/>
        <v>5.72</v>
      </c>
      <c r="C111" vm="847">
        <f ca="1"/>
        <v>5.93</v>
      </c>
      <c r="D111" vm="820">
        <f ca="1"/>
        <v>5.71</v>
      </c>
    </row>
    <row r="112" spans="1:4" x14ac:dyDescent="0.25">
      <c r="A112" vm="620">
        <f ca="1"/>
        <v>45819</v>
      </c>
      <c r="B112" vm="822">
        <f ca="1"/>
        <v>5.6</v>
      </c>
      <c r="C112" vm="821">
        <f ca="1"/>
        <v>5.79</v>
      </c>
      <c r="D112" vm="851">
        <f ca="1"/>
        <v>5.57</v>
      </c>
    </row>
    <row r="113" spans="1:4" x14ac:dyDescent="0.25">
      <c r="A113" vm="622">
        <f ca="1"/>
        <v>45820</v>
      </c>
      <c r="B113" vm="852">
        <f ca="1"/>
        <v>5.42</v>
      </c>
      <c r="C113" vm="830">
        <f ca="1"/>
        <v>5.59</v>
      </c>
      <c r="D113" vm="853">
        <f ca="1"/>
        <v>5.4</v>
      </c>
    </row>
    <row r="114" spans="1:4" x14ac:dyDescent="0.25">
      <c r="A114" vm="626">
        <f ca="1"/>
        <v>45821</v>
      </c>
      <c r="B114" vm="854">
        <f ca="1"/>
        <v>5.26</v>
      </c>
      <c r="C114" vm="805">
        <f ca="1"/>
        <v>5.39</v>
      </c>
      <c r="D114" vm="855">
        <f ca="1"/>
        <v>5.2350000000000003</v>
      </c>
    </row>
    <row r="115" spans="1:4" x14ac:dyDescent="0.25">
      <c r="A115" vm="629">
        <f ca="1"/>
        <v>45824</v>
      </c>
      <c r="B115" vm="856">
        <f ca="1"/>
        <v>5.17</v>
      </c>
      <c r="C115" vm="857">
        <f ca="1"/>
        <v>5.32</v>
      </c>
      <c r="D115" vm="858">
        <f ca="1"/>
        <v>5.16</v>
      </c>
    </row>
    <row r="116" spans="1:4" x14ac:dyDescent="0.25">
      <c r="A116" vm="632">
        <f ca="1"/>
        <v>45825</v>
      </c>
      <c r="B116" vm="859">
        <f ca="1"/>
        <v>5.04</v>
      </c>
      <c r="C116" vm="860">
        <f ca="1"/>
        <v>5.15</v>
      </c>
      <c r="D116" vm="861">
        <f ca="1"/>
        <v>5.0199999999999996</v>
      </c>
    </row>
    <row r="117" spans="1:4" x14ac:dyDescent="0.25">
      <c r="A117" vm="634">
        <f ca="1"/>
        <v>45826</v>
      </c>
      <c r="B117" vm="862">
        <f ca="1"/>
        <v>4.93</v>
      </c>
      <c r="C117" vm="863">
        <f ca="1"/>
        <v>5.085</v>
      </c>
      <c r="D117" vm="864">
        <f ca="1"/>
        <v>4.87</v>
      </c>
    </row>
    <row r="118" spans="1:4" x14ac:dyDescent="0.25">
      <c r="A118" vm="636">
        <f ca="1"/>
        <v>45828</v>
      </c>
      <c r="B118" vm="865">
        <f ca="1"/>
        <v>4.83</v>
      </c>
      <c r="C118" vm="866">
        <f ca="1"/>
        <v>5.01</v>
      </c>
      <c r="D118" vm="867">
        <f ca="1"/>
        <v>4.76</v>
      </c>
    </row>
    <row r="119" spans="1:4" x14ac:dyDescent="0.25">
      <c r="A119" vm="638">
        <f ca="1"/>
        <v>45831</v>
      </c>
      <c r="B119" vm="868">
        <f ca="1"/>
        <v>4.96</v>
      </c>
      <c r="C119" vm="866">
        <f ca="1"/>
        <v>5.01</v>
      </c>
      <c r="D119" vm="869">
        <f ca="1"/>
        <v>4.7549999999999999</v>
      </c>
    </row>
    <row r="120" spans="1:4" x14ac:dyDescent="0.25">
      <c r="A120" vm="640">
        <f ca="1"/>
        <v>45832</v>
      </c>
      <c r="B120" vm="870">
        <f ca="1"/>
        <v>5.08</v>
      </c>
      <c r="C120" vm="871">
        <f ca="1"/>
        <v>5.13</v>
      </c>
      <c r="D120" vm="864">
        <f ca="1"/>
        <v>4.87</v>
      </c>
    </row>
    <row r="121" spans="1:4" x14ac:dyDescent="0.25">
      <c r="A121" vm="643">
        <f ca="1"/>
        <v>45833</v>
      </c>
      <c r="B121" vm="872">
        <f ca="1"/>
        <v>4.95</v>
      </c>
      <c r="C121" vm="873">
        <f ca="1"/>
        <v>5.09</v>
      </c>
      <c r="D121" vm="874">
        <f ca="1"/>
        <v>4.92</v>
      </c>
    </row>
    <row r="122" spans="1:4" x14ac:dyDescent="0.25">
      <c r="A122" vm="644">
        <f ca="1"/>
        <v>45834</v>
      </c>
      <c r="B122" vm="870">
        <f ca="1"/>
        <v>5.08</v>
      </c>
      <c r="C122" vm="875">
        <f ca="1"/>
        <v>5.0999999999999996</v>
      </c>
      <c r="D122" vm="876">
        <f ca="1"/>
        <v>4.9400000000000004</v>
      </c>
    </row>
    <row r="123" spans="1:4" x14ac:dyDescent="0.25">
      <c r="A123" vm="645">
        <f ca="1"/>
        <v>45835</v>
      </c>
      <c r="B123" vm="860">
        <f ca="1"/>
        <v>5.15</v>
      </c>
      <c r="C123" vm="877">
        <f ca="1"/>
        <v>5.19</v>
      </c>
      <c r="D123" vm="878">
        <f ca="1"/>
        <v>5.0149999999999997</v>
      </c>
    </row>
    <row r="124" spans="1:4" x14ac:dyDescent="0.25">
      <c r="A124" vm="646">
        <f ca="1"/>
        <v>45838</v>
      </c>
      <c r="B124" vm="856">
        <f ca="1"/>
        <v>5.17</v>
      </c>
      <c r="C124" vm="854">
        <f ca="1"/>
        <v>5.26</v>
      </c>
      <c r="D124" vm="879">
        <f ca="1"/>
        <v>5.0549999999999997</v>
      </c>
    </row>
    <row r="125" spans="1:4" x14ac:dyDescent="0.25">
      <c r="A125" vm="648">
        <f ca="1"/>
        <v>45839</v>
      </c>
      <c r="B125" vm="880">
        <f ca="1"/>
        <v>4.99</v>
      </c>
      <c r="C125" vm="856">
        <f ca="1"/>
        <v>5.17</v>
      </c>
      <c r="D125" vm="881">
        <f ca="1"/>
        <v>4.9800000000000004</v>
      </c>
    </row>
    <row r="126" spans="1:4" x14ac:dyDescent="0.25">
      <c r="A126" vm="649">
        <f ca="1"/>
        <v>45840</v>
      </c>
      <c r="B126" vm="882">
        <f ca="1"/>
        <v>4.7750000000000004</v>
      </c>
      <c r="C126" vm="881">
        <f ca="1"/>
        <v>4.9800000000000004</v>
      </c>
      <c r="D126" vm="883">
        <f ca="1"/>
        <v>4.7</v>
      </c>
    </row>
    <row r="127" spans="1:4" x14ac:dyDescent="0.25">
      <c r="A127" vm="651">
        <f ca="1"/>
        <v>45841</v>
      </c>
      <c r="B127" vm="884">
        <f ca="1"/>
        <v>4.79</v>
      </c>
      <c r="C127" vm="865">
        <f ca="1"/>
        <v>4.83</v>
      </c>
      <c r="D127" vm="885">
        <f ca="1"/>
        <v>4.7149999999999999</v>
      </c>
    </row>
    <row r="128" spans="1:4" x14ac:dyDescent="0.25">
      <c r="A128" vm="653">
        <f ca="1"/>
        <v>45845</v>
      </c>
      <c r="B128" vm="886">
        <f ca="1"/>
        <v>4.6749999999999998</v>
      </c>
      <c r="C128" vm="887">
        <f ca="1"/>
        <v>4.7949999999999999</v>
      </c>
      <c r="D128" vm="888">
        <f ca="1"/>
        <v>4.6500000000000004</v>
      </c>
    </row>
    <row r="129" spans="1:4" x14ac:dyDescent="0.25">
      <c r="A129" vm="655">
        <f ca="1"/>
        <v>45846</v>
      </c>
      <c r="B129" vm="889">
        <f ca="1"/>
        <v>4.7300000000000004</v>
      </c>
      <c r="C129" vm="890">
        <f ca="1"/>
        <v>4.7988999999999997</v>
      </c>
      <c r="D129" vm="888">
        <f ca="1"/>
        <v>4.6500000000000004</v>
      </c>
    </row>
    <row r="130" spans="1:4" x14ac:dyDescent="0.25">
      <c r="A130" vm="658">
        <f ca="1"/>
        <v>45847</v>
      </c>
      <c r="B130" vm="891">
        <f ca="1"/>
        <v>4.75</v>
      </c>
      <c r="C130" vm="892">
        <f ca="1"/>
        <v>4.7850000000000001</v>
      </c>
      <c r="D130" vm="893">
        <f ca="1"/>
        <v>4.6050000000000004</v>
      </c>
    </row>
    <row r="131" spans="1:4" x14ac:dyDescent="0.25">
      <c r="A131" vm="659">
        <f ca="1"/>
        <v>45848</v>
      </c>
      <c r="B131" vm="889">
        <f ca="1"/>
        <v>4.7300000000000004</v>
      </c>
      <c r="C131" vm="894">
        <f ca="1"/>
        <v>4.875</v>
      </c>
      <c r="D131" vm="895">
        <f ca="1"/>
        <v>4.6399999999999997</v>
      </c>
    </row>
    <row r="132" spans="1:4" x14ac:dyDescent="0.25">
      <c r="A132" vm="661">
        <f ca="1"/>
        <v>45849</v>
      </c>
      <c r="B132" vm="896">
        <f ca="1"/>
        <v>4.51</v>
      </c>
      <c r="C132" vm="897">
        <f ca="1"/>
        <v>4.7249999999999996</v>
      </c>
      <c r="D132" vm="898">
        <f ca="1"/>
        <v>4.47</v>
      </c>
    </row>
    <row r="133" spans="1:4" x14ac:dyDescent="0.25">
      <c r="A133" vm="663">
        <f ca="1"/>
        <v>45852</v>
      </c>
      <c r="B133" vm="899">
        <f ca="1"/>
        <v>4.57</v>
      </c>
      <c r="C133" vm="900">
        <f ca="1"/>
        <v>4.5999999999999996</v>
      </c>
      <c r="D133" vm="901">
        <f ca="1"/>
        <v>4.42</v>
      </c>
    </row>
    <row r="134" spans="1:4" x14ac:dyDescent="0.25">
      <c r="A134" vm="664">
        <f ca="1"/>
        <v>45853</v>
      </c>
      <c r="B134" vm="902">
        <f ca="1"/>
        <v>4.4000000000000004</v>
      </c>
      <c r="C134" vm="900">
        <f ca="1"/>
        <v>4.5999999999999996</v>
      </c>
      <c r="D134" vm="903">
        <f ca="1"/>
        <v>4.37</v>
      </c>
    </row>
    <row r="135" spans="1:4" x14ac:dyDescent="0.25">
      <c r="A135" vm="666">
        <f ca="1"/>
        <v>45854</v>
      </c>
      <c r="B135" vm="902">
        <f ca="1"/>
        <v>4.4000000000000004</v>
      </c>
      <c r="C135" vm="904">
        <f ca="1"/>
        <v>4.46</v>
      </c>
      <c r="D135" vm="905">
        <f ca="1"/>
        <v>4.33</v>
      </c>
    </row>
    <row r="136" spans="1:4" x14ac:dyDescent="0.25">
      <c r="A136" vm="668">
        <f ca="1"/>
        <v>45855</v>
      </c>
      <c r="B136" vm="901">
        <f ca="1"/>
        <v>4.42</v>
      </c>
      <c r="C136" vm="906">
        <f ca="1"/>
        <v>4.5049999999999999</v>
      </c>
      <c r="D136" vm="907">
        <f ca="1"/>
        <v>4.3935000000000004</v>
      </c>
    </row>
    <row r="137" spans="1:4" x14ac:dyDescent="0.25">
      <c r="A137" vm="1">
        <f ca="1"/>
        <v>45856</v>
      </c>
      <c r="B137" vm="908">
        <f ca="1"/>
        <v>4.22</v>
      </c>
      <c r="C137" vm="909">
        <f ca="1"/>
        <v>4.45</v>
      </c>
      <c r="D137" vm="908">
        <f ca="1"/>
        <v>4.22</v>
      </c>
    </row>
    <row r="138" spans="1:4" x14ac:dyDescent="0.25">
      <c r="A138" vm="9">
        <f ca="1"/>
        <v>45859</v>
      </c>
      <c r="B138" vm="910">
        <f ca="1"/>
        <v>4.17</v>
      </c>
      <c r="C138" vm="911">
        <f ca="1"/>
        <v>4.26</v>
      </c>
      <c r="D138" vm="912">
        <f ca="1"/>
        <v>4.12</v>
      </c>
    </row>
    <row r="139" spans="1:4" x14ac:dyDescent="0.25">
      <c r="A139" vm="17">
        <f ca="1"/>
        <v>45860</v>
      </c>
      <c r="B139" vm="913">
        <f ca="1"/>
        <v>4.2</v>
      </c>
      <c r="C139" vm="914">
        <f ca="1"/>
        <v>4.32</v>
      </c>
      <c r="D139" vm="915">
        <f ca="1"/>
        <v>4.1565000000000003</v>
      </c>
    </row>
    <row r="140" spans="1:4" x14ac:dyDescent="0.25">
      <c r="A140" vm="25">
        <f ca="1"/>
        <v>45861</v>
      </c>
      <c r="B140" vm="916">
        <f ca="1"/>
        <v>4.2699999999999996</v>
      </c>
      <c r="C140" vm="917">
        <f ca="1"/>
        <v>4.2988</v>
      </c>
      <c r="D140" vm="918">
        <f ca="1"/>
        <v>4.1807999999999996</v>
      </c>
    </row>
    <row r="141" spans="1:4" x14ac:dyDescent="0.25">
      <c r="A141" vm="31">
        <f ca="1"/>
        <v>45862</v>
      </c>
      <c r="B141" vm="919">
        <f ca="1"/>
        <v>4.1399999999999997</v>
      </c>
      <c r="C141" vm="916">
        <f ca="1"/>
        <v>4.2699999999999996</v>
      </c>
      <c r="D141" vm="920">
        <f ca="1"/>
        <v>4.09</v>
      </c>
    </row>
    <row r="142" spans="1:4" x14ac:dyDescent="0.25">
      <c r="A142" vm="39">
        <f ca="1"/>
        <v>45863</v>
      </c>
      <c r="B142" vm="919">
        <f ca="1"/>
        <v>4.1399999999999997</v>
      </c>
      <c r="C142" vm="921">
        <f ca="1"/>
        <v>4.1950000000000003</v>
      </c>
      <c r="D142" vm="922">
        <f ca="1"/>
        <v>4.0999999999999996</v>
      </c>
    </row>
    <row r="143" spans="1:4" x14ac:dyDescent="0.25">
      <c r="A143" vm="47">
        <f ca="1"/>
        <v>45866</v>
      </c>
      <c r="B143" vm="910">
        <f ca="1"/>
        <v>4.17</v>
      </c>
      <c r="C143" vm="923">
        <f ca="1"/>
        <v>4.2300000000000004</v>
      </c>
      <c r="D143" vm="924">
        <f ca="1"/>
        <v>4.1349999999999998</v>
      </c>
    </row>
    <row r="144" spans="1:4" x14ac:dyDescent="0.25">
      <c r="A144" vm="55">
        <f ca="1"/>
        <v>45867</v>
      </c>
      <c r="B144" vm="925">
        <f ca="1"/>
        <v>4.13</v>
      </c>
      <c r="C144" vm="926">
        <f ca="1"/>
        <v>4.1900000000000004</v>
      </c>
      <c r="D144" vm="920">
        <f ca="1"/>
        <v>4.09</v>
      </c>
    </row>
    <row r="145" spans="1:4" x14ac:dyDescent="0.25">
      <c r="A145" vm="62">
        <f ca="1"/>
        <v>45868</v>
      </c>
      <c r="B145" vm="923">
        <f ca="1"/>
        <v>4.2300000000000004</v>
      </c>
      <c r="C145" vm="927">
        <f ca="1"/>
        <v>4.28</v>
      </c>
      <c r="D145" vm="928">
        <f ca="1"/>
        <v>4.08</v>
      </c>
    </row>
    <row r="146" spans="1:4" x14ac:dyDescent="0.25">
      <c r="A146" vm="70">
        <f ca="1"/>
        <v>45869</v>
      </c>
      <c r="B146" vm="929">
        <f ca="1"/>
        <v>3.98</v>
      </c>
      <c r="C146" vm="926">
        <f ca="1"/>
        <v>4.1900000000000004</v>
      </c>
      <c r="D146" vm="930">
        <f ca="1"/>
        <v>3.96</v>
      </c>
    </row>
    <row r="147" spans="1:4" x14ac:dyDescent="0.25">
      <c r="A147" vm="78">
        <f ca="1"/>
        <v>45870</v>
      </c>
      <c r="B147" vm="931">
        <f ca="1"/>
        <v>3.79</v>
      </c>
      <c r="C147" vm="932">
        <f ca="1"/>
        <v>3.95</v>
      </c>
      <c r="D147" vm="933">
        <f ca="1"/>
        <v>3.74</v>
      </c>
    </row>
    <row r="148" spans="1:4" x14ac:dyDescent="0.25">
      <c r="A148" vm="85">
        <f ca="1"/>
        <v>45873</v>
      </c>
      <c r="B148" vm="934">
        <f ca="1"/>
        <v>3.9</v>
      </c>
      <c r="C148" vm="935">
        <f ca="1"/>
        <v>3.94</v>
      </c>
      <c r="D148" vm="931">
        <f ca="1"/>
        <v>3.79</v>
      </c>
    </row>
    <row r="149" spans="1:4" x14ac:dyDescent="0.25">
      <c r="A149" vm="92">
        <f ca="1"/>
        <v>45874</v>
      </c>
      <c r="B149" vm="936">
        <f ca="1"/>
        <v>3.89</v>
      </c>
      <c r="C149" vm="935">
        <f ca="1"/>
        <v>3.94</v>
      </c>
      <c r="D149" vm="937">
        <f ca="1"/>
        <v>3.8650000000000002</v>
      </c>
    </row>
    <row r="150" spans="1:4" x14ac:dyDescent="0.25">
      <c r="A150" vm="100">
        <f ca="1"/>
        <v>45875</v>
      </c>
      <c r="B150" vm="934">
        <f ca="1"/>
        <v>3.9</v>
      </c>
      <c r="C150" vm="938">
        <f ca="1"/>
        <v>3.9449999999999998</v>
      </c>
      <c r="D150" vm="939">
        <f ca="1"/>
        <v>3.85</v>
      </c>
    </row>
    <row r="151" spans="1:4" x14ac:dyDescent="0.25">
      <c r="A151" vm="108">
        <f ca="1"/>
        <v>45876</v>
      </c>
      <c r="B151" vm="940">
        <f ca="1"/>
        <v>3.86</v>
      </c>
      <c r="C151" vm="941">
        <f ca="1"/>
        <v>4.18</v>
      </c>
      <c r="D151" vm="942">
        <f ca="1"/>
        <v>3.8050000000000002</v>
      </c>
    </row>
    <row r="152" spans="1:4" x14ac:dyDescent="0.25">
      <c r="A152" vm="115">
        <f ca="1"/>
        <v>45877</v>
      </c>
      <c r="B152" vm="903">
        <f ca="1"/>
        <v>4.37</v>
      </c>
      <c r="C152" vm="943">
        <f ca="1"/>
        <v>4.3899999999999997</v>
      </c>
      <c r="D152" vm="944">
        <f ca="1"/>
        <v>3.9024999999999999</v>
      </c>
    </row>
    <row r="153" spans="1:4" x14ac:dyDescent="0.25">
      <c r="A153" vm="122">
        <f ca="1"/>
        <v>45880</v>
      </c>
      <c r="B153" vm="899">
        <f ca="1"/>
        <v>4.57</v>
      </c>
      <c r="C153" vm="945">
        <f ca="1"/>
        <v>4.63</v>
      </c>
      <c r="D153" vm="943">
        <f ca="1"/>
        <v>4.3899999999999997</v>
      </c>
    </row>
    <row r="154" spans="1:4" x14ac:dyDescent="0.25">
      <c r="A154" vm="128">
        <f ca="1"/>
        <v>45881</v>
      </c>
      <c r="B154" vm="946">
        <f ca="1"/>
        <v>4.66</v>
      </c>
      <c r="C154" vm="897">
        <f ca="1"/>
        <v>4.7249999999999996</v>
      </c>
      <c r="D154" vm="947">
        <f ca="1"/>
        <v>4.5199999999999996</v>
      </c>
    </row>
    <row r="155" spans="1:4" x14ac:dyDescent="0.25">
      <c r="A155" vm="135">
        <f ca="1"/>
        <v>45882</v>
      </c>
      <c r="B155" vm="856">
        <f ca="1"/>
        <v>5.17</v>
      </c>
      <c r="C155" vm="948">
        <f ca="1"/>
        <v>5.1749999999999998</v>
      </c>
      <c r="D155" vm="949">
        <f ca="1"/>
        <v>4.9215999999999998</v>
      </c>
    </row>
    <row r="156" spans="1:4" x14ac:dyDescent="0.25">
      <c r="A156" vm="142">
        <f ca="1"/>
        <v>45883</v>
      </c>
      <c r="B156" vm="950">
        <f ca="1"/>
        <v>5.58</v>
      </c>
      <c r="C156" vm="951">
        <f ca="1"/>
        <v>5.6050000000000004</v>
      </c>
      <c r="D156" vm="870">
        <f ca="1"/>
        <v>5.08</v>
      </c>
    </row>
    <row r="157" spans="1:4" x14ac:dyDescent="0.25">
      <c r="A157" vm="146">
        <f ca="1"/>
        <v>45884</v>
      </c>
      <c r="B157" vm="952">
        <f ca="1"/>
        <v>5.44</v>
      </c>
      <c r="C157" vm="953">
        <f ca="1"/>
        <v>5.625</v>
      </c>
      <c r="D157" vm="852">
        <f ca="1"/>
        <v>5.42</v>
      </c>
    </row>
    <row r="158" spans="1:4" x14ac:dyDescent="0.25">
      <c r="A158" vm="154">
        <f ca="1"/>
        <v>45887</v>
      </c>
      <c r="B158" vm="954">
        <f ca="1"/>
        <v>5.41</v>
      </c>
      <c r="C158" vm="950">
        <f ca="1"/>
        <v>5.58</v>
      </c>
      <c r="D158" vm="805">
        <f ca="1"/>
        <v>5.39</v>
      </c>
    </row>
    <row r="159" spans="1:4" x14ac:dyDescent="0.25">
      <c r="A159" vm="161">
        <f ca="1"/>
        <v>45888</v>
      </c>
      <c r="B159" vm="955">
        <f ca="1"/>
        <v>5.35</v>
      </c>
      <c r="C159" vm="954">
        <f ca="1"/>
        <v>5.41</v>
      </c>
      <c r="D159" vm="854">
        <f ca="1"/>
        <v>5.26</v>
      </c>
    </row>
    <row r="160" spans="1:4" x14ac:dyDescent="0.25">
      <c r="A160" vm="168">
        <f ca="1"/>
        <v>45889</v>
      </c>
      <c r="B160" vm="955">
        <f ca="1"/>
        <v>5.35</v>
      </c>
      <c r="C160" vm="805">
        <f ca="1"/>
        <v>5.39</v>
      </c>
      <c r="D160" vm="956">
        <f ca="1"/>
        <v>5.29</v>
      </c>
    </row>
    <row r="161" spans="1:4" x14ac:dyDescent="0.25">
      <c r="A161" vm="174">
        <f ca="1"/>
        <v>45890</v>
      </c>
      <c r="B161" vm="957">
        <f ca="1"/>
        <v>5.5</v>
      </c>
      <c r="C161" vm="958">
        <f ca="1"/>
        <v>5.53</v>
      </c>
      <c r="D161" vm="854">
        <f ca="1"/>
        <v>5.26</v>
      </c>
    </row>
    <row r="162" spans="1:4" x14ac:dyDescent="0.25">
      <c r="A162" vm="180">
        <f ca="1"/>
        <v>45891</v>
      </c>
      <c r="B162" vm="959">
        <f ca="1"/>
        <v>5.55</v>
      </c>
      <c r="C162" vm="850">
        <f ca="1"/>
        <v>5.72</v>
      </c>
      <c r="D162" vm="803">
        <f ca="1"/>
        <v>5.51</v>
      </c>
    </row>
    <row r="163" spans="1:4" x14ac:dyDescent="0.25">
      <c r="A163" vm="186">
        <f ca="1"/>
        <v>45894</v>
      </c>
      <c r="B163" vm="805">
        <f ca="1"/>
        <v>5.39</v>
      </c>
      <c r="C163" vm="960">
        <f ca="1"/>
        <v>5.54</v>
      </c>
      <c r="D163" vm="857">
        <f ca="1"/>
        <v>5.32</v>
      </c>
    </row>
    <row r="164" spans="1:4" x14ac:dyDescent="0.25">
      <c r="A164" vm="193">
        <f ca="1"/>
        <v>45895</v>
      </c>
      <c r="B164" vm="853">
        <f ca="1"/>
        <v>5.4</v>
      </c>
      <c r="C164" vm="961">
        <f ca="1"/>
        <v>5.43</v>
      </c>
      <c r="D164" vm="962">
        <f ca="1"/>
        <v>5.33</v>
      </c>
    </row>
    <row r="165" spans="1:4" x14ac:dyDescent="0.25">
      <c r="A165" vm="199">
        <f ca="1"/>
        <v>45896</v>
      </c>
      <c r="B165" vm="829">
        <f ca="1"/>
        <v>5.49</v>
      </c>
      <c r="C165" vm="963">
        <f ca="1"/>
        <v>5.5250000000000004</v>
      </c>
      <c r="D165" vm="964">
        <f ca="1"/>
        <v>5.375</v>
      </c>
    </row>
    <row r="166" spans="1:4" x14ac:dyDescent="0.25">
      <c r="A166" vm="206">
        <f ca="1"/>
        <v>45897</v>
      </c>
      <c r="B166" vm="965">
        <f ca="1"/>
        <v>5.48</v>
      </c>
      <c r="C166" vm="960">
        <f ca="1"/>
        <v>5.54</v>
      </c>
      <c r="D166" vm="966">
        <f ca="1"/>
        <v>5.415</v>
      </c>
    </row>
    <row r="167" spans="1:4" x14ac:dyDescent="0.25">
      <c r="A167" vm="210">
        <f ca="1"/>
        <v>45898</v>
      </c>
      <c r="B167" vm="965">
        <f ca="1"/>
        <v>5.48</v>
      </c>
      <c r="C167" vm="967">
        <f ca="1"/>
        <v>5.4950000000000001</v>
      </c>
      <c r="D167" vm="968">
        <f ca="1"/>
        <v>5.3449999999999998</v>
      </c>
    </row>
    <row r="168" spans="1:4" x14ac:dyDescent="0.25">
      <c r="A168" vm="216">
        <f ca="1"/>
        <v>45902</v>
      </c>
      <c r="B168" vm="828">
        <f ca="1"/>
        <v>5.63</v>
      </c>
      <c r="C168" vm="827">
        <f ca="1"/>
        <v>5.67</v>
      </c>
      <c r="D168" vm="969">
        <f ca="1"/>
        <v>5.37</v>
      </c>
    </row>
    <row r="169" spans="1:4" x14ac:dyDescent="0.25">
      <c r="A169" vm="223">
        <f ca="1"/>
        <v>45903</v>
      </c>
      <c r="B169" vm="829">
        <f ca="1"/>
        <v>5.49</v>
      </c>
      <c r="C169" vm="970">
        <f ca="1"/>
        <v>5.6449999999999996</v>
      </c>
      <c r="D169" vm="852">
        <f ca="1"/>
        <v>5.42</v>
      </c>
    </row>
    <row r="170" spans="1:4" x14ac:dyDescent="0.25">
      <c r="A170" vm="229">
        <f ca="1"/>
        <v>45904</v>
      </c>
      <c r="B170" vm="831">
        <f ca="1"/>
        <v>5.47</v>
      </c>
      <c r="C170" vm="957">
        <f ca="1"/>
        <v>5.5</v>
      </c>
      <c r="D170" vm="971">
        <f ca="1"/>
        <v>5.3650000000000002</v>
      </c>
    </row>
    <row r="171" spans="1:4" x14ac:dyDescent="0.25">
      <c r="A171" vm="235">
        <f ca="1"/>
        <v>45905</v>
      </c>
      <c r="B171" vm="969">
        <f ca="1"/>
        <v>5.37</v>
      </c>
      <c r="C171" vm="851">
        <f ca="1"/>
        <v>5.57</v>
      </c>
      <c r="D171" vm="962">
        <f ca="1"/>
        <v>5.33</v>
      </c>
    </row>
    <row r="172" spans="1:4" x14ac:dyDescent="0.25">
      <c r="A172" vm="242">
        <f ca="1"/>
        <v>45908</v>
      </c>
      <c r="B172" vm="814">
        <f ca="1"/>
        <v>5.61</v>
      </c>
      <c r="C172" vm="828">
        <f ca="1"/>
        <v>5.63</v>
      </c>
      <c r="D172" vm="972">
        <f ca="1"/>
        <v>5.38</v>
      </c>
    </row>
    <row r="173" spans="1:4" x14ac:dyDescent="0.25">
      <c r="A173" vm="250">
        <f ca="1"/>
        <v>45909</v>
      </c>
      <c r="B173" vm="973">
        <f ca="1"/>
        <v>5.4850000000000003</v>
      </c>
      <c r="C173" vm="822">
        <f ca="1"/>
        <v>5.6</v>
      </c>
      <c r="D173" vm="974">
        <f ca="1"/>
        <v>5.4249999999999998</v>
      </c>
    </row>
    <row r="174" spans="1:4" x14ac:dyDescent="0.25">
      <c r="A174" vm="257">
        <f ca="1"/>
        <v>45910</v>
      </c>
      <c r="B174" vm="856">
        <f ca="1"/>
        <v>5.17</v>
      </c>
      <c r="C174" vm="831">
        <f ca="1"/>
        <v>5.47</v>
      </c>
      <c r="D174" vm="871">
        <f ca="1"/>
        <v>5.13</v>
      </c>
    </row>
    <row r="175" spans="1:4" x14ac:dyDescent="0.25">
      <c r="A175" vm="264">
        <f ca="1"/>
        <v>45911</v>
      </c>
      <c r="B175" vm="975">
        <f ca="1"/>
        <v>5.34</v>
      </c>
      <c r="C175" vm="955">
        <f ca="1"/>
        <v>5.35</v>
      </c>
      <c r="D175" vm="858">
        <f ca="1"/>
        <v>5.16</v>
      </c>
    </row>
    <row r="176" spans="1:4" x14ac:dyDescent="0.25">
      <c r="A176" vm="271">
        <f ca="1"/>
        <v>45912</v>
      </c>
      <c r="B176" vm="976">
        <f ca="1"/>
        <v>5.23</v>
      </c>
      <c r="C176" vm="977">
        <f ca="1"/>
        <v>5.298</v>
      </c>
      <c r="D176" vm="978">
        <f ca="1"/>
        <v>5.2</v>
      </c>
    </row>
    <row r="177" spans="1:4" x14ac:dyDescent="0.25">
      <c r="A177" vm="279">
        <f ca="1"/>
        <v>45915</v>
      </c>
      <c r="B177" vm="979">
        <f ca="1"/>
        <v>5.18</v>
      </c>
      <c r="C177" vm="980">
        <f ca="1"/>
        <v>5.3049999999999997</v>
      </c>
      <c r="D177" vm="856">
        <f ca="1"/>
        <v>5.17</v>
      </c>
    </row>
    <row r="178" spans="1:4" x14ac:dyDescent="0.25">
      <c r="A178" vm="285">
        <f ca="1"/>
        <v>45916</v>
      </c>
      <c r="B178" vm="976">
        <f ca="1"/>
        <v>5.23</v>
      </c>
      <c r="C178" vm="981">
        <f ca="1"/>
        <v>5.28</v>
      </c>
      <c r="D178" vm="982">
        <f ca="1"/>
        <v>5.1100000000000003</v>
      </c>
    </row>
    <row r="179" spans="1:4" x14ac:dyDescent="0.25">
      <c r="A179" vm="292">
        <f ca="1"/>
        <v>45917</v>
      </c>
      <c r="B179" vm="860">
        <f ca="1"/>
        <v>5.15</v>
      </c>
      <c r="C179" vm="983">
        <f ca="1"/>
        <v>5.3949999999999996</v>
      </c>
      <c r="D179" vm="871">
        <f ca="1"/>
        <v>5.13</v>
      </c>
    </row>
    <row r="180" spans="1:4" x14ac:dyDescent="0.25">
      <c r="A180" vm="298">
        <f ca="1"/>
        <v>45918</v>
      </c>
      <c r="B180" vm="969">
        <f ca="1"/>
        <v>5.37</v>
      </c>
      <c r="C180" vm="972">
        <f ca="1"/>
        <v>5.38</v>
      </c>
      <c r="D180" vm="979">
        <f ca="1"/>
        <v>5.18</v>
      </c>
    </row>
    <row r="181" spans="1:4" x14ac:dyDescent="0.25">
      <c r="A181" vm="303">
        <f ca="1"/>
        <v>45919</v>
      </c>
      <c r="B181" vm="976">
        <f ca="1"/>
        <v>5.23</v>
      </c>
      <c r="C181" vm="853">
        <f ca="1"/>
        <v>5.4</v>
      </c>
      <c r="D181" vm="978">
        <f ca="1"/>
        <v>5.2</v>
      </c>
    </row>
    <row r="182" spans="1:4" x14ac:dyDescent="0.25">
      <c r="A182" vm="310">
        <f ca="1"/>
        <v>45922</v>
      </c>
      <c r="B182" vm="972">
        <f ca="1"/>
        <v>5.38</v>
      </c>
      <c r="C182" vm="805">
        <f ca="1"/>
        <v>5.39</v>
      </c>
      <c r="D182" vm="856">
        <f ca="1"/>
        <v>5.17</v>
      </c>
    </row>
    <row r="183" spans="1:4" x14ac:dyDescent="0.25">
      <c r="A183" vm="317">
        <f ca="1"/>
        <v>45923</v>
      </c>
      <c r="B183" vm="955">
        <f ca="1"/>
        <v>5.35</v>
      </c>
      <c r="C183" vm="957">
        <f ca="1"/>
        <v>5.5</v>
      </c>
      <c r="D183" vm="975">
        <f ca="1"/>
        <v>5.34</v>
      </c>
    </row>
    <row r="184" spans="1:4" x14ac:dyDescent="0.25">
      <c r="A184" vm="323">
        <f ca="1"/>
        <v>45924</v>
      </c>
      <c r="B184" vm="954">
        <f ca="1"/>
        <v>5.41</v>
      </c>
      <c r="C184" vm="984">
        <f ca="1"/>
        <v>5.46</v>
      </c>
      <c r="D184" vm="985">
        <f ca="1"/>
        <v>5.3101000000000003</v>
      </c>
    </row>
    <row r="185" spans="1:4" x14ac:dyDescent="0.25">
      <c r="A185" vm="328">
        <f ca="1"/>
        <v>45925</v>
      </c>
      <c r="B185" vm="854">
        <f ca="1"/>
        <v>5.26</v>
      </c>
      <c r="C185" vm="805">
        <f ca="1"/>
        <v>5.39</v>
      </c>
      <c r="D185" vm="856">
        <f ca="1"/>
        <v>5.17</v>
      </c>
    </row>
    <row r="186" spans="1:4" x14ac:dyDescent="0.25">
      <c r="A186" vm="334">
        <f ca="1"/>
        <v>45926</v>
      </c>
      <c r="B186" vm="852">
        <f ca="1"/>
        <v>5.42</v>
      </c>
      <c r="C186" vm="974">
        <f ca="1"/>
        <v>5.4249999999999998</v>
      </c>
      <c r="D186" vm="976">
        <f ca="1"/>
        <v>5.23</v>
      </c>
    </row>
    <row r="187" spans="1:4" x14ac:dyDescent="0.25">
      <c r="A187" vm="340">
        <f ca="1"/>
        <v>45929</v>
      </c>
      <c r="B187" vm="852">
        <f ca="1"/>
        <v>5.42</v>
      </c>
      <c r="C187" vm="950">
        <f ca="1"/>
        <v>5.58</v>
      </c>
      <c r="D187" vm="954">
        <f ca="1"/>
        <v>5.41</v>
      </c>
    </row>
    <row r="188" spans="1:4" x14ac:dyDescent="0.25">
      <c r="A188" vm="346">
        <f ca="1"/>
        <v>45930</v>
      </c>
      <c r="B188" vm="957">
        <f ca="1"/>
        <v>5.5</v>
      </c>
      <c r="C188" vm="986">
        <f ca="1"/>
        <v>5.52</v>
      </c>
      <c r="D188" vm="805">
        <f ca="1"/>
        <v>5.39</v>
      </c>
    </row>
    <row r="189" spans="1:4" x14ac:dyDescent="0.25">
      <c r="A189" vm="352">
        <f ca="1"/>
        <v>45931</v>
      </c>
      <c r="B189" vm="987">
        <f ca="1"/>
        <v>5.45</v>
      </c>
      <c r="C189" vm="957">
        <f ca="1"/>
        <v>5.5</v>
      </c>
      <c r="D189" vm="962">
        <f ca="1"/>
        <v>5.33</v>
      </c>
    </row>
    <row r="190" spans="1:4" x14ac:dyDescent="0.25">
      <c r="A190" vm="357">
        <f ca="1"/>
        <v>45932</v>
      </c>
      <c r="B190" vm="955">
        <f ca="1"/>
        <v>5.35</v>
      </c>
      <c r="C190" vm="988">
        <f ca="1"/>
        <v>5.5049999999999999</v>
      </c>
      <c r="D190" vm="989">
        <f ca="1"/>
        <v>5.27</v>
      </c>
    </row>
    <row r="191" spans="1:4" x14ac:dyDescent="0.25">
      <c r="A191" vm="362">
        <f ca="1"/>
        <v>45933</v>
      </c>
      <c r="B191" vm="803">
        <f ca="1"/>
        <v>5.51</v>
      </c>
      <c r="C191" vm="953">
        <f ca="1"/>
        <v>5.625</v>
      </c>
      <c r="D191" vm="805">
        <f ca="1"/>
        <v>5.39</v>
      </c>
    </row>
    <row r="192" spans="1:4" x14ac:dyDescent="0.25">
      <c r="A192" vm="370">
        <f ca="1"/>
        <v>45936</v>
      </c>
      <c r="B192" vm="814">
        <f ca="1"/>
        <v>5.61</v>
      </c>
      <c r="C192" vm="850">
        <f ca="1"/>
        <v>5.72</v>
      </c>
      <c r="D192" vm="963">
        <f ca="1"/>
        <v>5.5250000000000004</v>
      </c>
    </row>
    <row r="193" spans="1:4" x14ac:dyDescent="0.25">
      <c r="A193" vm="378">
        <f ca="1"/>
        <v>45937</v>
      </c>
      <c r="B193" vm="958">
        <f ca="1"/>
        <v>5.53</v>
      </c>
      <c r="C193" vm="990">
        <f ca="1"/>
        <v>5.6349999999999998</v>
      </c>
      <c r="D193" vm="988">
        <f ca="1"/>
        <v>5.5049999999999999</v>
      </c>
    </row>
    <row r="194" spans="1:4" x14ac:dyDescent="0.25">
      <c r="A194" vm="383">
        <f ca="1"/>
        <v>45938</v>
      </c>
      <c r="B194" vm="991">
        <f ca="1"/>
        <v>5.64</v>
      </c>
      <c r="C194" vm="992">
        <f ca="1"/>
        <v>5.66</v>
      </c>
      <c r="D194" vm="984">
        <f ca="1"/>
        <v>5.46</v>
      </c>
    </row>
    <row r="195" spans="1:4" x14ac:dyDescent="0.25">
      <c r="A195" vm="389">
        <f ca="1"/>
        <v>45939</v>
      </c>
      <c r="B195" vm="993">
        <f ca="1"/>
        <v>5.36</v>
      </c>
      <c r="C195" vm="991">
        <f ca="1"/>
        <v>5.64</v>
      </c>
      <c r="D195" vm="993">
        <f ca="1"/>
        <v>5.36</v>
      </c>
    </row>
    <row r="196" spans="1:4" x14ac:dyDescent="0.25">
      <c r="A196" vm="395">
        <f ca="1"/>
        <v>45940</v>
      </c>
      <c r="B196" vm="994">
        <f ca="1"/>
        <v>5.05</v>
      </c>
      <c r="C196" vm="853">
        <f ca="1"/>
        <v>5.4</v>
      </c>
      <c r="D196" vm="995">
        <f ca="1"/>
        <v>5.0350000000000001</v>
      </c>
    </row>
    <row r="197" spans="1:4" x14ac:dyDescent="0.25">
      <c r="A197" vm="402">
        <f ca="1"/>
        <v>45943</v>
      </c>
      <c r="B197" vm="982">
        <f ca="1"/>
        <v>5.1100000000000003</v>
      </c>
      <c r="C197" vm="871">
        <f ca="1"/>
        <v>5.13</v>
      </c>
      <c r="D197" vm="996">
        <f ca="1"/>
        <v>5.0049999999999999</v>
      </c>
    </row>
    <row r="198" spans="1:4" x14ac:dyDescent="0.25">
      <c r="A198" vm="407">
        <f ca="1"/>
        <v>45944</v>
      </c>
      <c r="B198" vm="873">
        <f ca="1"/>
        <v>5.09</v>
      </c>
      <c r="C198" vm="858">
        <f ca="1"/>
        <v>5.16</v>
      </c>
      <c r="D198" vm="861">
        <f ca="1"/>
        <v>5.0199999999999996</v>
      </c>
    </row>
    <row r="199" spans="1:4" x14ac:dyDescent="0.25">
      <c r="A199" vm="411">
        <f ca="1"/>
        <v>45945</v>
      </c>
      <c r="B199" vm="877">
        <f ca="1"/>
        <v>5.19</v>
      </c>
      <c r="C199" vm="997">
        <f ca="1"/>
        <v>5.2182000000000004</v>
      </c>
      <c r="D199" vm="998">
        <f ca="1"/>
        <v>5.0720000000000001</v>
      </c>
    </row>
    <row r="200" spans="1:4" x14ac:dyDescent="0.25">
      <c r="A200" vm="416">
        <f ca="1"/>
        <v>45946</v>
      </c>
      <c r="B200" vm="859">
        <f ca="1"/>
        <v>5.04</v>
      </c>
      <c r="C200" vm="999">
        <f ca="1"/>
        <v>5.3</v>
      </c>
      <c r="D200" vm="861">
        <f ca="1"/>
        <v>5.0199999999999996</v>
      </c>
    </row>
    <row r="201" spans="1:4" x14ac:dyDescent="0.25">
      <c r="A201" vm="422">
        <f ca="1"/>
        <v>45947</v>
      </c>
      <c r="B201" vm="859">
        <f ca="1"/>
        <v>5.04</v>
      </c>
      <c r="C201" vm="1000">
        <f ca="1"/>
        <v>5.1050000000000004</v>
      </c>
      <c r="D201" vm="1001">
        <f ca="1"/>
        <v>4.97</v>
      </c>
    </row>
    <row r="202" spans="1:4" x14ac:dyDescent="0.25">
      <c r="A202" vm="430">
        <f ca="1"/>
        <v>45950</v>
      </c>
      <c r="B202" vm="858">
        <f ca="1"/>
        <v>5.16</v>
      </c>
      <c r="C202" vm="1002">
        <f ca="1"/>
        <v>5.2398999999999996</v>
      </c>
      <c r="D202" vm="994">
        <f ca="1"/>
        <v>5.05</v>
      </c>
    </row>
    <row r="203" spans="1:4" x14ac:dyDescent="0.25">
      <c r="A203" vm="436">
        <f ca="1"/>
        <v>45951</v>
      </c>
      <c r="B203" vm="978">
        <f ca="1"/>
        <v>5.2</v>
      </c>
      <c r="C203" vm="1003">
        <f ca="1"/>
        <v>5.2450000000000001</v>
      </c>
      <c r="D203" vm="982">
        <f ca="1"/>
        <v>5.1100000000000003</v>
      </c>
    </row>
    <row r="204" spans="1:4" x14ac:dyDescent="0.25">
      <c r="A204" vm="442">
        <f ca="1"/>
        <v>45952</v>
      </c>
      <c r="B204" vm="982">
        <f ca="1"/>
        <v>5.1100000000000003</v>
      </c>
      <c r="C204" vm="1004">
        <f ca="1"/>
        <v>5.25</v>
      </c>
      <c r="D204" vm="1005">
        <f ca="1"/>
        <v>5.0750000000000002</v>
      </c>
    </row>
    <row r="205" spans="1:4" x14ac:dyDescent="0.25">
      <c r="A205" vm="448">
        <f ca="1"/>
        <v>45953</v>
      </c>
      <c r="B205" vm="1006">
        <f ca="1"/>
        <v>5.14</v>
      </c>
      <c r="C205" vm="1007">
        <f ca="1"/>
        <v>5.1550000000000002</v>
      </c>
      <c r="D205" vm="1008">
        <f ca="1"/>
        <v>5.0449999999999999</v>
      </c>
    </row>
    <row r="206" spans="1:4" x14ac:dyDescent="0.25">
      <c r="A206" vm="455">
        <f ca="1"/>
        <v>45954</v>
      </c>
      <c r="B206" vm="978">
        <f ca="1"/>
        <v>5.2</v>
      </c>
      <c r="C206" vm="1009">
        <f ca="1"/>
        <v>5.22</v>
      </c>
      <c r="D206" vm="860">
        <f ca="1"/>
        <v>5.15</v>
      </c>
    </row>
    <row r="207" spans="1:4" x14ac:dyDescent="0.25">
      <c r="A207" vm="462">
        <f ca="1"/>
        <v>45957</v>
      </c>
      <c r="B207" vm="982">
        <f ca="1"/>
        <v>5.1100000000000003</v>
      </c>
      <c r="C207" vm="1004">
        <f ca="1"/>
        <v>5.25</v>
      </c>
      <c r="D207" vm="873">
        <f ca="1"/>
        <v>5.09</v>
      </c>
    </row>
    <row r="208" spans="1:4" x14ac:dyDescent="0.25">
      <c r="A208" vm="467">
        <f ca="1"/>
        <v>45958</v>
      </c>
      <c r="B208" vm="875">
        <f ca="1"/>
        <v>5.0999999999999996</v>
      </c>
      <c r="C208" vm="860">
        <f ca="1"/>
        <v>5.15</v>
      </c>
      <c r="D208" vm="866">
        <f ca="1"/>
        <v>5.01</v>
      </c>
    </row>
    <row r="209" spans="1:4" x14ac:dyDescent="0.25">
      <c r="A209" vm="474">
        <f ca="1"/>
        <v>45959</v>
      </c>
      <c r="B209" vm="881">
        <f ca="1"/>
        <v>4.9800000000000004</v>
      </c>
      <c r="C209" vm="877">
        <f ca="1"/>
        <v>5.19</v>
      </c>
      <c r="D209" vm="868">
        <f ca="1"/>
        <v>4.96</v>
      </c>
    </row>
    <row r="210" spans="1:4" x14ac:dyDescent="0.25">
      <c r="A210" vm="481">
        <f ca="1"/>
        <v>45960</v>
      </c>
      <c r="B210" vm="1010">
        <f ca="1"/>
        <v>4.91</v>
      </c>
      <c r="C210" vm="995">
        <f ca="1"/>
        <v>5.0350000000000001</v>
      </c>
      <c r="D210" vm="1011">
        <f ca="1"/>
        <v>4.8899999999999997</v>
      </c>
    </row>
    <row r="211" spans="1:4" x14ac:dyDescent="0.25">
      <c r="A211" vm="487">
        <f ca="1"/>
        <v>45961</v>
      </c>
      <c r="B211" vm="1012">
        <f ca="1"/>
        <v>4.9000000000000004</v>
      </c>
      <c r="C211" vm="1013">
        <f ca="1"/>
        <v>4.9749999999999996</v>
      </c>
      <c r="D211" vm="1014">
        <f ca="1"/>
        <v>4.84</v>
      </c>
    </row>
    <row r="212" spans="1:4" x14ac:dyDescent="0.25">
      <c r="A212" vm="490">
        <f ca="1"/>
        <v>45964</v>
      </c>
      <c r="B212" vm="874">
        <f ca="1"/>
        <v>4.92</v>
      </c>
      <c r="C212" vm="1001">
        <f ca="1"/>
        <v>4.97</v>
      </c>
      <c r="D212" vm="1015">
        <f ca="1"/>
        <v>4.7699999999999996</v>
      </c>
    </row>
    <row r="213" spans="1:4" x14ac:dyDescent="0.25">
      <c r="A213" vm="494">
        <f ca="1"/>
        <v>45965</v>
      </c>
      <c r="B213" vm="881">
        <f ca="1"/>
        <v>4.9800000000000004</v>
      </c>
      <c r="C213" vm="1016">
        <f ca="1"/>
        <v>5.0599999999999996</v>
      </c>
      <c r="D213" vm="1017">
        <f ca="1"/>
        <v>4.88</v>
      </c>
    </row>
    <row r="214" spans="1:4" x14ac:dyDescent="0.25">
      <c r="A214" vm="500">
        <f ca="1"/>
        <v>45966</v>
      </c>
      <c r="B214" vm="1018">
        <f ca="1"/>
        <v>4.8099999999999996</v>
      </c>
      <c r="C214" vm="1016">
        <f ca="1"/>
        <v>5.0599999999999996</v>
      </c>
      <c r="D214" vm="884">
        <f ca="1"/>
        <v>4.79</v>
      </c>
    </row>
    <row r="215" spans="1:4" x14ac:dyDescent="0.25">
      <c r="A215" vm="506">
        <f ca="1"/>
        <v>45967</v>
      </c>
      <c r="B215" vm="1019">
        <f ca="1"/>
        <v>6.25</v>
      </c>
      <c r="C215" vm="1020">
        <f ca="1"/>
        <v>6.3550000000000004</v>
      </c>
      <c r="D215" vm="875">
        <f ca="1"/>
        <v>5.0999999999999996</v>
      </c>
    </row>
    <row r="216" spans="1:4" x14ac:dyDescent="0.25">
      <c r="A216" vm="510">
        <f ca="1"/>
        <v>45968</v>
      </c>
      <c r="B216" vm="1021">
        <f ca="1"/>
        <v>6.29</v>
      </c>
      <c r="C216" vm="788">
        <f ca="1"/>
        <v>6.37</v>
      </c>
      <c r="D216" vm="815">
        <f ca="1"/>
        <v>5.87</v>
      </c>
    </row>
    <row r="217" spans="1:4" x14ac:dyDescent="0.25">
      <c r="A217" vm="514">
        <f ca="1"/>
        <v>45971</v>
      </c>
      <c r="B217" vm="797">
        <f ca="1"/>
        <v>6.43</v>
      </c>
      <c r="C217" vm="789">
        <f ca="1"/>
        <v>6.45</v>
      </c>
      <c r="D217" vm="1022">
        <f ca="1"/>
        <v>5.98</v>
      </c>
    </row>
    <row r="218" spans="1:4" x14ac:dyDescent="0.25">
      <c r="A218" vm="518">
        <f ca="1"/>
        <v>45972</v>
      </c>
      <c r="B218" vm="1023">
        <f ca="1"/>
        <v>6.47</v>
      </c>
      <c r="C218" vm="1024">
        <f ca="1"/>
        <v>6.4950000000000001</v>
      </c>
      <c r="D218" vm="1025">
        <f ca="1"/>
        <v>6.33</v>
      </c>
    </row>
    <row r="219" spans="1:4" x14ac:dyDescent="0.25">
      <c r="A219" vm="521">
        <f ca="1"/>
        <v>45973</v>
      </c>
      <c r="B219" vm="1026">
        <f ca="1"/>
        <v>6.44</v>
      </c>
      <c r="C219" vm="791">
        <f ca="1"/>
        <v>6.49</v>
      </c>
      <c r="D219" vm="1027">
        <f ca="1"/>
        <v>6.3150000000000004</v>
      </c>
    </row>
    <row r="220" spans="1:4" x14ac:dyDescent="0.25">
      <c r="A220" vm="525">
        <f ca="1"/>
        <v>45974</v>
      </c>
      <c r="B220" vm="793">
        <f ca="1"/>
        <v>6.31</v>
      </c>
      <c r="C220" vm="777">
        <f ca="1"/>
        <v>6.5949999999999998</v>
      </c>
      <c r="D220" vm="1028">
        <f ca="1"/>
        <v>6.2949999999999999</v>
      </c>
    </row>
    <row r="221" spans="1:4" x14ac:dyDescent="0.25">
      <c r="A221" vm="528">
        <f ca="1"/>
        <v>45975</v>
      </c>
      <c r="B221" vm="1029">
        <f ca="1"/>
        <v>6.4</v>
      </c>
      <c r="C221" vm="1030">
        <f ca="1"/>
        <v>6.42</v>
      </c>
      <c r="D221" vm="783">
        <f ca="1"/>
        <v>6.16</v>
      </c>
    </row>
    <row r="222" spans="1:4" x14ac:dyDescent="0.25">
      <c r="A222" vm="533">
        <f ca="1"/>
        <v>45978</v>
      </c>
      <c r="B222" vm="1019">
        <f ca="1"/>
        <v>6.25</v>
      </c>
      <c r="C222" vm="795">
        <f ca="1"/>
        <v>6.4349999999999996</v>
      </c>
      <c r="D222" vm="790">
        <f ca="1"/>
        <v>6.21</v>
      </c>
    </row>
    <row r="223" spans="1:4" x14ac:dyDescent="0.25">
      <c r="A223" vm="540">
        <f ca="1"/>
        <v>45979</v>
      </c>
      <c r="B223" vm="1031">
        <f ca="1"/>
        <v>6.2</v>
      </c>
      <c r="C223" vm="1032">
        <f ca="1"/>
        <v>6.2450000000000001</v>
      </c>
      <c r="D223" vm="1033">
        <f ca="1"/>
        <v>6.0149999999999997</v>
      </c>
    </row>
    <row r="224" spans="1:4" x14ac:dyDescent="0.25">
      <c r="A224" vm="543">
        <f ca="1"/>
        <v>45980</v>
      </c>
      <c r="B224" vm="836">
        <f ca="1"/>
        <v>6.18</v>
      </c>
      <c r="C224" vm="1034">
        <f ca="1"/>
        <v>6.28</v>
      </c>
      <c r="D224" vm="843">
        <f ca="1"/>
        <v>6.05</v>
      </c>
    </row>
    <row r="225" spans="1:4" x14ac:dyDescent="0.25">
      <c r="A225" vm="548">
        <f ca="1"/>
        <v>45981</v>
      </c>
      <c r="B225" vm="836">
        <f ca="1"/>
        <v>6.18</v>
      </c>
      <c r="C225" vm="1035">
        <f ca="1"/>
        <v>6.36</v>
      </c>
      <c r="D225" vm="838">
        <f ca="1"/>
        <v>6.12</v>
      </c>
    </row>
    <row r="226" spans="1:4" x14ac:dyDescent="0.25">
      <c r="A226" vm="553">
        <f ca="1"/>
        <v>45982</v>
      </c>
      <c r="B226" vm="1026">
        <f ca="1"/>
        <v>6.44</v>
      </c>
      <c r="C226" vm="1036">
        <f ca="1"/>
        <v>6.5057999999999998</v>
      </c>
      <c r="D226" vm="1037">
        <f ca="1"/>
        <v>6.09</v>
      </c>
    </row>
    <row r="227" spans="1:4" x14ac:dyDescent="0.25">
      <c r="A227" vm="559">
        <f ca="1"/>
        <v>45985</v>
      </c>
      <c r="B227" vm="791">
        <f ca="1"/>
        <v>6.49</v>
      </c>
      <c r="C227" vm="1038">
        <f ca="1"/>
        <v>6.6679000000000004</v>
      </c>
      <c r="D227" vm="1039">
        <f ca="1"/>
        <v>6.4649999999999999</v>
      </c>
    </row>
    <row r="228" spans="1:4" x14ac:dyDescent="0.25">
      <c r="A228" vm="562">
        <f ca="1"/>
        <v>45986</v>
      </c>
      <c r="B228" vm="764">
        <f ca="1"/>
        <v>6.63</v>
      </c>
      <c r="C228" vm="1040">
        <f ca="1"/>
        <v>6.6550000000000002</v>
      </c>
      <c r="D228" vm="1023">
        <f ca="1"/>
        <v>6.47</v>
      </c>
    </row>
    <row r="229" spans="1:4" x14ac:dyDescent="0.25">
      <c r="A229" vm="566">
        <f ca="1"/>
        <v>45987</v>
      </c>
      <c r="B229" vm="766">
        <f ca="1"/>
        <v>6.56</v>
      </c>
      <c r="C229" vm="764">
        <f ca="1"/>
        <v>6.63</v>
      </c>
      <c r="D229" vm="1041">
        <f ca="1"/>
        <v>6.4440999999999997</v>
      </c>
    </row>
    <row r="230" spans="1:4" x14ac:dyDescent="0.25">
      <c r="A230" vm="572">
        <f ca="1"/>
        <v>45989</v>
      </c>
      <c r="B230" vm="792">
        <f ca="1"/>
        <v>6.5</v>
      </c>
      <c r="C230" vm="769">
        <f ca="1"/>
        <v>6.64</v>
      </c>
      <c r="D230" vm="1024">
        <f ca="1"/>
        <v>6.4950000000000001</v>
      </c>
    </row>
    <row r="231" spans="1:4" x14ac:dyDescent="0.25">
      <c r="A231" vm="574">
        <f ca="1"/>
        <v>45992</v>
      </c>
      <c r="B231" vm="1042">
        <f ca="1"/>
        <v>6.41</v>
      </c>
      <c r="C231" vm="759">
        <f ca="1"/>
        <v>6.52</v>
      </c>
      <c r="D231" vm="1043">
        <f ca="1"/>
        <v>6.3601000000000001</v>
      </c>
    </row>
    <row r="232" spans="1:4" x14ac:dyDescent="0.25">
      <c r="A232" vm="579">
        <f ca="1"/>
        <v>45993</v>
      </c>
      <c r="B232" vm="1044">
        <f ca="1"/>
        <v>6.3</v>
      </c>
      <c r="C232" vm="797">
        <f ca="1"/>
        <v>6.43</v>
      </c>
      <c r="D232" vm="1044">
        <f ca="1"/>
        <v>6.3</v>
      </c>
    </row>
    <row r="233" spans="1:4" x14ac:dyDescent="0.25">
      <c r="A233" vm="581">
        <f ca="1"/>
        <v>45994</v>
      </c>
      <c r="B233" vm="1029">
        <f ca="1"/>
        <v>6.4</v>
      </c>
      <c r="C233" vm="797">
        <f ca="1"/>
        <v>6.43</v>
      </c>
      <c r="D233" vm="1045">
        <f ca="1"/>
        <v>6.2549999999999999</v>
      </c>
    </row>
    <row r="234" spans="1:4" x14ac:dyDescent="0.25">
      <c r="A234" vm="585">
        <f ca="1"/>
        <v>45995</v>
      </c>
      <c r="B234" vm="1046">
        <f ca="1"/>
        <v>6.46</v>
      </c>
      <c r="C234" vm="768">
        <f ca="1"/>
        <v>6.48</v>
      </c>
      <c r="D234" vm="1028">
        <f ca="1"/>
        <v>6.2949999999999999</v>
      </c>
    </row>
    <row r="235" spans="1:4" x14ac:dyDescent="0.25">
      <c r="A235" vm="590">
        <f ca="1"/>
        <v>45996</v>
      </c>
      <c r="B235" vm="768">
        <f ca="1"/>
        <v>6.48</v>
      </c>
      <c r="C235" vm="791">
        <f ca="1"/>
        <v>6.49</v>
      </c>
      <c r="D235" vm="1047">
        <f ca="1"/>
        <v>6.35</v>
      </c>
    </row>
    <row r="236" spans="1:4" x14ac:dyDescent="0.25">
      <c r="A236" vm="595">
        <f ca="1"/>
        <v>45999</v>
      </c>
      <c r="B236" vm="1042">
        <f ca="1"/>
        <v>6.41</v>
      </c>
      <c r="C236" vm="769">
        <f ca="1"/>
        <v>6.64</v>
      </c>
      <c r="D236" vm="1048">
        <f ca="1"/>
        <v>6.335</v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236"/>
  <sheetViews>
    <sheetView workbookViewId="0">
      <selection activeCell="G3" sqref="G3"/>
    </sheetView>
  </sheetViews>
  <sheetFormatPr defaultRowHeight="15" x14ac:dyDescent="0.25"/>
  <cols>
    <col min="1" max="1" width="9.42578125" bestFit="1" customWidth="1"/>
  </cols>
  <sheetData>
    <row r="1" spans="1:4" x14ac:dyDescent="0.25">
      <c r="A1" s="3" t="s">
        <v>21</v>
      </c>
      <c r="B1" s="3"/>
      <c r="C1" s="3"/>
      <c r="D1" s="3"/>
    </row>
    <row r="2" spans="1:4" x14ac:dyDescent="0.25">
      <c r="A2" t="str" cm="1">
        <f t="array" aca="1" ref="A2:D236" ca="1">_xlfn.STOCKHISTORY("NG", DATE(YEAR(TODAY()),1,1), TODAY(),0,1,0,1,3,4)</f>
        <v>Date</v>
      </c>
      <c r="B2" t="str">
        <f ca="1"/>
        <v>Close</v>
      </c>
      <c r="C2" t="str">
        <f ca="1"/>
        <v>High</v>
      </c>
      <c r="D2" t="str">
        <f ca="1"/>
        <v>Low</v>
      </c>
    </row>
    <row r="3" spans="1:4" x14ac:dyDescent="0.25">
      <c r="A3" vm="5">
        <f ca="1"/>
        <v>45659</v>
      </c>
      <c r="B3" vm="1049">
        <f ca="1"/>
        <v>3.43</v>
      </c>
      <c r="C3" vm="1050">
        <f ca="1"/>
        <v>3.52</v>
      </c>
      <c r="D3" vm="1051">
        <f ca="1"/>
        <v>3.34</v>
      </c>
    </row>
    <row r="4" spans="1:4" x14ac:dyDescent="0.25">
      <c r="A4" vm="13">
        <f ca="1"/>
        <v>45660</v>
      </c>
      <c r="B4" vm="1052">
        <f ca="1"/>
        <v>3.41</v>
      </c>
      <c r="C4" vm="1053">
        <f ca="1"/>
        <v>3.4449999999999998</v>
      </c>
      <c r="D4" vm="1054">
        <f ca="1"/>
        <v>3.37</v>
      </c>
    </row>
    <row r="5" spans="1:4" x14ac:dyDescent="0.25">
      <c r="A5" vm="21">
        <f ca="1"/>
        <v>45663</v>
      </c>
      <c r="B5" vm="1055">
        <f ca="1"/>
        <v>3.3</v>
      </c>
      <c r="C5" vm="1053">
        <f ca="1"/>
        <v>3.4449999999999998</v>
      </c>
      <c r="D5" vm="1056">
        <f ca="1"/>
        <v>3.29</v>
      </c>
    </row>
    <row r="6" spans="1:4" x14ac:dyDescent="0.25">
      <c r="A6" vm="29">
        <f ca="1"/>
        <v>45664</v>
      </c>
      <c r="B6" vm="1051">
        <f ca="1"/>
        <v>3.34</v>
      </c>
      <c r="C6" vm="1057">
        <f ca="1"/>
        <v>3.4599000000000002</v>
      </c>
      <c r="D6" vm="1058">
        <f ca="1"/>
        <v>3.32</v>
      </c>
    </row>
    <row r="7" spans="1:4" x14ac:dyDescent="0.25">
      <c r="A7" vm="35">
        <f ca="1"/>
        <v>45665</v>
      </c>
      <c r="B7" vm="1054">
        <f ca="1"/>
        <v>3.37</v>
      </c>
      <c r="C7" vm="1059">
        <f ca="1"/>
        <v>3.4</v>
      </c>
      <c r="D7" vm="1060">
        <f ca="1"/>
        <v>3.3250000000000002</v>
      </c>
    </row>
    <row r="8" spans="1:4" x14ac:dyDescent="0.25">
      <c r="A8" vm="43">
        <f ca="1"/>
        <v>45667</v>
      </c>
      <c r="B8" vm="1061">
        <f ca="1"/>
        <v>3.47</v>
      </c>
      <c r="C8" vm="1062">
        <f ca="1"/>
        <v>3.55</v>
      </c>
      <c r="D8" vm="1051">
        <f ca="1"/>
        <v>3.34</v>
      </c>
    </row>
    <row r="9" spans="1:4" x14ac:dyDescent="0.25">
      <c r="A9" vm="51">
        <f ca="1"/>
        <v>45670</v>
      </c>
      <c r="B9" vm="1063">
        <f ca="1"/>
        <v>3.26</v>
      </c>
      <c r="C9" vm="1064">
        <f ca="1"/>
        <v>3.4249999999999998</v>
      </c>
      <c r="D9" vm="1065">
        <f ca="1"/>
        <v>3.24</v>
      </c>
    </row>
    <row r="10" spans="1:4" x14ac:dyDescent="0.25">
      <c r="A10" vm="58">
        <f ca="1"/>
        <v>45671</v>
      </c>
      <c r="B10" vm="1055">
        <f ca="1"/>
        <v>3.3</v>
      </c>
      <c r="C10" vm="1058">
        <f ca="1"/>
        <v>3.32</v>
      </c>
      <c r="D10" vm="1066">
        <f ca="1"/>
        <v>3.19</v>
      </c>
    </row>
    <row r="11" spans="1:4" x14ac:dyDescent="0.25">
      <c r="A11" vm="66">
        <f ca="1"/>
        <v>45672</v>
      </c>
      <c r="B11" vm="1067">
        <f ca="1"/>
        <v>3.31</v>
      </c>
      <c r="C11" vm="1068">
        <f ca="1"/>
        <v>3.3889</v>
      </c>
      <c r="D11" vm="1055">
        <f ca="1"/>
        <v>3.3</v>
      </c>
    </row>
    <row r="12" spans="1:4" x14ac:dyDescent="0.25">
      <c r="A12" vm="74">
        <f ca="1"/>
        <v>45673</v>
      </c>
      <c r="B12" vm="1055">
        <f ca="1"/>
        <v>3.3</v>
      </c>
      <c r="C12" vm="1069">
        <f ca="1"/>
        <v>3.3450000000000002</v>
      </c>
      <c r="D12" vm="1065">
        <f ca="1"/>
        <v>3.24</v>
      </c>
    </row>
    <row r="13" spans="1:4" x14ac:dyDescent="0.25">
      <c r="A13" vm="81">
        <f ca="1"/>
        <v>45674</v>
      </c>
      <c r="B13" vm="1070">
        <f ca="1"/>
        <v>3.28</v>
      </c>
      <c r="C13" vm="1071">
        <f ca="1"/>
        <v>3.3149999999999999</v>
      </c>
      <c r="D13" vm="1072">
        <f ca="1"/>
        <v>3.25</v>
      </c>
    </row>
    <row r="14" spans="1:4" x14ac:dyDescent="0.25">
      <c r="A14" vm="88">
        <f ca="1"/>
        <v>45678</v>
      </c>
      <c r="B14" vm="1055">
        <f ca="1"/>
        <v>3.3</v>
      </c>
      <c r="C14" vm="1073">
        <f ca="1"/>
        <v>3.35</v>
      </c>
      <c r="D14" vm="1074">
        <f ca="1"/>
        <v>3.2650000000000001</v>
      </c>
    </row>
    <row r="15" spans="1:4" x14ac:dyDescent="0.25">
      <c r="A15" vm="96">
        <f ca="1"/>
        <v>45679</v>
      </c>
      <c r="B15" vm="1075">
        <f ca="1"/>
        <v>3.22</v>
      </c>
      <c r="C15" vm="1051">
        <f ca="1"/>
        <v>3.34</v>
      </c>
      <c r="D15" vm="1076">
        <f ca="1"/>
        <v>3.2</v>
      </c>
    </row>
    <row r="16" spans="1:4" x14ac:dyDescent="0.25">
      <c r="A16" vm="104">
        <f ca="1"/>
        <v>45680</v>
      </c>
      <c r="B16" vm="1077">
        <f ca="1"/>
        <v>3.15</v>
      </c>
      <c r="C16" vm="1078">
        <f ca="1"/>
        <v>3.33</v>
      </c>
      <c r="D16" vm="1079">
        <f ca="1"/>
        <v>3.1</v>
      </c>
    </row>
    <row r="17" spans="1:4" x14ac:dyDescent="0.25">
      <c r="A17" vm="111">
        <f ca="1"/>
        <v>45681</v>
      </c>
      <c r="B17" vm="1080">
        <f ca="1"/>
        <v>3</v>
      </c>
      <c r="C17" vm="1072">
        <f ca="1"/>
        <v>3.25</v>
      </c>
      <c r="D17" vm="1081">
        <f ca="1"/>
        <v>2.895</v>
      </c>
    </row>
    <row r="18" spans="1:4" x14ac:dyDescent="0.25">
      <c r="A18" vm="118">
        <f ca="1"/>
        <v>45684</v>
      </c>
      <c r="B18" vm="1082">
        <f ca="1"/>
        <v>3.01</v>
      </c>
      <c r="C18" vm="1083">
        <f ca="1"/>
        <v>3.02</v>
      </c>
      <c r="D18" vm="1084">
        <f ca="1"/>
        <v>2.87</v>
      </c>
    </row>
    <row r="19" spans="1:4" x14ac:dyDescent="0.25">
      <c r="A19" vm="124">
        <f ca="1"/>
        <v>45685</v>
      </c>
      <c r="B19" vm="1085">
        <f ca="1"/>
        <v>3.06</v>
      </c>
      <c r="C19" vm="1079">
        <f ca="1"/>
        <v>3.1</v>
      </c>
      <c r="D19" vm="1086">
        <f ca="1"/>
        <v>2.98</v>
      </c>
    </row>
    <row r="20" spans="1:4" x14ac:dyDescent="0.25">
      <c r="A20" vm="131">
        <f ca="1"/>
        <v>45686</v>
      </c>
      <c r="B20" vm="1087">
        <f ca="1"/>
        <v>3.08</v>
      </c>
      <c r="C20" vm="1088">
        <f ca="1"/>
        <v>3.1349999999999998</v>
      </c>
      <c r="D20" vm="1089">
        <f ca="1"/>
        <v>3.0150000000000001</v>
      </c>
    </row>
    <row r="21" spans="1:4" x14ac:dyDescent="0.25">
      <c r="A21" vm="138">
        <f ca="1"/>
        <v>45687</v>
      </c>
      <c r="B21" vm="1090">
        <f ca="1"/>
        <v>3.13</v>
      </c>
      <c r="C21" vm="1072">
        <f ca="1"/>
        <v>3.25</v>
      </c>
      <c r="D21" vm="1091">
        <f ca="1"/>
        <v>3.0950000000000002</v>
      </c>
    </row>
    <row r="22" spans="1:4" x14ac:dyDescent="0.25">
      <c r="A22" vm="143">
        <f ca="1"/>
        <v>45688</v>
      </c>
      <c r="B22" vm="1090">
        <f ca="1"/>
        <v>3.13</v>
      </c>
      <c r="C22" vm="1092">
        <f ca="1"/>
        <v>3.23</v>
      </c>
      <c r="D22" vm="1079">
        <f ca="1"/>
        <v>3.1</v>
      </c>
    </row>
    <row r="23" spans="1:4" x14ac:dyDescent="0.25">
      <c r="A23" vm="150">
        <f ca="1"/>
        <v>45691</v>
      </c>
      <c r="B23" vm="1076">
        <f ca="1"/>
        <v>3.2</v>
      </c>
      <c r="C23" vm="1063">
        <f ca="1"/>
        <v>3.26</v>
      </c>
      <c r="D23" vm="1093">
        <f ca="1"/>
        <v>3.07</v>
      </c>
    </row>
    <row r="24" spans="1:4" x14ac:dyDescent="0.25">
      <c r="A24" vm="158">
        <f ca="1"/>
        <v>45692</v>
      </c>
      <c r="B24" vm="1075">
        <f ca="1"/>
        <v>3.22</v>
      </c>
      <c r="C24" vm="1072">
        <f ca="1"/>
        <v>3.25</v>
      </c>
      <c r="D24" vm="1088">
        <f ca="1"/>
        <v>3.1349999999999998</v>
      </c>
    </row>
    <row r="25" spans="1:4" x14ac:dyDescent="0.25">
      <c r="A25" vm="165">
        <f ca="1"/>
        <v>45693</v>
      </c>
      <c r="B25" vm="1076">
        <f ca="1"/>
        <v>3.2</v>
      </c>
      <c r="C25" vm="1094">
        <f ca="1"/>
        <v>3.3201000000000001</v>
      </c>
      <c r="D25" vm="1095">
        <f ca="1"/>
        <v>3.1800999999999999</v>
      </c>
    </row>
    <row r="26" spans="1:4" x14ac:dyDescent="0.25">
      <c r="A26" vm="170">
        <f ca="1"/>
        <v>45694</v>
      </c>
      <c r="B26" vm="1078">
        <f ca="1"/>
        <v>3.33</v>
      </c>
      <c r="C26" vm="1068">
        <f ca="1"/>
        <v>3.3889</v>
      </c>
      <c r="D26" vm="1077">
        <f ca="1"/>
        <v>3.15</v>
      </c>
    </row>
    <row r="27" spans="1:4" x14ac:dyDescent="0.25">
      <c r="A27" vm="177">
        <f ca="1"/>
        <v>45695</v>
      </c>
      <c r="B27" vm="1096">
        <f ca="1"/>
        <v>3.17</v>
      </c>
      <c r="C27" vm="1097">
        <f ca="1"/>
        <v>3.3519999999999999</v>
      </c>
      <c r="D27" vm="1098">
        <f ca="1"/>
        <v>3.14</v>
      </c>
    </row>
    <row r="28" spans="1:4" x14ac:dyDescent="0.25">
      <c r="A28" vm="183">
        <f ca="1"/>
        <v>45698</v>
      </c>
      <c r="B28" vm="1063">
        <f ca="1"/>
        <v>3.26</v>
      </c>
      <c r="C28" vm="1099">
        <f ca="1"/>
        <v>3.27</v>
      </c>
      <c r="D28" vm="1088">
        <f ca="1"/>
        <v>3.1349999999999998</v>
      </c>
    </row>
    <row r="29" spans="1:4" x14ac:dyDescent="0.25">
      <c r="A29" vm="190">
        <f ca="1"/>
        <v>45699</v>
      </c>
      <c r="B29" vm="1100">
        <f ca="1"/>
        <v>3.16</v>
      </c>
      <c r="C29" vm="1070">
        <f ca="1"/>
        <v>3.28</v>
      </c>
      <c r="D29" vm="1098">
        <f ca="1"/>
        <v>3.14</v>
      </c>
    </row>
    <row r="30" spans="1:4" x14ac:dyDescent="0.25">
      <c r="A30" vm="195">
        <f ca="1"/>
        <v>45700</v>
      </c>
      <c r="B30" vm="1099">
        <f ca="1"/>
        <v>3.27</v>
      </c>
      <c r="C30" vm="1070">
        <f ca="1"/>
        <v>3.28</v>
      </c>
      <c r="D30" vm="1101">
        <f ca="1"/>
        <v>3.12</v>
      </c>
    </row>
    <row r="31" spans="1:4" x14ac:dyDescent="0.25">
      <c r="A31" vm="202">
        <f ca="1"/>
        <v>45701</v>
      </c>
      <c r="B31" vm="1073">
        <f ca="1"/>
        <v>3.35</v>
      </c>
      <c r="C31" vm="1102">
        <f ca="1"/>
        <v>3.36</v>
      </c>
      <c r="D31" vm="1075">
        <f ca="1"/>
        <v>3.22</v>
      </c>
    </row>
    <row r="32" spans="1:4" x14ac:dyDescent="0.25">
      <c r="A32" vm="208">
        <f ca="1"/>
        <v>45702</v>
      </c>
      <c r="B32" vm="1077">
        <f ca="1"/>
        <v>3.15</v>
      </c>
      <c r="C32" vm="1059">
        <f ca="1"/>
        <v>3.4</v>
      </c>
      <c r="D32" vm="1077">
        <f ca="1"/>
        <v>3.15</v>
      </c>
    </row>
    <row r="33" spans="1:4" x14ac:dyDescent="0.25">
      <c r="A33" vm="212">
        <f ca="1"/>
        <v>45706</v>
      </c>
      <c r="B33" vm="1075">
        <f ca="1"/>
        <v>3.22</v>
      </c>
      <c r="C33" vm="1065">
        <f ca="1"/>
        <v>3.24</v>
      </c>
      <c r="D33" vm="1077">
        <f ca="1"/>
        <v>3.15</v>
      </c>
    </row>
    <row r="34" spans="1:4" x14ac:dyDescent="0.25">
      <c r="A34" vm="219">
        <f ca="1"/>
        <v>45707</v>
      </c>
      <c r="B34" vm="1103">
        <f ca="1"/>
        <v>3.18</v>
      </c>
      <c r="C34" vm="1104">
        <f ca="1"/>
        <v>3.2250000000000001</v>
      </c>
      <c r="D34" vm="1101">
        <f ca="1"/>
        <v>3.12</v>
      </c>
    </row>
    <row r="35" spans="1:4" x14ac:dyDescent="0.25">
      <c r="A35" vm="225">
        <f ca="1"/>
        <v>45708</v>
      </c>
      <c r="B35" vm="1065">
        <f ca="1"/>
        <v>3.24</v>
      </c>
      <c r="C35" vm="1070">
        <f ca="1"/>
        <v>3.28</v>
      </c>
      <c r="D35" vm="1100">
        <f ca="1"/>
        <v>3.16</v>
      </c>
    </row>
    <row r="36" spans="1:4" x14ac:dyDescent="0.25">
      <c r="A36" vm="231">
        <f ca="1"/>
        <v>45709</v>
      </c>
      <c r="B36" vm="1105">
        <f ca="1"/>
        <v>3.04</v>
      </c>
      <c r="C36" vm="1072">
        <f ca="1"/>
        <v>3.25</v>
      </c>
      <c r="D36" vm="1082">
        <f ca="1"/>
        <v>3.01</v>
      </c>
    </row>
    <row r="37" spans="1:4" x14ac:dyDescent="0.25">
      <c r="A37" vm="238">
        <f ca="1"/>
        <v>45712</v>
      </c>
      <c r="B37" vm="1106">
        <f ca="1"/>
        <v>2.99</v>
      </c>
      <c r="C37" vm="1107">
        <f ca="1"/>
        <v>3.0790000000000002</v>
      </c>
      <c r="D37" vm="1108">
        <f ca="1"/>
        <v>2.88</v>
      </c>
    </row>
    <row r="38" spans="1:4" x14ac:dyDescent="0.25">
      <c r="A38" vm="246">
        <f ca="1"/>
        <v>45713</v>
      </c>
      <c r="B38" vm="1109">
        <f ca="1"/>
        <v>2.97</v>
      </c>
      <c r="C38" vm="1082">
        <f ca="1"/>
        <v>3.01</v>
      </c>
      <c r="D38" vm="1110">
        <f ca="1"/>
        <v>2.92</v>
      </c>
    </row>
    <row r="39" spans="1:4" x14ac:dyDescent="0.25">
      <c r="A39" vm="253">
        <f ca="1"/>
        <v>45714</v>
      </c>
      <c r="B39" vm="1111">
        <f ca="1"/>
        <v>3.03</v>
      </c>
      <c r="C39" vm="1112">
        <f ca="1"/>
        <v>3.0550000000000002</v>
      </c>
      <c r="D39" vm="1113">
        <f ca="1"/>
        <v>2.94</v>
      </c>
    </row>
    <row r="40" spans="1:4" x14ac:dyDescent="0.25">
      <c r="A40" vm="260">
        <f ca="1"/>
        <v>45715</v>
      </c>
      <c r="B40" vm="1114">
        <f ca="1"/>
        <v>2.95</v>
      </c>
      <c r="C40" vm="1089">
        <f ca="1"/>
        <v>3.0150000000000001</v>
      </c>
      <c r="D40" vm="1113">
        <f ca="1"/>
        <v>2.94</v>
      </c>
    </row>
    <row r="41" spans="1:4" x14ac:dyDescent="0.25">
      <c r="A41" vm="267">
        <f ca="1"/>
        <v>45716</v>
      </c>
      <c r="B41" vm="1080">
        <f ca="1"/>
        <v>3</v>
      </c>
      <c r="C41" vm="1082">
        <f ca="1"/>
        <v>3.01</v>
      </c>
      <c r="D41" vm="1115">
        <f ca="1"/>
        <v>2.91</v>
      </c>
    </row>
    <row r="42" spans="1:4" x14ac:dyDescent="0.25">
      <c r="A42" vm="275">
        <f ca="1"/>
        <v>45719</v>
      </c>
      <c r="B42" vm="1105">
        <f ca="1"/>
        <v>3.04</v>
      </c>
      <c r="C42" vm="1090">
        <f ca="1"/>
        <v>3.13</v>
      </c>
      <c r="D42" vm="1111">
        <f ca="1"/>
        <v>3.03</v>
      </c>
    </row>
    <row r="43" spans="1:4" x14ac:dyDescent="0.25">
      <c r="A43" vm="281">
        <f ca="1"/>
        <v>45720</v>
      </c>
      <c r="B43" vm="1079">
        <f ca="1"/>
        <v>3.1</v>
      </c>
      <c r="C43" vm="1098">
        <f ca="1"/>
        <v>3.14</v>
      </c>
      <c r="D43" vm="1111">
        <f ca="1"/>
        <v>3.03</v>
      </c>
    </row>
    <row r="44" spans="1:4" x14ac:dyDescent="0.25">
      <c r="A44" vm="288">
        <f ca="1"/>
        <v>45721</v>
      </c>
      <c r="B44" vm="1055">
        <f ca="1"/>
        <v>3.3</v>
      </c>
      <c r="C44" vm="1073">
        <f ca="1"/>
        <v>3.35</v>
      </c>
      <c r="D44" vm="1116">
        <f ca="1"/>
        <v>3.09</v>
      </c>
    </row>
    <row r="45" spans="1:4" x14ac:dyDescent="0.25">
      <c r="A45" vm="295">
        <f ca="1"/>
        <v>45722</v>
      </c>
      <c r="B45" vm="1051">
        <f ca="1"/>
        <v>3.34</v>
      </c>
      <c r="C45" vm="1117">
        <f ca="1"/>
        <v>3.38</v>
      </c>
      <c r="D45" vm="1099">
        <f ca="1"/>
        <v>3.27</v>
      </c>
    </row>
    <row r="46" spans="1:4" x14ac:dyDescent="0.25">
      <c r="A46" vm="300">
        <f ca="1"/>
        <v>45723</v>
      </c>
      <c r="B46" vm="1118">
        <f ca="1"/>
        <v>3.57</v>
      </c>
      <c r="C46" vm="1119">
        <f ca="1"/>
        <v>3.6</v>
      </c>
      <c r="D46" vm="1078">
        <f ca="1"/>
        <v>3.33</v>
      </c>
    </row>
    <row r="47" spans="1:4" x14ac:dyDescent="0.25">
      <c r="A47" vm="306">
        <f ca="1"/>
        <v>45726</v>
      </c>
      <c r="B47" vm="1070">
        <f ca="1"/>
        <v>3.28</v>
      </c>
      <c r="C47" vm="1120">
        <f ca="1"/>
        <v>3.54</v>
      </c>
      <c r="D47" vm="1065">
        <f ca="1"/>
        <v>3.24</v>
      </c>
    </row>
    <row r="48" spans="1:4" x14ac:dyDescent="0.25">
      <c r="A48" vm="314">
        <f ca="1"/>
        <v>45727</v>
      </c>
      <c r="B48" vm="1070">
        <f ca="1"/>
        <v>3.28</v>
      </c>
      <c r="C48" vm="1121">
        <f ca="1"/>
        <v>3.4049999999999998</v>
      </c>
      <c r="D48" vm="1072">
        <f ca="1"/>
        <v>3.25</v>
      </c>
    </row>
    <row r="49" spans="1:4" x14ac:dyDescent="0.25">
      <c r="A49" vm="319">
        <f ca="1"/>
        <v>45728</v>
      </c>
      <c r="B49" vm="1063">
        <f ca="1"/>
        <v>3.26</v>
      </c>
      <c r="C49" vm="1122">
        <f ca="1"/>
        <v>3.3106</v>
      </c>
      <c r="D49" vm="1077">
        <f ca="1"/>
        <v>3.15</v>
      </c>
    </row>
    <row r="50" spans="1:4" x14ac:dyDescent="0.25">
      <c r="A50" vm="326">
        <f ca="1"/>
        <v>45729</v>
      </c>
      <c r="B50" vm="1123">
        <f ca="1"/>
        <v>3.45</v>
      </c>
      <c r="C50" vm="1124">
        <f ca="1"/>
        <v>3.5</v>
      </c>
      <c r="D50" vm="1125">
        <f ca="1"/>
        <v>3.2759999999999998</v>
      </c>
    </row>
    <row r="51" spans="1:4" x14ac:dyDescent="0.25">
      <c r="A51" vm="330">
        <f ca="1"/>
        <v>45730</v>
      </c>
      <c r="B51" vm="1054">
        <f ca="1"/>
        <v>3.37</v>
      </c>
      <c r="C51" vm="1126">
        <f ca="1"/>
        <v>3.5350000000000001</v>
      </c>
      <c r="D51" vm="1078">
        <f ca="1"/>
        <v>3.33</v>
      </c>
    </row>
    <row r="52" spans="1:4" x14ac:dyDescent="0.25">
      <c r="A52" vm="337">
        <f ca="1"/>
        <v>45733</v>
      </c>
      <c r="B52" vm="1054">
        <f ca="1"/>
        <v>3.37</v>
      </c>
      <c r="C52" vm="1059">
        <f ca="1"/>
        <v>3.4</v>
      </c>
      <c r="D52" vm="1055">
        <f ca="1"/>
        <v>3.3</v>
      </c>
    </row>
    <row r="53" spans="1:4" x14ac:dyDescent="0.25">
      <c r="A53" vm="342">
        <f ca="1"/>
        <v>45734</v>
      </c>
      <c r="B53" vm="1070">
        <f ca="1"/>
        <v>3.28</v>
      </c>
      <c r="C53" vm="1127">
        <f ca="1"/>
        <v>3.4666000000000001</v>
      </c>
      <c r="D53" vm="1065">
        <f ca="1"/>
        <v>3.24</v>
      </c>
    </row>
    <row r="54" spans="1:4" x14ac:dyDescent="0.25">
      <c r="A54" vm="348">
        <f ca="1"/>
        <v>45735</v>
      </c>
      <c r="B54" vm="1128">
        <f ca="1"/>
        <v>3.42</v>
      </c>
      <c r="C54" vm="1128">
        <f ca="1"/>
        <v>3.42</v>
      </c>
      <c r="D54" vm="1063">
        <f ca="1"/>
        <v>3.26</v>
      </c>
    </row>
    <row r="55" spans="1:4" x14ac:dyDescent="0.25">
      <c r="A55" vm="353">
        <f ca="1"/>
        <v>45736</v>
      </c>
      <c r="B55" vm="1128">
        <f ca="1"/>
        <v>3.42</v>
      </c>
      <c r="C55" vm="1124">
        <f ca="1"/>
        <v>3.5</v>
      </c>
      <c r="D55" vm="1058">
        <f ca="1"/>
        <v>3.32</v>
      </c>
    </row>
    <row r="56" spans="1:4" x14ac:dyDescent="0.25">
      <c r="A56" vm="360">
        <f ca="1"/>
        <v>45737</v>
      </c>
      <c r="B56" vm="1129">
        <f ca="1"/>
        <v>3.39</v>
      </c>
      <c r="C56" vm="1049">
        <f ca="1"/>
        <v>3.43</v>
      </c>
      <c r="D56" vm="1058">
        <f ca="1"/>
        <v>3.32</v>
      </c>
    </row>
    <row r="57" spans="1:4" x14ac:dyDescent="0.25">
      <c r="A57" vm="366">
        <f ca="1"/>
        <v>45740</v>
      </c>
      <c r="B57" vm="1063">
        <f ca="1"/>
        <v>3.26</v>
      </c>
      <c r="C57" vm="1130">
        <f ca="1"/>
        <v>3.4499</v>
      </c>
      <c r="D57" vm="1065">
        <f ca="1"/>
        <v>3.24</v>
      </c>
    </row>
    <row r="58" spans="1:4" x14ac:dyDescent="0.25">
      <c r="A58" vm="374">
        <f ca="1"/>
        <v>45741</v>
      </c>
      <c r="B58" vm="1131">
        <f ca="1"/>
        <v>3.11</v>
      </c>
      <c r="C58" vm="1073">
        <f ca="1"/>
        <v>3.35</v>
      </c>
      <c r="D58" vm="1116">
        <f ca="1"/>
        <v>3.09</v>
      </c>
    </row>
    <row r="59" spans="1:4" x14ac:dyDescent="0.25">
      <c r="A59" vm="381">
        <f ca="1"/>
        <v>45742</v>
      </c>
      <c r="B59" vm="1085">
        <f ca="1"/>
        <v>3.06</v>
      </c>
      <c r="C59" vm="1066">
        <f ca="1"/>
        <v>3.19</v>
      </c>
      <c r="D59" vm="1105">
        <f ca="1"/>
        <v>3.04</v>
      </c>
    </row>
    <row r="60" spans="1:4" x14ac:dyDescent="0.25">
      <c r="A60" vm="386">
        <f ca="1"/>
        <v>45743</v>
      </c>
      <c r="B60" vm="1079">
        <f ca="1"/>
        <v>3.1</v>
      </c>
      <c r="C60" vm="1077">
        <f ca="1"/>
        <v>3.15</v>
      </c>
      <c r="D60" vm="1132">
        <f ca="1"/>
        <v>3.0350000000000001</v>
      </c>
    </row>
    <row r="61" spans="1:4" x14ac:dyDescent="0.25">
      <c r="A61" vm="391">
        <f ca="1"/>
        <v>45744</v>
      </c>
      <c r="B61" vm="1114">
        <f ca="1"/>
        <v>2.95</v>
      </c>
      <c r="C61" vm="1090">
        <f ca="1"/>
        <v>3.13</v>
      </c>
      <c r="D61" vm="1084">
        <f ca="1"/>
        <v>2.87</v>
      </c>
    </row>
    <row r="62" spans="1:4" x14ac:dyDescent="0.25">
      <c r="A62" vm="398">
        <f ca="1"/>
        <v>45747</v>
      </c>
      <c r="B62" vm="1110">
        <f ca="1"/>
        <v>2.92</v>
      </c>
      <c r="C62" vm="1106">
        <f ca="1"/>
        <v>2.99</v>
      </c>
      <c r="D62" vm="1133">
        <f ca="1"/>
        <v>2.8</v>
      </c>
    </row>
    <row r="63" spans="1:4" x14ac:dyDescent="0.25">
      <c r="A63" vm="404">
        <f ca="1"/>
        <v>45748</v>
      </c>
      <c r="B63" vm="1086">
        <f ca="1"/>
        <v>2.98</v>
      </c>
      <c r="C63" vm="1134">
        <f ca="1"/>
        <v>3.1150000000000002</v>
      </c>
      <c r="D63" vm="1135">
        <f ca="1"/>
        <v>2.85</v>
      </c>
    </row>
    <row r="64" spans="1:4" x14ac:dyDescent="0.25">
      <c r="A64" vm="410">
        <f ca="1"/>
        <v>45749</v>
      </c>
      <c r="B64" vm="1110">
        <f ca="1"/>
        <v>2.92</v>
      </c>
      <c r="C64" vm="1109">
        <f ca="1"/>
        <v>2.97</v>
      </c>
      <c r="D64" vm="1135">
        <f ca="1"/>
        <v>2.85</v>
      </c>
    </row>
    <row r="65" spans="1:4" x14ac:dyDescent="0.25">
      <c r="A65" vm="415">
        <f ca="1"/>
        <v>45750</v>
      </c>
      <c r="B65" vm="1136">
        <f ca="1"/>
        <v>2.84</v>
      </c>
      <c r="C65" vm="1137">
        <f ca="1"/>
        <v>2.9350000000000001</v>
      </c>
      <c r="D65" vm="1138">
        <f ca="1"/>
        <v>2.8149999999999999</v>
      </c>
    </row>
    <row r="66" spans="1:4" x14ac:dyDescent="0.25">
      <c r="A66" vm="418">
        <f ca="1"/>
        <v>45751</v>
      </c>
      <c r="B66" vm="1139">
        <f ca="1"/>
        <v>2.61</v>
      </c>
      <c r="C66" vm="1140">
        <f ca="1"/>
        <v>2.8250000000000002</v>
      </c>
      <c r="D66" vm="1141">
        <f ca="1"/>
        <v>2.5499999999999998</v>
      </c>
    </row>
    <row r="67" spans="1:4" x14ac:dyDescent="0.25">
      <c r="A67" vm="426">
        <f ca="1"/>
        <v>45754</v>
      </c>
      <c r="B67" vm="1142">
        <f ca="1"/>
        <v>2.58</v>
      </c>
      <c r="C67" vm="1143">
        <f ca="1"/>
        <v>2.76</v>
      </c>
      <c r="D67" vm="1144">
        <f ca="1"/>
        <v>2.48</v>
      </c>
    </row>
    <row r="68" spans="1:4" x14ac:dyDescent="0.25">
      <c r="A68" vm="432">
        <f ca="1"/>
        <v>45755</v>
      </c>
      <c r="B68" vm="1145">
        <f ca="1"/>
        <v>2.2799999999999998</v>
      </c>
      <c r="C68" vm="1146">
        <f ca="1"/>
        <v>2.6850000000000001</v>
      </c>
      <c r="D68" vm="1147">
        <f ca="1"/>
        <v>2.2599999999999998</v>
      </c>
    </row>
    <row r="69" spans="1:4" x14ac:dyDescent="0.25">
      <c r="A69" vm="439">
        <f ca="1"/>
        <v>45756</v>
      </c>
      <c r="B69" vm="1148">
        <f ca="1"/>
        <v>2.5099999999999998</v>
      </c>
      <c r="C69" vm="1149">
        <f ca="1"/>
        <v>2.54</v>
      </c>
      <c r="D69" vm="1150">
        <f ca="1"/>
        <v>2.2601</v>
      </c>
    </row>
    <row r="70" spans="1:4" x14ac:dyDescent="0.25">
      <c r="A70" vm="444">
        <f ca="1"/>
        <v>45757</v>
      </c>
      <c r="B70" vm="1148">
        <f ca="1"/>
        <v>2.5099999999999998</v>
      </c>
      <c r="C70" vm="1139">
        <f ca="1"/>
        <v>2.61</v>
      </c>
      <c r="D70" vm="1151">
        <f ca="1"/>
        <v>2.4700000000000002</v>
      </c>
    </row>
    <row r="71" spans="1:4" x14ac:dyDescent="0.25">
      <c r="A71" vm="451">
        <f ca="1"/>
        <v>45758</v>
      </c>
      <c r="B71" vm="1152">
        <f ca="1"/>
        <v>2.81</v>
      </c>
      <c r="C71" vm="1153">
        <f ca="1"/>
        <v>2.9</v>
      </c>
      <c r="D71" vm="1154">
        <f ca="1"/>
        <v>2.6</v>
      </c>
    </row>
    <row r="72" spans="1:4" x14ac:dyDescent="0.25">
      <c r="A72" vm="458">
        <f ca="1"/>
        <v>45761</v>
      </c>
      <c r="B72" vm="1136">
        <f ca="1"/>
        <v>2.84</v>
      </c>
      <c r="C72" vm="1080">
        <f ca="1"/>
        <v>3</v>
      </c>
      <c r="D72" vm="1155">
        <f ca="1"/>
        <v>2.75</v>
      </c>
    </row>
    <row r="73" spans="1:4" x14ac:dyDescent="0.25">
      <c r="A73" vm="463">
        <f ca="1"/>
        <v>45762</v>
      </c>
      <c r="B73" vm="1108">
        <f ca="1"/>
        <v>2.88</v>
      </c>
      <c r="C73" vm="1114">
        <f ca="1"/>
        <v>2.95</v>
      </c>
      <c r="D73" vm="1136">
        <f ca="1"/>
        <v>2.84</v>
      </c>
    </row>
    <row r="74" spans="1:4" x14ac:dyDescent="0.25">
      <c r="A74" vm="470">
        <f ca="1"/>
        <v>45763</v>
      </c>
      <c r="B74" vm="1082">
        <f ca="1"/>
        <v>3.01</v>
      </c>
      <c r="C74" vm="1079">
        <f ca="1"/>
        <v>3.1</v>
      </c>
      <c r="D74" vm="1110">
        <f ca="1"/>
        <v>2.92</v>
      </c>
    </row>
    <row r="75" spans="1:4" x14ac:dyDescent="0.25">
      <c r="A75" vm="478">
        <f ca="1"/>
        <v>45764</v>
      </c>
      <c r="B75" vm="1086">
        <f ca="1"/>
        <v>2.98</v>
      </c>
      <c r="C75" vm="1156">
        <f ca="1"/>
        <v>3.05</v>
      </c>
      <c r="D75" vm="1157">
        <f ca="1"/>
        <v>2.89</v>
      </c>
    </row>
    <row r="76" spans="1:4" x14ac:dyDescent="0.25">
      <c r="A76" vm="484">
        <f ca="1"/>
        <v>45768</v>
      </c>
      <c r="B76" vm="1131">
        <f ca="1"/>
        <v>3.11</v>
      </c>
      <c r="C76" vm="1098">
        <f ca="1"/>
        <v>3.14</v>
      </c>
      <c r="D76" vm="1082">
        <f ca="1"/>
        <v>3.01</v>
      </c>
    </row>
    <row r="77" spans="1:4" x14ac:dyDescent="0.25">
      <c r="A77" vm="488">
        <f ca="1"/>
        <v>45769</v>
      </c>
      <c r="B77" vm="1158">
        <f ca="1"/>
        <v>4.3499999999999996</v>
      </c>
      <c r="C77" vm="899">
        <f ca="1"/>
        <v>4.57</v>
      </c>
      <c r="D77" vm="1055">
        <f ca="1"/>
        <v>3.3</v>
      </c>
    </row>
    <row r="78" spans="1:4" x14ac:dyDescent="0.25">
      <c r="A78" vm="491">
        <f ca="1"/>
        <v>45770</v>
      </c>
      <c r="B78" vm="1159">
        <f ca="1"/>
        <v>4.67</v>
      </c>
      <c r="C78" vm="879">
        <f ca="1"/>
        <v>5.0549999999999997</v>
      </c>
      <c r="D78" vm="1160">
        <f ca="1"/>
        <v>4.1500000000000004</v>
      </c>
    </row>
    <row r="79" spans="1:4" x14ac:dyDescent="0.25">
      <c r="A79" vm="497">
        <f ca="1"/>
        <v>45771</v>
      </c>
      <c r="B79" vm="881">
        <f ca="1"/>
        <v>4.9800000000000004</v>
      </c>
      <c r="C79" vm="1016">
        <f ca="1"/>
        <v>5.0599999999999996</v>
      </c>
      <c r="D79" vm="1161">
        <f ca="1"/>
        <v>4.6100000000000003</v>
      </c>
    </row>
    <row r="80" spans="1:4" x14ac:dyDescent="0.25">
      <c r="A80" vm="503">
        <f ca="1"/>
        <v>45772</v>
      </c>
      <c r="B80" vm="1162">
        <f ca="1"/>
        <v>4.4400000000000004</v>
      </c>
      <c r="C80" vm="1010">
        <f ca="1"/>
        <v>4.91</v>
      </c>
      <c r="D80" vm="1158">
        <f ca="1"/>
        <v>4.3499999999999996</v>
      </c>
    </row>
    <row r="81" spans="1:4" x14ac:dyDescent="0.25">
      <c r="A81" vm="508">
        <f ca="1"/>
        <v>45775</v>
      </c>
      <c r="B81" vm="1158">
        <f ca="1"/>
        <v>4.3499999999999996</v>
      </c>
      <c r="C81" vm="1163">
        <f ca="1"/>
        <v>4.49</v>
      </c>
      <c r="D81" vm="1164">
        <f ca="1"/>
        <v>4.1749999999999998</v>
      </c>
    </row>
    <row r="82" spans="1:4" x14ac:dyDescent="0.25">
      <c r="A82" vm="512">
        <f ca="1"/>
        <v>45776</v>
      </c>
      <c r="B82" vm="905">
        <f ca="1"/>
        <v>4.33</v>
      </c>
      <c r="C82" vm="1165">
        <f ca="1"/>
        <v>4.38</v>
      </c>
      <c r="D82" vm="926">
        <f ca="1"/>
        <v>4.1900000000000004</v>
      </c>
    </row>
    <row r="83" spans="1:4" x14ac:dyDescent="0.25">
      <c r="A83" vm="516">
        <f ca="1"/>
        <v>45777</v>
      </c>
      <c r="B83" vm="923">
        <f ca="1"/>
        <v>4.2300000000000004</v>
      </c>
      <c r="C83" vm="1166">
        <f ca="1"/>
        <v>4.4199000000000002</v>
      </c>
      <c r="D83" vm="928">
        <f ca="1"/>
        <v>4.08</v>
      </c>
    </row>
    <row r="84" spans="1:4" x14ac:dyDescent="0.25">
      <c r="A84" vm="520">
        <f ca="1"/>
        <v>45778</v>
      </c>
      <c r="B84" vm="941">
        <f ca="1"/>
        <v>4.18</v>
      </c>
      <c r="C84" vm="1167">
        <f ca="1"/>
        <v>4.3</v>
      </c>
      <c r="D84" vm="1168">
        <f ca="1"/>
        <v>4.085</v>
      </c>
    </row>
    <row r="85" spans="1:4" x14ac:dyDescent="0.25">
      <c r="A85" vm="523">
        <f ca="1"/>
        <v>45779</v>
      </c>
      <c r="B85" vm="1169">
        <f ca="1"/>
        <v>4.1100000000000003</v>
      </c>
      <c r="C85" vm="916">
        <f ca="1"/>
        <v>4.2699999999999996</v>
      </c>
      <c r="D85" vm="1170">
        <f ca="1"/>
        <v>4.0949999999999998</v>
      </c>
    </row>
    <row r="86" spans="1:4" x14ac:dyDescent="0.25">
      <c r="A86" vm="526">
        <f ca="1"/>
        <v>45782</v>
      </c>
      <c r="B86" vm="912">
        <f ca="1"/>
        <v>4.12</v>
      </c>
      <c r="C86" vm="1158">
        <f ca="1"/>
        <v>4.3499999999999996</v>
      </c>
      <c r="D86" vm="912">
        <f ca="1"/>
        <v>4.12</v>
      </c>
    </row>
    <row r="87" spans="1:4" x14ac:dyDescent="0.25">
      <c r="A87" vm="530">
        <f ca="1"/>
        <v>45783</v>
      </c>
      <c r="B87" vm="1171">
        <f ca="1"/>
        <v>4.21</v>
      </c>
      <c r="C87" vm="916">
        <f ca="1"/>
        <v>4.2699999999999996</v>
      </c>
      <c r="D87" vm="922">
        <f ca="1"/>
        <v>4.0999999999999996</v>
      </c>
    </row>
    <row r="88" spans="1:4" x14ac:dyDescent="0.25">
      <c r="A88" vm="537">
        <f ca="1"/>
        <v>45784</v>
      </c>
      <c r="B88" vm="1172">
        <f ca="1"/>
        <v>3.91</v>
      </c>
      <c r="C88" vm="1173">
        <f ca="1"/>
        <v>4.29</v>
      </c>
      <c r="D88" vm="1174">
        <f ca="1"/>
        <v>3.8149999999999999</v>
      </c>
    </row>
    <row r="89" spans="1:4" x14ac:dyDescent="0.25">
      <c r="A89" vm="541">
        <f ca="1"/>
        <v>45785</v>
      </c>
      <c r="B89" vm="1175">
        <f ca="1"/>
        <v>3.76</v>
      </c>
      <c r="C89" vm="1176">
        <f ca="1"/>
        <v>4.05</v>
      </c>
      <c r="D89" vm="1177">
        <f ca="1"/>
        <v>3.72</v>
      </c>
    </row>
    <row r="90" spans="1:4" x14ac:dyDescent="0.25">
      <c r="A90" vm="546">
        <f ca="1"/>
        <v>45786</v>
      </c>
      <c r="B90" vm="1178">
        <f ca="1"/>
        <v>3.78</v>
      </c>
      <c r="C90" vm="936">
        <f ca="1"/>
        <v>3.89</v>
      </c>
      <c r="D90" vm="1179">
        <f ca="1"/>
        <v>3.7450000000000001</v>
      </c>
    </row>
    <row r="91" spans="1:4" x14ac:dyDescent="0.25">
      <c r="A91" vm="550">
        <f ca="1"/>
        <v>45789</v>
      </c>
      <c r="B91" vm="1180">
        <f ca="1"/>
        <v>3.46</v>
      </c>
      <c r="C91" vm="1178">
        <f ca="1"/>
        <v>3.78</v>
      </c>
      <c r="D91" vm="1054">
        <f ca="1"/>
        <v>3.37</v>
      </c>
    </row>
    <row r="92" spans="1:4" x14ac:dyDescent="0.25">
      <c r="A92" vm="556">
        <f ca="1"/>
        <v>45790</v>
      </c>
      <c r="B92" vm="1124">
        <f ca="1"/>
        <v>3.5</v>
      </c>
      <c r="C92" vm="1119">
        <f ca="1"/>
        <v>3.6</v>
      </c>
      <c r="D92" vm="1181">
        <f ca="1"/>
        <v>3.48</v>
      </c>
    </row>
    <row r="93" spans="1:4" x14ac:dyDescent="0.25">
      <c r="A93" vm="560">
        <f ca="1"/>
        <v>45791</v>
      </c>
      <c r="B93" vm="1124">
        <f ca="1"/>
        <v>3.5</v>
      </c>
      <c r="C93" vm="1182">
        <f ca="1"/>
        <v>3.5449999999999999</v>
      </c>
      <c r="D93" vm="1183">
        <f ca="1"/>
        <v>3.3650000000000002</v>
      </c>
    </row>
    <row r="94" spans="1:4" x14ac:dyDescent="0.25">
      <c r="A94" vm="564">
        <f ca="1"/>
        <v>45792</v>
      </c>
      <c r="B94" vm="1062">
        <f ca="1"/>
        <v>3.55</v>
      </c>
      <c r="C94" vm="1184">
        <f ca="1"/>
        <v>3.61</v>
      </c>
      <c r="D94" vm="1059">
        <f ca="1"/>
        <v>3.4</v>
      </c>
    </row>
    <row r="95" spans="1:4" x14ac:dyDescent="0.25">
      <c r="A95" vm="569">
        <f ca="1"/>
        <v>45793</v>
      </c>
      <c r="B95" vm="1119">
        <f ca="1"/>
        <v>3.6</v>
      </c>
      <c r="C95" vm="1185">
        <f ca="1"/>
        <v>3.63</v>
      </c>
      <c r="D95" vm="1123">
        <f ca="1"/>
        <v>3.45</v>
      </c>
    </row>
    <row r="96" spans="1:4" x14ac:dyDescent="0.25">
      <c r="A96" vm="573">
        <f ca="1"/>
        <v>45796</v>
      </c>
      <c r="B96" vm="1186">
        <f ca="1"/>
        <v>3.64</v>
      </c>
      <c r="C96" vm="1187">
        <f ca="1"/>
        <v>3.7</v>
      </c>
      <c r="D96" vm="1120">
        <f ca="1"/>
        <v>3.54</v>
      </c>
    </row>
    <row r="97" spans="1:4" x14ac:dyDescent="0.25">
      <c r="A97" vm="577">
        <f ca="1"/>
        <v>45797</v>
      </c>
      <c r="B97" vm="1187">
        <f ca="1"/>
        <v>3.7</v>
      </c>
      <c r="C97" vm="1188">
        <f ca="1"/>
        <v>3.7549999999999999</v>
      </c>
      <c r="D97" vm="1189">
        <f ca="1"/>
        <v>3.6349999999999998</v>
      </c>
    </row>
    <row r="98" spans="1:4" x14ac:dyDescent="0.25">
      <c r="A98" vm="580">
        <f ca="1"/>
        <v>45798</v>
      </c>
      <c r="B98" vm="1190">
        <f ca="1"/>
        <v>3.59</v>
      </c>
      <c r="C98" vm="1191">
        <f ca="1"/>
        <v>3.75</v>
      </c>
      <c r="D98" vm="1192">
        <f ca="1"/>
        <v>3.51</v>
      </c>
    </row>
    <row r="99" spans="1:4" x14ac:dyDescent="0.25">
      <c r="A99" vm="583">
        <f ca="1"/>
        <v>45799</v>
      </c>
      <c r="B99" vm="1119">
        <f ca="1"/>
        <v>3.6</v>
      </c>
      <c r="C99" vm="1193">
        <f ca="1"/>
        <v>3.6949999999999998</v>
      </c>
      <c r="D99" vm="1194">
        <f ca="1"/>
        <v>3.53</v>
      </c>
    </row>
    <row r="100" spans="1:4" x14ac:dyDescent="0.25">
      <c r="A100" vm="588">
        <f ca="1"/>
        <v>45800</v>
      </c>
      <c r="B100" vm="1195">
        <f ca="1"/>
        <v>3.58</v>
      </c>
      <c r="C100" vm="1196">
        <f ca="1"/>
        <v>3.6678999999999999</v>
      </c>
      <c r="D100" vm="1197">
        <f ca="1"/>
        <v>3.5301</v>
      </c>
    </row>
    <row r="101" spans="1:4" x14ac:dyDescent="0.25">
      <c r="A101" vm="593">
        <f ca="1"/>
        <v>45804</v>
      </c>
      <c r="B101" vm="1194">
        <f ca="1"/>
        <v>3.53</v>
      </c>
      <c r="C101" vm="1198">
        <f ca="1"/>
        <v>3.5649999999999999</v>
      </c>
      <c r="D101" vm="1199">
        <f ca="1"/>
        <v>3.415</v>
      </c>
    </row>
    <row r="102" spans="1:4" x14ac:dyDescent="0.25">
      <c r="A102" vm="598">
        <f ca="1"/>
        <v>45805</v>
      </c>
      <c r="B102" vm="1195">
        <f ca="1"/>
        <v>3.58</v>
      </c>
      <c r="C102" vm="1186">
        <f ca="1"/>
        <v>3.64</v>
      </c>
      <c r="D102" vm="1192">
        <f ca="1"/>
        <v>3.51</v>
      </c>
    </row>
    <row r="103" spans="1:4" x14ac:dyDescent="0.25">
      <c r="A103" vm="601">
        <f ca="1"/>
        <v>45806</v>
      </c>
      <c r="B103" vm="1062">
        <f ca="1"/>
        <v>3.55</v>
      </c>
      <c r="C103" vm="1200">
        <f ca="1"/>
        <v>3.6549999999999998</v>
      </c>
      <c r="D103" vm="1201">
        <f ca="1"/>
        <v>3.5335000000000001</v>
      </c>
    </row>
    <row r="104" spans="1:4" x14ac:dyDescent="0.25">
      <c r="A104" vm="604">
        <f ca="1"/>
        <v>45807</v>
      </c>
      <c r="B104" vm="1195">
        <f ca="1"/>
        <v>3.58</v>
      </c>
      <c r="C104" vm="1189">
        <f ca="1"/>
        <v>3.6349999999999998</v>
      </c>
      <c r="D104" vm="1202">
        <f ca="1"/>
        <v>3.49</v>
      </c>
    </row>
    <row r="105" spans="1:4" x14ac:dyDescent="0.25">
      <c r="A105" vm="606">
        <f ca="1"/>
        <v>45810</v>
      </c>
      <c r="B105" vm="1191">
        <f ca="1"/>
        <v>3.75</v>
      </c>
      <c r="C105" vm="1203">
        <f ca="1"/>
        <v>3.8</v>
      </c>
      <c r="D105" vm="1200">
        <f ca="1"/>
        <v>3.6549999999999998</v>
      </c>
    </row>
    <row r="106" spans="1:4" x14ac:dyDescent="0.25">
      <c r="A106" vm="608">
        <f ca="1"/>
        <v>45811</v>
      </c>
      <c r="B106" vm="1204">
        <f ca="1"/>
        <v>3.77</v>
      </c>
      <c r="C106" vm="1205">
        <f ca="1"/>
        <v>3.875</v>
      </c>
      <c r="D106" vm="1186">
        <f ca="1"/>
        <v>3.64</v>
      </c>
    </row>
    <row r="107" spans="1:4" x14ac:dyDescent="0.25">
      <c r="A107" vm="610">
        <f ca="1"/>
        <v>45812</v>
      </c>
      <c r="B107" vm="1206">
        <f ca="1"/>
        <v>4.6900000000000004</v>
      </c>
      <c r="C107" vm="1015">
        <f ca="1"/>
        <v>4.7699999999999996</v>
      </c>
      <c r="D107" vm="930">
        <f ca="1"/>
        <v>3.96</v>
      </c>
    </row>
    <row r="108" spans="1:4" x14ac:dyDescent="0.25">
      <c r="A108" vm="612">
        <f ca="1"/>
        <v>45813</v>
      </c>
      <c r="B108" vm="1207">
        <f ca="1"/>
        <v>4.41</v>
      </c>
      <c r="C108" vm="1208">
        <f ca="1"/>
        <v>4.8499999999999996</v>
      </c>
      <c r="D108" vm="1209">
        <f ca="1"/>
        <v>4.3449999999999998</v>
      </c>
    </row>
    <row r="109" spans="1:4" x14ac:dyDescent="0.25">
      <c r="A109" vm="615">
        <f ca="1"/>
        <v>45814</v>
      </c>
      <c r="B109" vm="1171">
        <f ca="1"/>
        <v>4.21</v>
      </c>
      <c r="C109" vm="904">
        <f ca="1"/>
        <v>4.46</v>
      </c>
      <c r="D109" vm="919">
        <f ca="1"/>
        <v>4.1399999999999997</v>
      </c>
    </row>
    <row r="110" spans="1:4" x14ac:dyDescent="0.25">
      <c r="A110" vm="617">
        <f ca="1"/>
        <v>45817</v>
      </c>
      <c r="B110" vm="1165">
        <f ca="1"/>
        <v>4.38</v>
      </c>
      <c r="C110" vm="1162">
        <f ca="1"/>
        <v>4.4400000000000004</v>
      </c>
      <c r="D110" vm="913">
        <f ca="1"/>
        <v>4.2</v>
      </c>
    </row>
    <row r="111" spans="1:4" x14ac:dyDescent="0.25">
      <c r="A111" vm="619">
        <f ca="1"/>
        <v>45818</v>
      </c>
      <c r="B111" vm="914">
        <f ca="1"/>
        <v>4.32</v>
      </c>
      <c r="C111" vm="1210">
        <f ca="1"/>
        <v>4.5599999999999996</v>
      </c>
      <c r="D111" vm="1211">
        <f ca="1"/>
        <v>4.3099999999999996</v>
      </c>
    </row>
    <row r="112" spans="1:4" x14ac:dyDescent="0.25">
      <c r="A112" vm="620">
        <f ca="1"/>
        <v>45819</v>
      </c>
      <c r="B112" vm="1211">
        <f ca="1"/>
        <v>4.3099999999999996</v>
      </c>
      <c r="C112" vm="909">
        <f ca="1"/>
        <v>4.45</v>
      </c>
      <c r="D112" vm="916">
        <f ca="1"/>
        <v>4.2699999999999996</v>
      </c>
    </row>
    <row r="113" spans="1:4" x14ac:dyDescent="0.25">
      <c r="A113" vm="622">
        <f ca="1"/>
        <v>45820</v>
      </c>
      <c r="B113" vm="1212">
        <f ca="1"/>
        <v>4.34</v>
      </c>
      <c r="C113" vm="1213">
        <f ca="1"/>
        <v>4.43</v>
      </c>
      <c r="D113" vm="1167">
        <f ca="1"/>
        <v>4.3</v>
      </c>
    </row>
    <row r="114" spans="1:4" x14ac:dyDescent="0.25">
      <c r="A114" vm="626">
        <f ca="1"/>
        <v>45821</v>
      </c>
      <c r="B114" vm="1213">
        <f ca="1"/>
        <v>4.43</v>
      </c>
      <c r="C114" vm="1214">
        <f ca="1"/>
        <v>4.58</v>
      </c>
      <c r="D114" vm="1215">
        <f ca="1"/>
        <v>4.3250000000000002</v>
      </c>
    </row>
    <row r="115" spans="1:4" x14ac:dyDescent="0.25">
      <c r="A115" vm="629">
        <f ca="1"/>
        <v>45824</v>
      </c>
      <c r="B115" vm="1158">
        <f ca="1"/>
        <v>4.3499999999999996</v>
      </c>
      <c r="C115" vm="947">
        <f ca="1"/>
        <v>4.5199999999999996</v>
      </c>
      <c r="D115" vm="914">
        <f ca="1"/>
        <v>4.32</v>
      </c>
    </row>
    <row r="116" spans="1:4" x14ac:dyDescent="0.25">
      <c r="A116" vm="632">
        <f ca="1"/>
        <v>45825</v>
      </c>
      <c r="B116" vm="943">
        <f ca="1"/>
        <v>4.3899999999999997</v>
      </c>
      <c r="C116" vm="909">
        <f ca="1"/>
        <v>4.45</v>
      </c>
      <c r="D116" vm="1216">
        <f ca="1"/>
        <v>4.3550000000000004</v>
      </c>
    </row>
    <row r="117" spans="1:4" x14ac:dyDescent="0.25">
      <c r="A117" vm="634">
        <f ca="1"/>
        <v>45826</v>
      </c>
      <c r="B117" vm="1217">
        <f ca="1"/>
        <v>4.3600000000000003</v>
      </c>
      <c r="C117" vm="904">
        <f ca="1"/>
        <v>4.46</v>
      </c>
      <c r="D117" vm="1211">
        <f ca="1"/>
        <v>4.3099999999999996</v>
      </c>
    </row>
    <row r="118" spans="1:4" x14ac:dyDescent="0.25">
      <c r="A118" vm="636">
        <f ca="1"/>
        <v>45828</v>
      </c>
      <c r="B118" vm="919">
        <f ca="1"/>
        <v>4.1399999999999997</v>
      </c>
      <c r="C118" vm="1218">
        <f ca="1"/>
        <v>4.415</v>
      </c>
      <c r="D118" vm="912">
        <f ca="1"/>
        <v>4.12</v>
      </c>
    </row>
    <row r="119" spans="1:4" x14ac:dyDescent="0.25">
      <c r="A119" vm="638">
        <f ca="1"/>
        <v>45831</v>
      </c>
      <c r="B119" vm="928">
        <f ca="1"/>
        <v>4.08</v>
      </c>
      <c r="C119" vm="1219">
        <f ca="1"/>
        <v>4.2252000000000001</v>
      </c>
      <c r="D119" vm="1176">
        <f ca="1"/>
        <v>4.05</v>
      </c>
    </row>
    <row r="120" spans="1:4" x14ac:dyDescent="0.25">
      <c r="A120" vm="640">
        <f ca="1"/>
        <v>45832</v>
      </c>
      <c r="B120" vm="934">
        <f ca="1"/>
        <v>3.9</v>
      </c>
      <c r="C120" vm="1220">
        <f ca="1"/>
        <v>3.99</v>
      </c>
      <c r="D120" vm="940">
        <f ca="1"/>
        <v>3.86</v>
      </c>
    </row>
    <row r="121" spans="1:4" x14ac:dyDescent="0.25">
      <c r="A121" vm="643">
        <f ca="1"/>
        <v>45833</v>
      </c>
      <c r="B121" vm="1187">
        <f ca="1"/>
        <v>3.7</v>
      </c>
      <c r="C121" vm="1221">
        <f ca="1"/>
        <v>3.9350000000000001</v>
      </c>
      <c r="D121" vm="1184">
        <f ca="1"/>
        <v>3.61</v>
      </c>
    </row>
    <row r="122" spans="1:4" x14ac:dyDescent="0.25">
      <c r="A122" vm="644">
        <f ca="1"/>
        <v>45834</v>
      </c>
      <c r="B122" vm="1160">
        <f ca="1"/>
        <v>4.1500000000000004</v>
      </c>
      <c r="C122" vm="1222">
        <f ca="1"/>
        <v>4.165</v>
      </c>
      <c r="D122" vm="1223">
        <f ca="1"/>
        <v>3.71</v>
      </c>
    </row>
    <row r="123" spans="1:4" x14ac:dyDescent="0.25">
      <c r="A123" vm="645">
        <f ca="1"/>
        <v>45835</v>
      </c>
      <c r="B123" vm="928">
        <f ca="1"/>
        <v>4.08</v>
      </c>
      <c r="C123" vm="1169">
        <f ca="1"/>
        <v>4.1100000000000003</v>
      </c>
      <c r="D123" vm="932">
        <f ca="1"/>
        <v>3.95</v>
      </c>
    </row>
    <row r="124" spans="1:4" x14ac:dyDescent="0.25">
      <c r="A124" vm="646">
        <f ca="1"/>
        <v>45838</v>
      </c>
      <c r="B124" vm="920">
        <f ca="1"/>
        <v>4.09</v>
      </c>
      <c r="C124" vm="941">
        <f ca="1"/>
        <v>4.18</v>
      </c>
      <c r="D124" vm="1176">
        <f ca="1"/>
        <v>4.05</v>
      </c>
    </row>
    <row r="125" spans="1:4" x14ac:dyDescent="0.25">
      <c r="A125" vm="648">
        <f ca="1"/>
        <v>45839</v>
      </c>
      <c r="B125" vm="1160">
        <f ca="1"/>
        <v>4.1500000000000004</v>
      </c>
      <c r="C125" vm="1224">
        <f ca="1"/>
        <v>4.2450000000000001</v>
      </c>
      <c r="D125" vm="1225">
        <f ca="1"/>
        <v>4.07</v>
      </c>
    </row>
    <row r="126" spans="1:4" x14ac:dyDescent="0.25">
      <c r="A126" vm="649">
        <f ca="1"/>
        <v>45840</v>
      </c>
      <c r="B126" vm="1226">
        <f ca="1"/>
        <v>4.4800000000000004</v>
      </c>
      <c r="C126" vm="1210">
        <f ca="1"/>
        <v>4.5599999999999996</v>
      </c>
      <c r="D126" vm="1160">
        <f ca="1"/>
        <v>4.1500000000000004</v>
      </c>
    </row>
    <row r="127" spans="1:4" x14ac:dyDescent="0.25">
      <c r="A127" vm="651">
        <f ca="1"/>
        <v>45841</v>
      </c>
      <c r="B127" vm="947">
        <f ca="1"/>
        <v>4.5199999999999996</v>
      </c>
      <c r="C127" vm="1227">
        <f ca="1"/>
        <v>4.7050000000000001</v>
      </c>
      <c r="D127" vm="902">
        <f ca="1"/>
        <v>4.4000000000000004</v>
      </c>
    </row>
    <row r="128" spans="1:4" x14ac:dyDescent="0.25">
      <c r="A128" vm="653">
        <f ca="1"/>
        <v>45845</v>
      </c>
      <c r="B128" vm="1228">
        <f ca="1"/>
        <v>4.55</v>
      </c>
      <c r="C128" vm="1161">
        <f ca="1"/>
        <v>4.6100000000000003</v>
      </c>
      <c r="D128" vm="1162">
        <f ca="1"/>
        <v>4.4400000000000004</v>
      </c>
    </row>
    <row r="129" spans="1:4" x14ac:dyDescent="0.25">
      <c r="A129" vm="655">
        <f ca="1"/>
        <v>45846</v>
      </c>
      <c r="B129" vm="1162">
        <f ca="1"/>
        <v>4.4400000000000004</v>
      </c>
      <c r="C129" vm="1229">
        <f ca="1"/>
        <v>4.59</v>
      </c>
      <c r="D129" vm="1212">
        <f ca="1"/>
        <v>4.34</v>
      </c>
    </row>
    <row r="130" spans="1:4" x14ac:dyDescent="0.25">
      <c r="A130" vm="658">
        <f ca="1"/>
        <v>45847</v>
      </c>
      <c r="B130" vm="1229">
        <f ca="1"/>
        <v>4.59</v>
      </c>
      <c r="C130" vm="1230">
        <f ca="1"/>
        <v>4.625</v>
      </c>
      <c r="D130" vm="903">
        <f ca="1"/>
        <v>4.37</v>
      </c>
    </row>
    <row r="131" spans="1:4" x14ac:dyDescent="0.25">
      <c r="A131" vm="659">
        <f ca="1"/>
        <v>45848</v>
      </c>
      <c r="B131" vm="1231">
        <f ca="1"/>
        <v>4.72</v>
      </c>
      <c r="C131" vm="1232">
        <f ca="1"/>
        <v>4.7350000000000003</v>
      </c>
      <c r="D131" vm="1229">
        <f ca="1"/>
        <v>4.59</v>
      </c>
    </row>
    <row r="132" spans="1:4" x14ac:dyDescent="0.25">
      <c r="A132" vm="661">
        <f ca="1"/>
        <v>45849</v>
      </c>
      <c r="B132" vm="1233">
        <f ca="1"/>
        <v>4.8</v>
      </c>
      <c r="C132" vm="1234">
        <f ca="1"/>
        <v>4.8449999999999998</v>
      </c>
      <c r="D132" vm="1235">
        <f ca="1"/>
        <v>4.68</v>
      </c>
    </row>
    <row r="133" spans="1:4" x14ac:dyDescent="0.25">
      <c r="A133" vm="663">
        <f ca="1"/>
        <v>45852</v>
      </c>
      <c r="B133" vm="1010">
        <f ca="1"/>
        <v>4.91</v>
      </c>
      <c r="C133" vm="866">
        <f ca="1"/>
        <v>5.01</v>
      </c>
      <c r="D133" vm="887">
        <f ca="1"/>
        <v>4.7949999999999999</v>
      </c>
    </row>
    <row r="134" spans="1:4" x14ac:dyDescent="0.25">
      <c r="A134" vm="664">
        <f ca="1"/>
        <v>45853</v>
      </c>
      <c r="B134" vm="872">
        <f ca="1"/>
        <v>4.95</v>
      </c>
      <c r="C134" vm="996">
        <f ca="1"/>
        <v>5.0049999999999999</v>
      </c>
      <c r="D134" vm="1014">
        <f ca="1"/>
        <v>4.84</v>
      </c>
    </row>
    <row r="135" spans="1:4" x14ac:dyDescent="0.25">
      <c r="A135" vm="666">
        <f ca="1"/>
        <v>45854</v>
      </c>
      <c r="B135" vm="976">
        <f ca="1"/>
        <v>5.23</v>
      </c>
      <c r="C135" vm="1236">
        <f ca="1"/>
        <v>5.2649999999999997</v>
      </c>
      <c r="D135" vm="880">
        <f ca="1"/>
        <v>4.99</v>
      </c>
    </row>
    <row r="136" spans="1:4" x14ac:dyDescent="0.25">
      <c r="A136" vm="668">
        <f ca="1"/>
        <v>45855</v>
      </c>
      <c r="B136" vm="831">
        <f ca="1"/>
        <v>5.47</v>
      </c>
      <c r="C136" vm="829">
        <f ca="1"/>
        <v>5.49</v>
      </c>
      <c r="D136" vm="1237">
        <f ca="1"/>
        <v>5.1150000000000002</v>
      </c>
    </row>
    <row r="137" spans="1:4" x14ac:dyDescent="0.25">
      <c r="A137" vm="1">
        <f ca="1"/>
        <v>45856</v>
      </c>
      <c r="B137" vm="805">
        <f ca="1"/>
        <v>5.39</v>
      </c>
      <c r="C137" vm="1238">
        <f ca="1"/>
        <v>5.5899000000000001</v>
      </c>
      <c r="D137" vm="999">
        <f ca="1"/>
        <v>5.3</v>
      </c>
    </row>
    <row r="138" spans="1:4" x14ac:dyDescent="0.25">
      <c r="A138" vm="9">
        <f ca="1"/>
        <v>45859</v>
      </c>
      <c r="B138" vm="812">
        <f ca="1"/>
        <v>5.85</v>
      </c>
      <c r="C138" vm="826">
        <f ca="1"/>
        <v>5.91</v>
      </c>
      <c r="D138" vm="961">
        <f ca="1"/>
        <v>5.43</v>
      </c>
    </row>
    <row r="139" spans="1:4" x14ac:dyDescent="0.25">
      <c r="A139" vm="17">
        <f ca="1"/>
        <v>45860</v>
      </c>
      <c r="B139" vm="833">
        <f ca="1"/>
        <v>6.11</v>
      </c>
      <c r="C139" vm="783">
        <f ca="1"/>
        <v>6.16</v>
      </c>
      <c r="D139" vm="1239">
        <f ca="1"/>
        <v>5.82</v>
      </c>
    </row>
    <row r="140" spans="1:4" x14ac:dyDescent="0.25">
      <c r="A140" vm="25">
        <f ca="1"/>
        <v>45861</v>
      </c>
      <c r="B140" vm="849">
        <f ca="1"/>
        <v>5.78</v>
      </c>
      <c r="C140" vm="783">
        <f ca="1"/>
        <v>6.16</v>
      </c>
      <c r="D140" vm="841">
        <f ca="1"/>
        <v>5.76</v>
      </c>
    </row>
    <row r="141" spans="1:4" x14ac:dyDescent="0.25">
      <c r="A141" vm="31">
        <f ca="1"/>
        <v>45862</v>
      </c>
      <c r="B141" vm="822">
        <f ca="1"/>
        <v>5.6</v>
      </c>
      <c r="C141" vm="821">
        <f ca="1"/>
        <v>5.79</v>
      </c>
      <c r="D141" vm="808">
        <f ca="1"/>
        <v>5.56</v>
      </c>
    </row>
    <row r="142" spans="1:4" x14ac:dyDescent="0.25">
      <c r="A142" vm="39">
        <f ca="1"/>
        <v>45863</v>
      </c>
      <c r="B142" vm="993">
        <f ca="1"/>
        <v>5.36</v>
      </c>
      <c r="C142" vm="822">
        <f ca="1"/>
        <v>5.6</v>
      </c>
      <c r="D142" vm="1240">
        <f ca="1"/>
        <v>5.2850000000000001</v>
      </c>
    </row>
    <row r="143" spans="1:4" x14ac:dyDescent="0.25">
      <c r="A143" vm="47">
        <f ca="1"/>
        <v>45866</v>
      </c>
      <c r="B143" vm="976">
        <f ca="1"/>
        <v>5.23</v>
      </c>
      <c r="C143" vm="1241">
        <f ca="1"/>
        <v>5.31</v>
      </c>
      <c r="D143" vm="860">
        <f ca="1"/>
        <v>5.15</v>
      </c>
    </row>
    <row r="144" spans="1:4" x14ac:dyDescent="0.25">
      <c r="A144" vm="55">
        <f ca="1"/>
        <v>45867</v>
      </c>
      <c r="B144" vm="1004">
        <f ca="1"/>
        <v>5.25</v>
      </c>
      <c r="C144" vm="972">
        <f ca="1"/>
        <v>5.38</v>
      </c>
      <c r="D144" vm="856">
        <f ca="1"/>
        <v>5.17</v>
      </c>
    </row>
    <row r="145" spans="1:4" x14ac:dyDescent="0.25">
      <c r="A145" vm="62">
        <f ca="1"/>
        <v>45868</v>
      </c>
      <c r="B145" vm="1242">
        <f ca="1"/>
        <v>5.12</v>
      </c>
      <c r="C145" vm="1243">
        <f ca="1"/>
        <v>5.3997999999999999</v>
      </c>
      <c r="D145" vm="1244">
        <f ca="1"/>
        <v>5.07</v>
      </c>
    </row>
    <row r="146" spans="1:4" x14ac:dyDescent="0.25">
      <c r="A146" vm="70">
        <f ca="1"/>
        <v>45869</v>
      </c>
      <c r="B146" vm="877">
        <f ca="1"/>
        <v>5.19</v>
      </c>
      <c r="C146" vm="1003">
        <f ca="1"/>
        <v>5.2450000000000001</v>
      </c>
      <c r="D146" vm="1245">
        <f ca="1"/>
        <v>5.0949999999999998</v>
      </c>
    </row>
    <row r="147" spans="1:4" x14ac:dyDescent="0.25">
      <c r="A147" vm="78">
        <f ca="1"/>
        <v>45870</v>
      </c>
      <c r="B147" vm="989">
        <f ca="1"/>
        <v>5.27</v>
      </c>
      <c r="C147" vm="805">
        <f ca="1"/>
        <v>5.39</v>
      </c>
      <c r="D147" vm="1006">
        <f ca="1"/>
        <v>5.14</v>
      </c>
    </row>
    <row r="148" spans="1:4" x14ac:dyDescent="0.25">
      <c r="A148" vm="85">
        <f ca="1"/>
        <v>45873</v>
      </c>
      <c r="B148" vm="965">
        <f ca="1"/>
        <v>5.48</v>
      </c>
      <c r="C148" vm="830">
        <f ca="1"/>
        <v>5.59</v>
      </c>
      <c r="D148" vm="1246">
        <f ca="1"/>
        <v>5.3879999999999999</v>
      </c>
    </row>
    <row r="149" spans="1:4" x14ac:dyDescent="0.25">
      <c r="A149" vm="92">
        <f ca="1"/>
        <v>45874</v>
      </c>
      <c r="B149" vm="841">
        <f ca="1"/>
        <v>5.76</v>
      </c>
      <c r="C149" vm="806">
        <f ca="1"/>
        <v>5.81</v>
      </c>
      <c r="D149" vm="955">
        <f ca="1"/>
        <v>5.35</v>
      </c>
    </row>
    <row r="150" spans="1:4" x14ac:dyDescent="0.25">
      <c r="A150" vm="100">
        <f ca="1"/>
        <v>45875</v>
      </c>
      <c r="B150" vm="824">
        <f ca="1"/>
        <v>5.75</v>
      </c>
      <c r="C150" vm="810">
        <f ca="1"/>
        <v>5.8</v>
      </c>
      <c r="D150" vm="1247">
        <f ca="1"/>
        <v>5.6428000000000003</v>
      </c>
    </row>
    <row r="151" spans="1:4" x14ac:dyDescent="0.25">
      <c r="A151" vm="108">
        <f ca="1"/>
        <v>45876</v>
      </c>
      <c r="B151" vm="820">
        <f ca="1"/>
        <v>5.71</v>
      </c>
      <c r="C151" vm="825">
        <f ca="1"/>
        <v>5.83</v>
      </c>
      <c r="D151" vm="990">
        <f ca="1"/>
        <v>5.6349999999999998</v>
      </c>
    </row>
    <row r="152" spans="1:4" x14ac:dyDescent="0.25">
      <c r="A152" vm="115">
        <f ca="1"/>
        <v>45877</v>
      </c>
      <c r="B152" vm="992">
        <f ca="1"/>
        <v>5.66</v>
      </c>
      <c r="C152" vm="1248">
        <f ca="1"/>
        <v>5.835</v>
      </c>
      <c r="D152" vm="822">
        <f ca="1"/>
        <v>5.6</v>
      </c>
    </row>
    <row r="153" spans="1:4" x14ac:dyDescent="0.25">
      <c r="A153" vm="122">
        <f ca="1"/>
        <v>45880</v>
      </c>
      <c r="B153" vm="849">
        <f ca="1"/>
        <v>5.78</v>
      </c>
      <c r="C153" vm="1249">
        <f ca="1"/>
        <v>5.8898999999999999</v>
      </c>
      <c r="D153" vm="958">
        <f ca="1"/>
        <v>5.53</v>
      </c>
    </row>
    <row r="154" spans="1:4" x14ac:dyDescent="0.25">
      <c r="A154" vm="128">
        <f ca="1"/>
        <v>45881</v>
      </c>
      <c r="B154" vm="846">
        <f ca="1"/>
        <v>5.89</v>
      </c>
      <c r="C154" vm="1250">
        <f ca="1"/>
        <v>5.92</v>
      </c>
      <c r="D154" vm="841">
        <f ca="1"/>
        <v>5.76</v>
      </c>
    </row>
    <row r="155" spans="1:4" x14ac:dyDescent="0.25">
      <c r="A155" vm="135">
        <f ca="1"/>
        <v>45882</v>
      </c>
      <c r="B155" vm="1250">
        <f ca="1"/>
        <v>5.92</v>
      </c>
      <c r="C155" vm="816">
        <f ca="1"/>
        <v>6</v>
      </c>
      <c r="D155" vm="1251">
        <f ca="1"/>
        <v>5.8150000000000004</v>
      </c>
    </row>
    <row r="156" spans="1:4" x14ac:dyDescent="0.25">
      <c r="A156" vm="142">
        <f ca="1"/>
        <v>45883</v>
      </c>
      <c r="B156" vm="1252">
        <f ca="1"/>
        <v>5.97</v>
      </c>
      <c r="C156" vm="843">
        <f ca="1"/>
        <v>6.05</v>
      </c>
      <c r="D156" vm="823">
        <f ca="1"/>
        <v>5.84</v>
      </c>
    </row>
    <row r="157" spans="1:4" x14ac:dyDescent="0.25">
      <c r="A157" vm="146">
        <f ca="1"/>
        <v>45884</v>
      </c>
      <c r="B157" vm="845">
        <f ca="1"/>
        <v>6.01</v>
      </c>
      <c r="C157" vm="832">
        <f ca="1"/>
        <v>6.06</v>
      </c>
      <c r="D157" vm="846">
        <f ca="1"/>
        <v>5.89</v>
      </c>
    </row>
    <row r="158" spans="1:4" x14ac:dyDescent="0.25">
      <c r="A158" vm="154">
        <f ca="1"/>
        <v>45887</v>
      </c>
      <c r="B158" vm="843">
        <f ca="1"/>
        <v>6.05</v>
      </c>
      <c r="C158" vm="838">
        <f ca="1"/>
        <v>6.12</v>
      </c>
      <c r="D158" vm="844">
        <f ca="1"/>
        <v>5.95</v>
      </c>
    </row>
    <row r="159" spans="1:4" x14ac:dyDescent="0.25">
      <c r="A159" vm="161">
        <f ca="1"/>
        <v>45888</v>
      </c>
      <c r="B159" vm="826">
        <f ca="1"/>
        <v>5.91</v>
      </c>
      <c r="C159" vm="1253">
        <f ca="1"/>
        <v>6.08</v>
      </c>
      <c r="D159" vm="812">
        <f ca="1"/>
        <v>5.85</v>
      </c>
    </row>
    <row r="160" spans="1:4" x14ac:dyDescent="0.25">
      <c r="A160" vm="168">
        <f ca="1"/>
        <v>45889</v>
      </c>
      <c r="B160" vm="1250">
        <f ca="1"/>
        <v>5.92</v>
      </c>
      <c r="C160" vm="1254">
        <f ca="1"/>
        <v>5.9950000000000001</v>
      </c>
      <c r="D160" vm="846">
        <f ca="1"/>
        <v>5.89</v>
      </c>
    </row>
    <row r="161" spans="1:4" x14ac:dyDescent="0.25">
      <c r="A161" vm="174">
        <f ca="1"/>
        <v>45890</v>
      </c>
      <c r="B161" vm="844">
        <f ca="1"/>
        <v>5.95</v>
      </c>
      <c r="C161" vm="1255">
        <f ca="1"/>
        <v>6.0198999999999998</v>
      </c>
      <c r="D161" vm="806">
        <f ca="1"/>
        <v>5.81</v>
      </c>
    </row>
    <row r="162" spans="1:4" x14ac:dyDescent="0.25">
      <c r="A162" vm="180">
        <f ca="1"/>
        <v>45891</v>
      </c>
      <c r="B162" vm="1037">
        <f ca="1"/>
        <v>6.09</v>
      </c>
      <c r="C162" vm="1256">
        <f ca="1"/>
        <v>6.15</v>
      </c>
      <c r="D162" vm="1257">
        <f ca="1"/>
        <v>5.8550000000000004</v>
      </c>
    </row>
    <row r="163" spans="1:4" x14ac:dyDescent="0.25">
      <c r="A163" vm="186">
        <f ca="1"/>
        <v>45894</v>
      </c>
      <c r="B163" vm="1029">
        <f ca="1"/>
        <v>6.4</v>
      </c>
      <c r="C163" vm="766">
        <f ca="1"/>
        <v>6.56</v>
      </c>
      <c r="D163" vm="1253">
        <f ca="1"/>
        <v>6.08</v>
      </c>
    </row>
    <row r="164" spans="1:4" x14ac:dyDescent="0.25">
      <c r="A164" vm="193">
        <f ca="1"/>
        <v>45895</v>
      </c>
      <c r="B164" vm="766">
        <f ca="1"/>
        <v>6.56</v>
      </c>
      <c r="C164" vm="781">
        <f ca="1"/>
        <v>6.625</v>
      </c>
      <c r="D164" vm="1029">
        <f ca="1"/>
        <v>6.4</v>
      </c>
    </row>
    <row r="165" spans="1:4" x14ac:dyDescent="0.25">
      <c r="A165" vm="199">
        <f ca="1"/>
        <v>45896</v>
      </c>
      <c r="B165" vm="1258">
        <f ca="1"/>
        <v>6.59</v>
      </c>
      <c r="C165" vm="777">
        <f ca="1"/>
        <v>6.5949999999999998</v>
      </c>
      <c r="D165" vm="1259">
        <f ca="1"/>
        <v>6.4050000000000002</v>
      </c>
    </row>
    <row r="166" spans="1:4" x14ac:dyDescent="0.25">
      <c r="A166" vm="206">
        <f ca="1"/>
        <v>45897</v>
      </c>
      <c r="B166" vm="1046">
        <f ca="1"/>
        <v>6.46</v>
      </c>
      <c r="C166" vm="1260">
        <f ca="1"/>
        <v>6.6749999999999998</v>
      </c>
      <c r="D166" vm="795">
        <f ca="1"/>
        <v>6.4349999999999996</v>
      </c>
    </row>
    <row r="167" spans="1:4" x14ac:dyDescent="0.25">
      <c r="A167" vm="210">
        <f ca="1"/>
        <v>45898</v>
      </c>
      <c r="B167" vm="778">
        <f ca="1"/>
        <v>6.84</v>
      </c>
      <c r="C167" vm="1261">
        <f ca="1"/>
        <v>6.9349999999999996</v>
      </c>
      <c r="D167" vm="1023">
        <f ca="1"/>
        <v>6.47</v>
      </c>
    </row>
    <row r="168" spans="1:4" x14ac:dyDescent="0.25">
      <c r="A168" vm="216">
        <f ca="1"/>
        <v>45902</v>
      </c>
      <c r="B168" vm="1262">
        <f ca="1"/>
        <v>6.69</v>
      </c>
      <c r="C168" vm="729">
        <f ca="1"/>
        <v>6.95</v>
      </c>
      <c r="D168" vm="801">
        <f ca="1"/>
        <v>6.55</v>
      </c>
    </row>
    <row r="169" spans="1:4" x14ac:dyDescent="0.25">
      <c r="A169" vm="223">
        <f ca="1"/>
        <v>45903</v>
      </c>
      <c r="B169" vm="755">
        <f ca="1"/>
        <v>6.7</v>
      </c>
      <c r="C169" vm="732">
        <f ca="1"/>
        <v>6.85</v>
      </c>
      <c r="D169" vm="1263">
        <f ca="1"/>
        <v>6.585</v>
      </c>
    </row>
    <row r="170" spans="1:4" x14ac:dyDescent="0.25">
      <c r="A170" vm="229">
        <f ca="1"/>
        <v>45904</v>
      </c>
      <c r="B170" vm="1264">
        <f ca="1"/>
        <v>6.75</v>
      </c>
      <c r="C170" vm="737">
        <f ca="1"/>
        <v>6.78</v>
      </c>
      <c r="D170" vm="766">
        <f ca="1"/>
        <v>6.56</v>
      </c>
    </row>
    <row r="171" spans="1:4" x14ac:dyDescent="0.25">
      <c r="A171" vm="235">
        <f ca="1"/>
        <v>45905</v>
      </c>
      <c r="B171" vm="742">
        <f ca="1"/>
        <v>6.76</v>
      </c>
      <c r="C171" vm="731">
        <f ca="1"/>
        <v>6.87</v>
      </c>
      <c r="D171" vm="1265">
        <f ca="1"/>
        <v>6.67</v>
      </c>
    </row>
    <row r="172" spans="1:4" x14ac:dyDescent="0.25">
      <c r="A172" vm="242">
        <f ca="1"/>
        <v>45908</v>
      </c>
      <c r="B172" vm="772">
        <f ca="1"/>
        <v>6.73</v>
      </c>
      <c r="C172" vm="744">
        <f ca="1"/>
        <v>6.8849999999999998</v>
      </c>
      <c r="D172" vm="1265">
        <f ca="1"/>
        <v>6.67</v>
      </c>
    </row>
    <row r="173" spans="1:4" x14ac:dyDescent="0.25">
      <c r="A173" vm="250">
        <f ca="1"/>
        <v>45909</v>
      </c>
      <c r="B173" vm="743">
        <f ca="1"/>
        <v>6.74</v>
      </c>
      <c r="C173" vm="1266">
        <f ca="1"/>
        <v>6.8598999999999997</v>
      </c>
      <c r="D173" vm="769">
        <f ca="1"/>
        <v>6.64</v>
      </c>
    </row>
    <row r="174" spans="1:4" x14ac:dyDescent="0.25">
      <c r="A174" vm="257">
        <f ca="1"/>
        <v>45910</v>
      </c>
      <c r="B174" vm="1267">
        <f ca="1"/>
        <v>6.61</v>
      </c>
      <c r="C174" vm="1268">
        <f ca="1"/>
        <v>6.98</v>
      </c>
      <c r="D174" vm="1263">
        <f ca="1"/>
        <v>6.585</v>
      </c>
    </row>
    <row r="175" spans="1:4" x14ac:dyDescent="0.25">
      <c r="A175" vm="264">
        <f ca="1"/>
        <v>45911</v>
      </c>
      <c r="B175" vm="1268">
        <f ca="1"/>
        <v>6.98</v>
      </c>
      <c r="C175" vm="1269">
        <f ca="1"/>
        <v>7.05</v>
      </c>
      <c r="D175" vm="1258">
        <f ca="1"/>
        <v>6.59</v>
      </c>
    </row>
    <row r="176" spans="1:4" x14ac:dyDescent="0.25">
      <c r="A176" vm="271">
        <f ca="1"/>
        <v>45912</v>
      </c>
      <c r="B176" vm="738">
        <f ca="1"/>
        <v>6.92</v>
      </c>
      <c r="C176" vm="1269">
        <f ca="1"/>
        <v>7.05</v>
      </c>
      <c r="D176" vm="441">
        <f ca="1"/>
        <v>6.83</v>
      </c>
    </row>
    <row r="177" spans="1:4" x14ac:dyDescent="0.25">
      <c r="A177" vm="279">
        <f ca="1"/>
        <v>45915</v>
      </c>
      <c r="B177" vm="1270">
        <f ca="1"/>
        <v>7.3</v>
      </c>
      <c r="C177" vm="1271">
        <f ca="1"/>
        <v>7.33</v>
      </c>
      <c r="D177" vm="738">
        <f ca="1"/>
        <v>6.92</v>
      </c>
    </row>
    <row r="178" spans="1:4" x14ac:dyDescent="0.25">
      <c r="A178" vm="285">
        <f ca="1"/>
        <v>45916</v>
      </c>
      <c r="B178" vm="429">
        <f ca="1"/>
        <v>7.14</v>
      </c>
      <c r="C178" vm="1272">
        <f ca="1"/>
        <v>7.31</v>
      </c>
      <c r="D178" vm="1273">
        <f ca="1"/>
        <v>7.1050000000000004</v>
      </c>
    </row>
    <row r="179" spans="1:4" x14ac:dyDescent="0.25">
      <c r="A179" vm="292">
        <f ca="1"/>
        <v>45917</v>
      </c>
      <c r="B179" vm="1274">
        <f ca="1"/>
        <v>7.04</v>
      </c>
      <c r="C179" vm="681">
        <f ca="1"/>
        <v>7.36</v>
      </c>
      <c r="D179" vm="729">
        <f ca="1"/>
        <v>6.95</v>
      </c>
    </row>
    <row r="180" spans="1:4" x14ac:dyDescent="0.25">
      <c r="A180" vm="298">
        <f ca="1"/>
        <v>45918</v>
      </c>
      <c r="B180" vm="1275">
        <f ca="1"/>
        <v>7.25</v>
      </c>
      <c r="C180" vm="1276">
        <f ca="1"/>
        <v>7.27</v>
      </c>
      <c r="D180" vm="1277">
        <f ca="1"/>
        <v>6.9</v>
      </c>
    </row>
    <row r="181" spans="1:4" x14ac:dyDescent="0.25">
      <c r="A181" vm="303">
        <f ca="1"/>
        <v>45919</v>
      </c>
      <c r="B181" vm="1278">
        <f ca="1"/>
        <v>7.53</v>
      </c>
      <c r="C181" vm="671">
        <f ca="1"/>
        <v>7.55</v>
      </c>
      <c r="D181" vm="1279">
        <f ca="1"/>
        <v>7.26</v>
      </c>
    </row>
    <row r="182" spans="1:4" x14ac:dyDescent="0.25">
      <c r="A182" vm="310">
        <f ca="1"/>
        <v>45922</v>
      </c>
      <c r="B182" vm="1280">
        <f ca="1"/>
        <v>7.64</v>
      </c>
      <c r="C182" vm="1281">
        <f ca="1"/>
        <v>7.81</v>
      </c>
      <c r="D182" vm="1282">
        <f ca="1"/>
        <v>7.5049999999999999</v>
      </c>
    </row>
    <row r="183" spans="1:4" x14ac:dyDescent="0.25">
      <c r="A183" vm="317">
        <f ca="1"/>
        <v>45923</v>
      </c>
      <c r="B183" vm="466">
        <f ca="1"/>
        <v>7.73</v>
      </c>
      <c r="C183" vm="469">
        <f ca="1"/>
        <v>8.0549999999999997</v>
      </c>
      <c r="D183" vm="1283">
        <f ca="1"/>
        <v>7.67</v>
      </c>
    </row>
    <row r="184" spans="1:4" x14ac:dyDescent="0.25">
      <c r="A184" vm="323">
        <f ca="1"/>
        <v>45924</v>
      </c>
      <c r="B184" vm="461">
        <f ca="1"/>
        <v>7.68</v>
      </c>
      <c r="C184" vm="675">
        <f ca="1"/>
        <v>7.86</v>
      </c>
      <c r="D184" vm="1284">
        <f ca="1"/>
        <v>7.6</v>
      </c>
    </row>
    <row r="185" spans="1:4" x14ac:dyDescent="0.25">
      <c r="A185" vm="328">
        <f ca="1"/>
        <v>45925</v>
      </c>
      <c r="B185" vm="538">
        <f ca="1"/>
        <v>7.94</v>
      </c>
      <c r="C185" vm="483">
        <f ca="1"/>
        <v>7.97</v>
      </c>
      <c r="D185" vm="688">
        <f ca="1"/>
        <v>7.61</v>
      </c>
    </row>
    <row r="186" spans="1:4" x14ac:dyDescent="0.25">
      <c r="A186" vm="334">
        <f ca="1"/>
        <v>45926</v>
      </c>
      <c r="B186" vm="417">
        <f ca="1"/>
        <v>8.3000000000000007</v>
      </c>
      <c r="C186" vm="245">
        <f ca="1"/>
        <v>8.33</v>
      </c>
      <c r="D186" vm="483">
        <f ca="1"/>
        <v>7.97</v>
      </c>
    </row>
    <row r="187" spans="1:4" x14ac:dyDescent="0.25">
      <c r="A187" vm="340">
        <f ca="1"/>
        <v>45929</v>
      </c>
      <c r="B187" vm="20">
        <f ca="1"/>
        <v>8.48</v>
      </c>
      <c r="C187" vm="589">
        <f ca="1"/>
        <v>8.58</v>
      </c>
      <c r="D187" vm="243">
        <f ca="1"/>
        <v>8.34</v>
      </c>
    </row>
    <row r="188" spans="1:4" x14ac:dyDescent="0.25">
      <c r="A188" vm="346">
        <f ca="1"/>
        <v>45930</v>
      </c>
      <c r="B188" vm="265">
        <f ca="1"/>
        <v>8.8000000000000007</v>
      </c>
      <c r="C188" vm="1285">
        <f ca="1"/>
        <v>9.0549999999999997</v>
      </c>
      <c r="D188" vm="1286">
        <f ca="1"/>
        <v>8.4649999999999999</v>
      </c>
    </row>
    <row r="189" spans="1:4" x14ac:dyDescent="0.25">
      <c r="A189" vm="352">
        <f ca="1"/>
        <v>45931</v>
      </c>
      <c r="B189" vm="1287">
        <f ca="1"/>
        <v>10.119999999999999</v>
      </c>
      <c r="C189" vm="1288">
        <f ca="1"/>
        <v>10.16</v>
      </c>
      <c r="D189" vm="492">
        <f ca="1"/>
        <v>8.27</v>
      </c>
    </row>
    <row r="190" spans="1:4" x14ac:dyDescent="0.25">
      <c r="A190" vm="357">
        <f ca="1"/>
        <v>45932</v>
      </c>
      <c r="B190" vm="56">
        <f ca="1"/>
        <v>9.65</v>
      </c>
      <c r="C190" vm="1289">
        <f ca="1"/>
        <v>10.435</v>
      </c>
      <c r="D190" vm="1290">
        <f ca="1"/>
        <v>9.3244000000000007</v>
      </c>
    </row>
    <row r="191" spans="1:4" x14ac:dyDescent="0.25">
      <c r="A191" vm="362">
        <f ca="1"/>
        <v>45933</v>
      </c>
      <c r="B191" vm="182">
        <f ca="1"/>
        <v>9.99</v>
      </c>
      <c r="C191" vm="1291">
        <f ca="1"/>
        <v>10.39</v>
      </c>
      <c r="D191" vm="1292">
        <f ca="1"/>
        <v>9.83</v>
      </c>
    </row>
    <row r="192" spans="1:4" x14ac:dyDescent="0.25">
      <c r="A192" vm="370">
        <f ca="1"/>
        <v>45936</v>
      </c>
      <c r="B192" vm="64">
        <f ca="1"/>
        <v>9.66</v>
      </c>
      <c r="C192" vm="1293">
        <f ca="1"/>
        <v>10.3399</v>
      </c>
      <c r="D192" vm="576">
        <f ca="1"/>
        <v>9.6300000000000008</v>
      </c>
    </row>
    <row r="193" spans="1:4" x14ac:dyDescent="0.25">
      <c r="A193" vm="378">
        <f ca="1"/>
        <v>45937</v>
      </c>
      <c r="B193" vm="1294">
        <f ca="1"/>
        <v>10.07</v>
      </c>
      <c r="C193" vm="1288">
        <f ca="1"/>
        <v>10.16</v>
      </c>
      <c r="D193" vm="1295">
        <f ca="1"/>
        <v>9.59</v>
      </c>
    </row>
    <row r="194" spans="1:4" x14ac:dyDescent="0.25">
      <c r="A194" vm="383">
        <f ca="1"/>
        <v>45938</v>
      </c>
      <c r="B194" vm="1296">
        <f ca="1"/>
        <v>10.31</v>
      </c>
      <c r="C194" vm="1297">
        <f ca="1"/>
        <v>10.44</v>
      </c>
      <c r="D194" vm="1294">
        <f ca="1"/>
        <v>10.07</v>
      </c>
    </row>
    <row r="195" spans="1:4" x14ac:dyDescent="0.25">
      <c r="A195" vm="389">
        <f ca="1"/>
        <v>45939</v>
      </c>
      <c r="B195" vm="1298">
        <f ca="1"/>
        <v>9.75</v>
      </c>
      <c r="C195" vm="1299">
        <f ca="1"/>
        <v>10.36</v>
      </c>
      <c r="D195" vm="1300">
        <f ca="1"/>
        <v>9.67</v>
      </c>
    </row>
    <row r="196" spans="1:4" x14ac:dyDescent="0.25">
      <c r="A196" vm="395">
        <f ca="1"/>
        <v>45940</v>
      </c>
      <c r="B196" vm="522">
        <f ca="1"/>
        <v>9.6999999999999993</v>
      </c>
      <c r="C196" vm="628">
        <f ca="1"/>
        <v>10</v>
      </c>
      <c r="D196" vm="1301">
        <f ca="1"/>
        <v>9.6150000000000002</v>
      </c>
    </row>
    <row r="197" spans="1:4" x14ac:dyDescent="0.25">
      <c r="A197" vm="402">
        <f ca="1"/>
        <v>45943</v>
      </c>
      <c r="B197" vm="1302">
        <f ca="1"/>
        <v>10.01</v>
      </c>
      <c r="C197" vm="1303">
        <f ca="1"/>
        <v>10.185</v>
      </c>
      <c r="D197" vm="1304">
        <f ca="1"/>
        <v>9.8949999999999996</v>
      </c>
    </row>
    <row r="198" spans="1:4" x14ac:dyDescent="0.25">
      <c r="A198" vm="407">
        <f ca="1"/>
        <v>45944</v>
      </c>
      <c r="B198" vm="633">
        <f ca="1"/>
        <v>9.8800000000000008</v>
      </c>
      <c r="C198" vm="1305">
        <f ca="1"/>
        <v>10.135</v>
      </c>
      <c r="D198" vm="187">
        <f ca="1"/>
        <v>9.5399999999999991</v>
      </c>
    </row>
    <row r="199" spans="1:4" x14ac:dyDescent="0.25">
      <c r="A199" vm="411">
        <f ca="1"/>
        <v>45945</v>
      </c>
      <c r="B199" vm="315">
        <f ca="1"/>
        <v>10.51</v>
      </c>
      <c r="C199" vm="1306">
        <f ca="1"/>
        <v>10.9</v>
      </c>
      <c r="D199" vm="336">
        <f ca="1"/>
        <v>9.9700000000000006</v>
      </c>
    </row>
    <row r="200" spans="1:4" x14ac:dyDescent="0.25">
      <c r="A200" vm="416">
        <f ca="1"/>
        <v>45946</v>
      </c>
      <c r="B200" vm="1307">
        <f ca="1"/>
        <v>10.4</v>
      </c>
      <c r="C200" vm="1308">
        <f ca="1"/>
        <v>10.74</v>
      </c>
      <c r="D200" vm="1309">
        <f ca="1"/>
        <v>10.33</v>
      </c>
    </row>
    <row r="201" spans="1:4" x14ac:dyDescent="0.25">
      <c r="A201" vm="422">
        <f ca="1"/>
        <v>45947</v>
      </c>
      <c r="B201" vm="1310">
        <f ca="1"/>
        <v>9.5500000000000007</v>
      </c>
      <c r="C201" vm="1311">
        <f ca="1"/>
        <v>10.25</v>
      </c>
      <c r="D201" vm="93">
        <f ca="1"/>
        <v>9.36</v>
      </c>
    </row>
    <row r="202" spans="1:4" x14ac:dyDescent="0.25">
      <c r="A202" vm="430">
        <f ca="1"/>
        <v>45950</v>
      </c>
      <c r="B202" vm="1312">
        <f ca="1"/>
        <v>10.11</v>
      </c>
      <c r="C202" vm="1312">
        <f ca="1"/>
        <v>10.11</v>
      </c>
      <c r="D202" vm="1313">
        <f ca="1"/>
        <v>9.5890000000000004</v>
      </c>
    </row>
    <row r="203" spans="1:4" x14ac:dyDescent="0.25">
      <c r="A203" vm="436">
        <f ca="1"/>
        <v>45951</v>
      </c>
      <c r="B203" vm="641">
        <f ca="1"/>
        <v>8.77</v>
      </c>
      <c r="C203" vm="147">
        <f ca="1"/>
        <v>9.42</v>
      </c>
      <c r="D203" vm="504">
        <f ca="1"/>
        <v>8.7200000000000006</v>
      </c>
    </row>
    <row r="204" spans="1:4" x14ac:dyDescent="0.25">
      <c r="A204" vm="442">
        <f ca="1"/>
        <v>45952</v>
      </c>
      <c r="B204" vm="258">
        <f ca="1"/>
        <v>8.6999999999999993</v>
      </c>
      <c r="C204" vm="299">
        <f ca="1"/>
        <v>8.7799999999999994</v>
      </c>
      <c r="D204" vm="1314">
        <f ca="1"/>
        <v>8.3101000000000003</v>
      </c>
    </row>
    <row r="205" spans="1:4" x14ac:dyDescent="0.25">
      <c r="A205" vm="448">
        <f ca="1"/>
        <v>45953</v>
      </c>
      <c r="B205" vm="449">
        <f ca="1"/>
        <v>8.5299999999999994</v>
      </c>
      <c r="C205" vm="1315">
        <f ca="1"/>
        <v>8.91</v>
      </c>
      <c r="D205" vm="20">
        <f ca="1"/>
        <v>8.48</v>
      </c>
    </row>
    <row r="206" spans="1:4" x14ac:dyDescent="0.25">
      <c r="A206" vm="455">
        <f ca="1"/>
        <v>45954</v>
      </c>
      <c r="B206" vm="449">
        <f ca="1"/>
        <v>8.5299999999999994</v>
      </c>
      <c r="C206" vm="600">
        <f ca="1"/>
        <v>8.5749999999999993</v>
      </c>
      <c r="D206" vm="414">
        <f ca="1"/>
        <v>8.32</v>
      </c>
    </row>
    <row r="207" spans="1:4" x14ac:dyDescent="0.25">
      <c r="A207" vm="462">
        <f ca="1"/>
        <v>45957</v>
      </c>
      <c r="B207" vm="471">
        <f ca="1"/>
        <v>8.1300000000000008</v>
      </c>
      <c r="C207" vm="1316">
        <f ca="1"/>
        <v>8.31</v>
      </c>
      <c r="D207" vm="694">
        <f ca="1"/>
        <v>7.87</v>
      </c>
    </row>
    <row r="208" spans="1:4" x14ac:dyDescent="0.25">
      <c r="A208" vm="467">
        <f ca="1"/>
        <v>45958</v>
      </c>
      <c r="B208" vm="471">
        <f ca="1"/>
        <v>8.1300000000000008</v>
      </c>
      <c r="C208" vm="423">
        <f ca="1"/>
        <v>8.25</v>
      </c>
      <c r="D208" vm="1283">
        <f ca="1"/>
        <v>7.67</v>
      </c>
    </row>
    <row r="209" spans="1:4" x14ac:dyDescent="0.25">
      <c r="A209" vm="474">
        <f ca="1"/>
        <v>45959</v>
      </c>
      <c r="B209" vm="431">
        <f ca="1"/>
        <v>8.1</v>
      </c>
      <c r="C209" vm="1317">
        <f ca="1"/>
        <v>8.4491999999999994</v>
      </c>
      <c r="D209" vm="704">
        <f ca="1"/>
        <v>7.93</v>
      </c>
    </row>
    <row r="210" spans="1:4" x14ac:dyDescent="0.25">
      <c r="A210" vm="481">
        <f ca="1"/>
        <v>45960</v>
      </c>
      <c r="B210" vm="472">
        <f ca="1"/>
        <v>8.2899999999999991</v>
      </c>
      <c r="C210" vm="245">
        <f ca="1"/>
        <v>8.33</v>
      </c>
      <c r="D210" vm="678">
        <f ca="1"/>
        <v>7.96</v>
      </c>
    </row>
    <row r="211" spans="1:4" x14ac:dyDescent="0.25">
      <c r="A211" vm="487">
        <f ca="1"/>
        <v>45961</v>
      </c>
      <c r="B211" vm="472">
        <f ca="1"/>
        <v>8.2899999999999991</v>
      </c>
      <c r="C211" vm="245">
        <f ca="1"/>
        <v>8.33</v>
      </c>
      <c r="D211" vm="687">
        <f ca="1"/>
        <v>7.83</v>
      </c>
    </row>
    <row r="212" spans="1:4" x14ac:dyDescent="0.25">
      <c r="A212" vm="490">
        <f ca="1"/>
        <v>45964</v>
      </c>
      <c r="B212" vm="539">
        <f ca="1"/>
        <v>8.11</v>
      </c>
      <c r="C212" vm="412">
        <f ca="1"/>
        <v>8.3699999999999992</v>
      </c>
      <c r="D212" vm="695">
        <f ca="1"/>
        <v>7.9950000000000001</v>
      </c>
    </row>
    <row r="213" spans="1:4" x14ac:dyDescent="0.25">
      <c r="A213" vm="494">
        <f ca="1"/>
        <v>45965</v>
      </c>
      <c r="B213" vm="452">
        <f ca="1"/>
        <v>7.71</v>
      </c>
      <c r="C213" vm="469">
        <f ca="1"/>
        <v>8.0549999999999997</v>
      </c>
      <c r="D213" vm="1318">
        <f ca="1"/>
        <v>7.6749999999999998</v>
      </c>
    </row>
    <row r="214" spans="1:4" x14ac:dyDescent="0.25">
      <c r="A214" vm="500">
        <f ca="1"/>
        <v>45966</v>
      </c>
      <c r="B214" vm="427">
        <f ca="1"/>
        <v>7.88</v>
      </c>
      <c r="C214" vm="531">
        <f ca="1"/>
        <v>7.95</v>
      </c>
      <c r="D214" vm="1319">
        <f ca="1"/>
        <v>7.7149999999999999</v>
      </c>
    </row>
    <row r="215" spans="1:4" x14ac:dyDescent="0.25">
      <c r="A215" vm="506">
        <f ca="1"/>
        <v>45967</v>
      </c>
      <c r="B215" vm="674">
        <f ca="1"/>
        <v>7.84</v>
      </c>
      <c r="C215" vm="492">
        <f ca="1"/>
        <v>8.27</v>
      </c>
      <c r="D215" vm="1320">
        <f ca="1"/>
        <v>7.8250000000000002</v>
      </c>
    </row>
    <row r="216" spans="1:4" x14ac:dyDescent="0.25">
      <c r="A216" vm="510">
        <f ca="1"/>
        <v>45968</v>
      </c>
      <c r="B216" vm="485">
        <f ca="1"/>
        <v>8.19</v>
      </c>
      <c r="C216" vm="472">
        <f ca="1"/>
        <v>8.2899999999999991</v>
      </c>
      <c r="D216" vm="709">
        <f ca="1"/>
        <v>7.78</v>
      </c>
    </row>
    <row r="217" spans="1:4" x14ac:dyDescent="0.25">
      <c r="A217" vm="514">
        <f ca="1"/>
        <v>45971</v>
      </c>
      <c r="B217" vm="479">
        <f ca="1"/>
        <v>8.59</v>
      </c>
      <c r="C217" vm="365">
        <f ca="1"/>
        <v>8.7249999999999996</v>
      </c>
      <c r="D217" vm="513">
        <f ca="1"/>
        <v>8.4600000000000009</v>
      </c>
    </row>
    <row r="218" spans="1:4" x14ac:dyDescent="0.25">
      <c r="A218" vm="518">
        <f ca="1"/>
        <v>45972</v>
      </c>
      <c r="B218" vm="304">
        <f ca="1"/>
        <v>8.41</v>
      </c>
      <c r="C218" vm="504">
        <f ca="1"/>
        <v>8.7200000000000006</v>
      </c>
      <c r="D218" vm="305">
        <f ca="1"/>
        <v>8.35</v>
      </c>
    </row>
    <row r="219" spans="1:4" x14ac:dyDescent="0.25">
      <c r="A219" vm="521">
        <f ca="1"/>
        <v>45973</v>
      </c>
      <c r="B219" vm="2">
        <f ca="1"/>
        <v>8.73</v>
      </c>
      <c r="C219" vm="273">
        <f ca="1"/>
        <v>8.93</v>
      </c>
      <c r="D219" vm="245">
        <f ca="1"/>
        <v>8.33</v>
      </c>
    </row>
    <row r="220" spans="1:4" x14ac:dyDescent="0.25">
      <c r="A220" vm="525">
        <f ca="1"/>
        <v>45974</v>
      </c>
      <c r="B220" vm="584">
        <f ca="1"/>
        <v>8.65</v>
      </c>
      <c r="C220" vm="266">
        <f ca="1"/>
        <v>8.81</v>
      </c>
      <c r="D220" vm="20">
        <f ca="1"/>
        <v>8.48</v>
      </c>
    </row>
    <row r="221" spans="1:4" x14ac:dyDescent="0.25">
      <c r="A221" vm="528">
        <f ca="1"/>
        <v>45975</v>
      </c>
      <c r="B221" vm="274">
        <f ca="1"/>
        <v>8.6199999999999992</v>
      </c>
      <c r="C221" vm="1321">
        <f ca="1"/>
        <v>8.7349999999999994</v>
      </c>
      <c r="D221" vm="539">
        <f ca="1"/>
        <v>8.11</v>
      </c>
    </row>
    <row r="222" spans="1:4" x14ac:dyDescent="0.25">
      <c r="A222" vm="533">
        <f ca="1"/>
        <v>45978</v>
      </c>
      <c r="B222" vm="449">
        <f ca="1"/>
        <v>8.5299999999999994</v>
      </c>
      <c r="C222" vm="34">
        <f ca="1"/>
        <v>8.86</v>
      </c>
      <c r="D222" vm="450">
        <f ca="1"/>
        <v>8.39</v>
      </c>
    </row>
    <row r="223" spans="1:4" x14ac:dyDescent="0.25">
      <c r="A223" vm="540">
        <f ca="1"/>
        <v>45979</v>
      </c>
      <c r="B223" vm="2">
        <f ca="1"/>
        <v>8.73</v>
      </c>
      <c r="C223" vm="1322">
        <f ca="1"/>
        <v>8.8550000000000004</v>
      </c>
      <c r="D223" vm="524">
        <f ca="1"/>
        <v>8.4550000000000001</v>
      </c>
    </row>
    <row r="224" spans="1:4" x14ac:dyDescent="0.25">
      <c r="A224" vm="543">
        <f ca="1"/>
        <v>45980</v>
      </c>
      <c r="B224" vm="273">
        <f ca="1"/>
        <v>8.93</v>
      </c>
      <c r="C224" vm="50">
        <f ca="1"/>
        <v>9.3000000000000007</v>
      </c>
      <c r="D224" vm="280">
        <f ca="1"/>
        <v>8.74</v>
      </c>
    </row>
    <row r="225" spans="1:4" x14ac:dyDescent="0.25">
      <c r="A225" vm="548">
        <f ca="1"/>
        <v>45981</v>
      </c>
      <c r="B225" vm="492">
        <f ca="1"/>
        <v>8.27</v>
      </c>
      <c r="C225" vm="318">
        <f ca="1"/>
        <v>9.09</v>
      </c>
      <c r="D225" vm="1323">
        <f ca="1"/>
        <v>8.2349999999999994</v>
      </c>
    </row>
    <row r="226" spans="1:4" x14ac:dyDescent="0.25">
      <c r="A226" vm="553">
        <f ca="1"/>
        <v>45982</v>
      </c>
      <c r="B226" vm="697">
        <f ca="1"/>
        <v>8.2100000000000009</v>
      </c>
      <c r="C226" vm="304">
        <f ca="1"/>
        <v>8.41</v>
      </c>
      <c r="D226" vm="691">
        <f ca="1"/>
        <v>8.02</v>
      </c>
    </row>
    <row r="227" spans="1:4" x14ac:dyDescent="0.25">
      <c r="A227" vm="559">
        <f ca="1"/>
        <v>45985</v>
      </c>
      <c r="B227" vm="258">
        <f ca="1"/>
        <v>8.6999999999999993</v>
      </c>
      <c r="C227" vm="504">
        <f ca="1"/>
        <v>8.7200000000000006</v>
      </c>
      <c r="D227" vm="423">
        <f ca="1"/>
        <v>8.25</v>
      </c>
    </row>
    <row r="228" spans="1:4" x14ac:dyDescent="0.25">
      <c r="A228" vm="562">
        <f ca="1"/>
        <v>45986</v>
      </c>
      <c r="B228" vm="71">
        <f ca="1"/>
        <v>9.24</v>
      </c>
      <c r="C228" vm="155">
        <f ca="1"/>
        <v>9.32</v>
      </c>
      <c r="D228" vm="545">
        <f ca="1"/>
        <v>8.66</v>
      </c>
    </row>
    <row r="229" spans="1:4" x14ac:dyDescent="0.25">
      <c r="A229" vm="566">
        <f ca="1"/>
        <v>45987</v>
      </c>
      <c r="B229" vm="188">
        <f ca="1"/>
        <v>9.61</v>
      </c>
      <c r="C229" vm="188">
        <f ca="1"/>
        <v>9.61</v>
      </c>
      <c r="D229" vm="71">
        <f ca="1"/>
        <v>9.24</v>
      </c>
    </row>
    <row r="230" spans="1:4" x14ac:dyDescent="0.25">
      <c r="A230" vm="572">
        <f ca="1"/>
        <v>45989</v>
      </c>
      <c r="B230" vm="1324">
        <f ca="1"/>
        <v>10.19</v>
      </c>
      <c r="C230" vm="1325">
        <f ca="1"/>
        <v>10.23</v>
      </c>
      <c r="D230" vm="1326">
        <f ca="1"/>
        <v>9.73</v>
      </c>
    </row>
    <row r="231" spans="1:4" x14ac:dyDescent="0.25">
      <c r="A231" vm="574">
        <f ca="1"/>
        <v>45992</v>
      </c>
      <c r="B231" vm="1327">
        <f ca="1"/>
        <v>10.18</v>
      </c>
      <c r="C231" vm="1328">
        <f ca="1"/>
        <v>10.465</v>
      </c>
      <c r="D231" vm="1329">
        <f ca="1"/>
        <v>10.15</v>
      </c>
    </row>
    <row r="232" spans="1:4" x14ac:dyDescent="0.25">
      <c r="A232" vm="579">
        <f ca="1"/>
        <v>45993</v>
      </c>
      <c r="B232" vm="1330">
        <f ca="1"/>
        <v>9.92</v>
      </c>
      <c r="C232" vm="1296">
        <f ca="1"/>
        <v>10.31</v>
      </c>
      <c r="D232" vm="1292">
        <f ca="1"/>
        <v>9.83</v>
      </c>
    </row>
    <row r="233" spans="1:4" x14ac:dyDescent="0.25">
      <c r="A233" vm="581">
        <f ca="1"/>
        <v>45994</v>
      </c>
      <c r="B233" vm="1331">
        <f ca="1"/>
        <v>9.93</v>
      </c>
      <c r="C233" vm="1332">
        <f ca="1"/>
        <v>10.106299999999999</v>
      </c>
      <c r="D233" vm="335">
        <f ca="1"/>
        <v>9.77</v>
      </c>
    </row>
    <row r="234" spans="1:4" x14ac:dyDescent="0.25">
      <c r="A234" vm="585">
        <f ca="1"/>
        <v>45995</v>
      </c>
      <c r="B234" vm="1333">
        <f ca="1"/>
        <v>9.9499999999999993</v>
      </c>
      <c r="C234" vm="1334">
        <f ca="1"/>
        <v>10.02</v>
      </c>
      <c r="D234" vm="582">
        <f ca="1"/>
        <v>9.8000000000000007</v>
      </c>
    </row>
    <row r="235" spans="1:4" x14ac:dyDescent="0.25">
      <c r="A235" vm="590">
        <f ca="1"/>
        <v>45996</v>
      </c>
      <c r="B235" vm="1335">
        <f ca="1"/>
        <v>9.84</v>
      </c>
      <c r="C235" vm="1336">
        <f ca="1"/>
        <v>10.24</v>
      </c>
      <c r="D235" vm="1337">
        <f ca="1"/>
        <v>9.74</v>
      </c>
    </row>
    <row r="236" spans="1:4" x14ac:dyDescent="0.25">
      <c r="A236" vm="595">
        <f ca="1"/>
        <v>45999</v>
      </c>
      <c r="B236" vm="1338">
        <f ca="1"/>
        <v>9.51</v>
      </c>
      <c r="C236" vm="633">
        <f ca="1"/>
        <v>9.8800000000000008</v>
      </c>
      <c r="D236" vm="561">
        <f ca="1"/>
        <v>9.4700000000000006</v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52"/>
  <sheetViews>
    <sheetView workbookViewId="0">
      <selection activeCell="F3" sqref="F3"/>
    </sheetView>
  </sheetViews>
  <sheetFormatPr defaultRowHeight="15" x14ac:dyDescent="0.25"/>
  <cols>
    <col min="1" max="1" width="10.7109375" bestFit="1" customWidth="1"/>
  </cols>
  <sheetData>
    <row r="1" spans="1:4" x14ac:dyDescent="0.25">
      <c r="A1" s="3" t="s">
        <v>19</v>
      </c>
      <c r="B1" s="3"/>
      <c r="C1" s="3"/>
      <c r="D1" s="3"/>
    </row>
    <row r="2" spans="1:4" x14ac:dyDescent="0.25">
      <c r="A2" t="str" cm="1">
        <f t="array" aca="1" ref="A2:D52" ca="1">_xlfn.STOCKHISTORY("ONDS", DATE(YEAR(TODAY()),1,1), TODAY(),1,1,0,1,3,4)</f>
        <v>Date</v>
      </c>
      <c r="B2" t="str">
        <f ca="1"/>
        <v>Close</v>
      </c>
      <c r="C2" t="str">
        <f ca="1"/>
        <v>High</v>
      </c>
      <c r="D2" t="str">
        <f ca="1"/>
        <v>Low</v>
      </c>
    </row>
    <row r="3" spans="1:4" x14ac:dyDescent="0.25">
      <c r="A3" vm="1339">
        <f ca="1"/>
        <v>45656</v>
      </c>
      <c r="B3" vm="1133">
        <f ca="1"/>
        <v>2.8</v>
      </c>
      <c r="C3" vm="1059">
        <f ca="1"/>
        <v>3.4</v>
      </c>
      <c r="D3" vm="1145">
        <f ca="1"/>
        <v>2.2799999999999998</v>
      </c>
    </row>
    <row r="4" spans="1:4" x14ac:dyDescent="0.25">
      <c r="A4" vm="21">
        <f ca="1"/>
        <v>45663</v>
      </c>
      <c r="B4" vm="1340">
        <f ca="1"/>
        <v>2.2400000000000002</v>
      </c>
      <c r="C4" vm="1090">
        <f ca="1"/>
        <v>3.13</v>
      </c>
      <c r="D4" vm="1341">
        <f ca="1"/>
        <v>2.09</v>
      </c>
    </row>
    <row r="5" spans="1:4" x14ac:dyDescent="0.25">
      <c r="A5" vm="51">
        <f ca="1"/>
        <v>45670</v>
      </c>
      <c r="B5" vm="1342">
        <f ca="1"/>
        <v>2.0699999999999998</v>
      </c>
      <c r="C5" vm="1343">
        <f ca="1"/>
        <v>2.27</v>
      </c>
      <c r="D5" vm="1344">
        <f ca="1"/>
        <v>1.8201000000000001</v>
      </c>
    </row>
    <row r="6" spans="1:4" x14ac:dyDescent="0.25">
      <c r="A6" vm="88">
        <f ca="1"/>
        <v>45678</v>
      </c>
      <c r="B6" vm="1345">
        <f ca="1"/>
        <v>2.04</v>
      </c>
      <c r="C6" vm="1346">
        <f ca="1"/>
        <v>2.46</v>
      </c>
      <c r="D6" vm="1347">
        <f ca="1"/>
        <v>1.94</v>
      </c>
    </row>
    <row r="7" spans="1:4" x14ac:dyDescent="0.25">
      <c r="A7" vm="118">
        <f ca="1"/>
        <v>45684</v>
      </c>
      <c r="B7" vm="1348">
        <f ca="1"/>
        <v>1.75</v>
      </c>
      <c r="C7" vm="1349">
        <f ca="1"/>
        <v>2</v>
      </c>
      <c r="D7" vm="1350">
        <f ca="1"/>
        <v>1.64</v>
      </c>
    </row>
    <row r="8" spans="1:4" x14ac:dyDescent="0.25">
      <c r="A8" vm="150">
        <f ca="1"/>
        <v>45691</v>
      </c>
      <c r="B8" vm="1351">
        <f ca="1"/>
        <v>1.91</v>
      </c>
      <c r="C8" vm="1352">
        <f ca="1"/>
        <v>1.92</v>
      </c>
      <c r="D8" vm="1353">
        <f ca="1"/>
        <v>1.5</v>
      </c>
    </row>
    <row r="9" spans="1:4" x14ac:dyDescent="0.25">
      <c r="A9" vm="183">
        <f ca="1"/>
        <v>45698</v>
      </c>
      <c r="B9" vm="1354">
        <f ca="1"/>
        <v>1.83</v>
      </c>
      <c r="C9" vm="1355">
        <f ca="1"/>
        <v>2.23</v>
      </c>
      <c r="D9" vm="1356">
        <f ca="1"/>
        <v>1.8049999999999999</v>
      </c>
    </row>
    <row r="10" spans="1:4" x14ac:dyDescent="0.25">
      <c r="A10" vm="212">
        <f ca="1"/>
        <v>45706</v>
      </c>
      <c r="B10" vm="1357">
        <f ca="1"/>
        <v>1.25</v>
      </c>
      <c r="C10" vm="1347">
        <f ca="1"/>
        <v>1.94</v>
      </c>
      <c r="D10" vm="1358">
        <f ca="1"/>
        <v>1.24</v>
      </c>
    </row>
    <row r="11" spans="1:4" x14ac:dyDescent="0.25">
      <c r="A11" vm="238">
        <f ca="1"/>
        <v>45712</v>
      </c>
      <c r="B11" vm="1359">
        <f ca="1"/>
        <v>0.98429999999999995</v>
      </c>
      <c r="C11" vm="1360">
        <f ca="1"/>
        <v>1.26</v>
      </c>
      <c r="D11" vm="1361">
        <f ca="1"/>
        <v>0.9163</v>
      </c>
    </row>
    <row r="12" spans="1:4" x14ac:dyDescent="0.25">
      <c r="A12" vm="275">
        <f ca="1"/>
        <v>45719</v>
      </c>
      <c r="B12" vm="1362">
        <f ca="1"/>
        <v>0.8085</v>
      </c>
      <c r="C12" vm="1363">
        <f ca="1"/>
        <v>1</v>
      </c>
      <c r="D12" vm="1364">
        <f ca="1"/>
        <v>0.75070000000000003</v>
      </c>
    </row>
    <row r="13" spans="1:4" x14ac:dyDescent="0.25">
      <c r="A13" vm="306">
        <f ca="1"/>
        <v>45726</v>
      </c>
      <c r="B13" vm="1365">
        <f ca="1"/>
        <v>0.73839999999999995</v>
      </c>
      <c r="C13" vm="1366">
        <f ca="1"/>
        <v>1.18</v>
      </c>
      <c r="D13" vm="1367">
        <f ca="1"/>
        <v>0.56999999999999995</v>
      </c>
    </row>
    <row r="14" spans="1:4" x14ac:dyDescent="0.25">
      <c r="A14" vm="337">
        <f ca="1"/>
        <v>45733</v>
      </c>
      <c r="B14" vm="1368">
        <f ca="1"/>
        <v>0.70009999999999994</v>
      </c>
      <c r="C14" vm="1369">
        <f ca="1"/>
        <v>0.79579999999999995</v>
      </c>
      <c r="D14" vm="1370">
        <f ca="1"/>
        <v>0.68</v>
      </c>
    </row>
    <row r="15" spans="1:4" x14ac:dyDescent="0.25">
      <c r="A15" vm="366">
        <f ca="1"/>
        <v>45740</v>
      </c>
      <c r="B15" vm="1371">
        <f ca="1"/>
        <v>1.1200000000000001</v>
      </c>
      <c r="C15" vm="1372">
        <f ca="1"/>
        <v>1.1399999999999999</v>
      </c>
      <c r="D15" vm="1373">
        <f ca="1"/>
        <v>0.69110000000000005</v>
      </c>
    </row>
    <row r="16" spans="1:4" x14ac:dyDescent="0.25">
      <c r="A16" vm="398">
        <f ca="1"/>
        <v>45747</v>
      </c>
      <c r="B16" vm="1374">
        <f ca="1"/>
        <v>0.92090000000000005</v>
      </c>
      <c r="C16" vm="1357">
        <f ca="1"/>
        <v>1.25</v>
      </c>
      <c r="D16" vm="1375">
        <f ca="1"/>
        <v>0.8337</v>
      </c>
    </row>
    <row r="17" spans="1:4" x14ac:dyDescent="0.25">
      <c r="A17" vm="426">
        <f ca="1"/>
        <v>45754</v>
      </c>
      <c r="B17" vm="1376">
        <f ca="1"/>
        <v>0.81399999999999995</v>
      </c>
      <c r="C17" vm="1377">
        <f ca="1"/>
        <v>0.9899</v>
      </c>
      <c r="D17" vm="1378">
        <f ca="1"/>
        <v>0.65910000000000002</v>
      </c>
    </row>
    <row r="18" spans="1:4" x14ac:dyDescent="0.25">
      <c r="A18" vm="458">
        <f ca="1"/>
        <v>45761</v>
      </c>
      <c r="B18" vm="1379">
        <f ca="1"/>
        <v>0.88790000000000002</v>
      </c>
      <c r="C18" vm="1380">
        <f ca="1"/>
        <v>0.96499999999999997</v>
      </c>
      <c r="D18" vm="1381">
        <f ca="1"/>
        <v>0.81530000000000002</v>
      </c>
    </row>
    <row r="19" spans="1:4" x14ac:dyDescent="0.25">
      <c r="A19" vm="484">
        <f ca="1"/>
        <v>45768</v>
      </c>
      <c r="B19" vm="1382">
        <f ca="1"/>
        <v>0.71509999999999996</v>
      </c>
      <c r="C19" vm="1383">
        <f ca="1"/>
        <v>0.9</v>
      </c>
      <c r="D19" vm="1384">
        <f ca="1"/>
        <v>0.69040000000000001</v>
      </c>
    </row>
    <row r="20" spans="1:4" x14ac:dyDescent="0.25">
      <c r="A20" vm="508">
        <f ca="1"/>
        <v>45775</v>
      </c>
      <c r="B20" vm="1385">
        <f ca="1"/>
        <v>0.81859999999999999</v>
      </c>
      <c r="C20" vm="1386">
        <f ca="1"/>
        <v>0.85370000000000001</v>
      </c>
      <c r="D20" vm="1387">
        <f ca="1"/>
        <v>0.72840000000000005</v>
      </c>
    </row>
    <row r="21" spans="1:4" x14ac:dyDescent="0.25">
      <c r="A21" vm="526">
        <f ca="1"/>
        <v>45782</v>
      </c>
      <c r="B21" vm="1388">
        <f ca="1"/>
        <v>0.76500000000000001</v>
      </c>
      <c r="C21" vm="1389">
        <f ca="1"/>
        <v>0.79890000000000005</v>
      </c>
      <c r="D21" vm="1390">
        <f ca="1"/>
        <v>0.73109999999999997</v>
      </c>
    </row>
    <row r="22" spans="1:4" x14ac:dyDescent="0.25">
      <c r="A22" vm="550">
        <f ca="1"/>
        <v>45789</v>
      </c>
      <c r="B22" vm="1391">
        <f ca="1"/>
        <v>0.93010000000000004</v>
      </c>
      <c r="C22" vm="1392">
        <f ca="1"/>
        <v>0.94</v>
      </c>
      <c r="D22" vm="1393">
        <f ca="1"/>
        <v>0.76</v>
      </c>
    </row>
    <row r="23" spans="1:4" x14ac:dyDescent="0.25">
      <c r="A23" vm="573">
        <f ca="1"/>
        <v>45796</v>
      </c>
      <c r="B23" vm="1394">
        <f ca="1"/>
        <v>0.92679999999999996</v>
      </c>
      <c r="C23" vm="1395">
        <f ca="1"/>
        <v>1.05</v>
      </c>
      <c r="D23" vm="1396">
        <f ca="1"/>
        <v>0.8276</v>
      </c>
    </row>
    <row r="24" spans="1:4" x14ac:dyDescent="0.25">
      <c r="A24" vm="593">
        <f ca="1"/>
        <v>45804</v>
      </c>
      <c r="B24" vm="1397">
        <f ca="1"/>
        <v>1.22</v>
      </c>
      <c r="C24" vm="1398">
        <f ca="1"/>
        <v>1.23</v>
      </c>
      <c r="D24" vm="1399">
        <f ca="1"/>
        <v>0.89</v>
      </c>
    </row>
    <row r="25" spans="1:4" x14ac:dyDescent="0.25">
      <c r="A25" vm="606">
        <f ca="1"/>
        <v>45810</v>
      </c>
      <c r="B25" vm="1400">
        <f ca="1"/>
        <v>1.7</v>
      </c>
      <c r="C25" vm="1401">
        <f ca="1"/>
        <v>1.885</v>
      </c>
      <c r="D25" vm="1360">
        <f ca="1"/>
        <v>1.26</v>
      </c>
    </row>
    <row r="26" spans="1:4" x14ac:dyDescent="0.25">
      <c r="A26" vm="617">
        <f ca="1"/>
        <v>45817</v>
      </c>
      <c r="B26" vm="1402">
        <f ca="1"/>
        <v>1.82</v>
      </c>
      <c r="C26" vm="1403">
        <f ca="1"/>
        <v>2.0449999999999999</v>
      </c>
      <c r="D26" vm="1404">
        <f ca="1"/>
        <v>1.4000999999999999</v>
      </c>
    </row>
    <row r="27" spans="1:4" x14ac:dyDescent="0.25">
      <c r="A27" vm="629">
        <f ca="1"/>
        <v>45824</v>
      </c>
      <c r="B27" vm="1405">
        <f ca="1"/>
        <v>1.58</v>
      </c>
      <c r="C27" vm="1406">
        <f ca="1"/>
        <v>1.9</v>
      </c>
      <c r="D27" vm="1407">
        <f ca="1"/>
        <v>1.46</v>
      </c>
    </row>
    <row r="28" spans="1:4" x14ac:dyDescent="0.25">
      <c r="A28" vm="638">
        <f ca="1"/>
        <v>45831</v>
      </c>
      <c r="B28" vm="1354">
        <f ca="1"/>
        <v>1.83</v>
      </c>
      <c r="C28" vm="1351">
        <f ca="1"/>
        <v>1.91</v>
      </c>
      <c r="D28" vm="1408">
        <f ca="1"/>
        <v>1.36</v>
      </c>
    </row>
    <row r="29" spans="1:4" x14ac:dyDescent="0.25">
      <c r="A29" vm="646">
        <f ca="1"/>
        <v>45838</v>
      </c>
      <c r="B29" vm="1409">
        <f ca="1"/>
        <v>1.85</v>
      </c>
      <c r="C29" vm="1410">
        <f ca="1"/>
        <v>2.29</v>
      </c>
      <c r="D29" vm="1411">
        <f ca="1"/>
        <v>1.8</v>
      </c>
    </row>
    <row r="30" spans="1:4" x14ac:dyDescent="0.25">
      <c r="A30" vm="653">
        <f ca="1"/>
        <v>45845</v>
      </c>
      <c r="B30" vm="1412">
        <f ca="1"/>
        <v>2.12</v>
      </c>
      <c r="C30" vm="1340">
        <f ca="1"/>
        <v>2.2400000000000002</v>
      </c>
      <c r="D30" vm="1413">
        <f ca="1"/>
        <v>1.71</v>
      </c>
    </row>
    <row r="31" spans="1:4" x14ac:dyDescent="0.25">
      <c r="A31" vm="663">
        <f ca="1"/>
        <v>45852</v>
      </c>
      <c r="B31" vm="1355">
        <f ca="1"/>
        <v>2.23</v>
      </c>
      <c r="C31" vm="1414">
        <f ca="1"/>
        <v>2.6398999999999999</v>
      </c>
      <c r="D31" vm="1412">
        <f ca="1"/>
        <v>2.12</v>
      </c>
    </row>
    <row r="32" spans="1:4" x14ac:dyDescent="0.25">
      <c r="A32" vm="9">
        <f ca="1"/>
        <v>45859</v>
      </c>
      <c r="B32" vm="1415">
        <f ca="1"/>
        <v>2.13</v>
      </c>
      <c r="C32" vm="1416">
        <f ca="1"/>
        <v>2.7</v>
      </c>
      <c r="D32" vm="1417">
        <f ca="1"/>
        <v>2.02</v>
      </c>
    </row>
    <row r="33" spans="1:4" x14ac:dyDescent="0.25">
      <c r="A33" vm="47">
        <f ca="1"/>
        <v>45866</v>
      </c>
      <c r="B33" vm="1418">
        <f ca="1"/>
        <v>2.2000000000000002</v>
      </c>
      <c r="C33" vm="1343">
        <f ca="1"/>
        <v>2.27</v>
      </c>
      <c r="D33" vm="1419">
        <f ca="1"/>
        <v>1.78</v>
      </c>
    </row>
    <row r="34" spans="1:4" x14ac:dyDescent="0.25">
      <c r="A34" vm="85">
        <f ca="1"/>
        <v>45873</v>
      </c>
      <c r="B34" vm="1062">
        <f ca="1"/>
        <v>3.55</v>
      </c>
      <c r="C34" vm="932">
        <f ca="1"/>
        <v>3.95</v>
      </c>
      <c r="D34" vm="1420">
        <f ca="1"/>
        <v>2.25</v>
      </c>
    </row>
    <row r="35" spans="1:4" x14ac:dyDescent="0.25">
      <c r="A35" vm="122">
        <f ca="1"/>
        <v>45880</v>
      </c>
      <c r="B35" vm="940">
        <f ca="1"/>
        <v>3.86</v>
      </c>
      <c r="C35" vm="943">
        <f ca="1"/>
        <v>4.3899999999999997</v>
      </c>
      <c r="D35" vm="1067">
        <f ca="1"/>
        <v>3.31</v>
      </c>
    </row>
    <row r="36" spans="1:4" x14ac:dyDescent="0.25">
      <c r="A36" vm="154">
        <f ca="1"/>
        <v>45887</v>
      </c>
      <c r="B36" vm="1163">
        <f ca="1"/>
        <v>4.49</v>
      </c>
      <c r="C36" vm="896">
        <f ca="1"/>
        <v>4.51</v>
      </c>
      <c r="D36" vm="1076">
        <f ca="1"/>
        <v>3.2</v>
      </c>
    </row>
    <row r="37" spans="1:4" x14ac:dyDescent="0.25">
      <c r="A37" vm="186">
        <f ca="1"/>
        <v>45894</v>
      </c>
      <c r="B37" vm="807">
        <f ca="1"/>
        <v>5.86</v>
      </c>
      <c r="C37" vm="1421">
        <f ca="1"/>
        <v>6.1879999999999997</v>
      </c>
      <c r="D37" vm="1422">
        <f ca="1"/>
        <v>4.53</v>
      </c>
    </row>
    <row r="38" spans="1:4" x14ac:dyDescent="0.25">
      <c r="A38" vm="216">
        <f ca="1"/>
        <v>45902</v>
      </c>
      <c r="B38" vm="828">
        <f ca="1"/>
        <v>5.63</v>
      </c>
      <c r="C38" vm="844">
        <f ca="1"/>
        <v>5.95</v>
      </c>
      <c r="D38" vm="1012">
        <f ca="1"/>
        <v>4.9000000000000004</v>
      </c>
    </row>
    <row r="39" spans="1:4" x14ac:dyDescent="0.25">
      <c r="A39" vm="242">
        <f ca="1"/>
        <v>45908</v>
      </c>
      <c r="B39" vm="766">
        <f ca="1"/>
        <v>6.56</v>
      </c>
      <c r="C39" vm="1423">
        <f ca="1"/>
        <v>6.72</v>
      </c>
      <c r="D39" vm="1424">
        <f ca="1"/>
        <v>5.21</v>
      </c>
    </row>
    <row r="40" spans="1:4" x14ac:dyDescent="0.25">
      <c r="A40" vm="279">
        <f ca="1"/>
        <v>45915</v>
      </c>
      <c r="B40" vm="1423">
        <f ca="1"/>
        <v>6.72</v>
      </c>
      <c r="C40" vm="1266">
        <f ca="1"/>
        <v>6.8598999999999997</v>
      </c>
      <c r="D40" vm="824">
        <f ca="1"/>
        <v>5.75</v>
      </c>
    </row>
    <row r="41" spans="1:4" x14ac:dyDescent="0.25">
      <c r="A41" vm="310">
        <f ca="1"/>
        <v>45922</v>
      </c>
      <c r="B41" vm="1425">
        <f ca="1"/>
        <v>7.66</v>
      </c>
      <c r="C41" vm="1426">
        <f ca="1"/>
        <v>8.1198999999999995</v>
      </c>
      <c r="D41" vm="758">
        <f ca="1"/>
        <v>6.58</v>
      </c>
    </row>
    <row r="42" spans="1:4" x14ac:dyDescent="0.25">
      <c r="A42" vm="340">
        <f ca="1"/>
        <v>45929</v>
      </c>
      <c r="B42" vm="218">
        <f ca="1"/>
        <v>9.91</v>
      </c>
      <c r="C42" vm="1427">
        <f ca="1"/>
        <v>10.28</v>
      </c>
      <c r="D42" vm="1428">
        <f ca="1"/>
        <v>7.18</v>
      </c>
    </row>
    <row r="43" spans="1:4" x14ac:dyDescent="0.25">
      <c r="A43" vm="370">
        <f ca="1"/>
        <v>45936</v>
      </c>
      <c r="B43" vm="162">
        <f ca="1"/>
        <v>9.2200000000000006</v>
      </c>
      <c r="C43" vm="1429">
        <f ca="1"/>
        <v>11.6999</v>
      </c>
      <c r="D43" vm="1430">
        <f ca="1"/>
        <v>9.1900999999999993</v>
      </c>
    </row>
    <row r="44" spans="1:4" x14ac:dyDescent="0.25">
      <c r="A44" vm="402">
        <f ca="1"/>
        <v>45943</v>
      </c>
      <c r="B44" vm="688">
        <f ca="1"/>
        <v>7.61</v>
      </c>
      <c r="C44" vm="1431">
        <f ca="1"/>
        <v>11.215</v>
      </c>
      <c r="D44" vm="1432">
        <f ca="1"/>
        <v>7.5549999999999997</v>
      </c>
    </row>
    <row r="45" spans="1:4" x14ac:dyDescent="0.25">
      <c r="A45" vm="430">
        <f ca="1"/>
        <v>45950</v>
      </c>
      <c r="B45" vm="1433">
        <f ca="1"/>
        <v>7.46</v>
      </c>
      <c r="C45" vm="485">
        <f ca="1"/>
        <v>8.19</v>
      </c>
      <c r="D45" vm="1039">
        <f ca="1"/>
        <v>6.4649999999999999</v>
      </c>
    </row>
    <row r="46" spans="1:4" x14ac:dyDescent="0.25">
      <c r="A46" vm="462">
        <f ca="1"/>
        <v>45957</v>
      </c>
      <c r="B46" vm="1026">
        <f ca="1"/>
        <v>6.44</v>
      </c>
      <c r="C46" vm="1434">
        <f ca="1"/>
        <v>8.3149999999999995</v>
      </c>
      <c r="D46" vm="838">
        <f ca="1"/>
        <v>6.12</v>
      </c>
    </row>
    <row r="47" spans="1:4" x14ac:dyDescent="0.25">
      <c r="A47" vm="490">
        <f ca="1"/>
        <v>45964</v>
      </c>
      <c r="B47" vm="806">
        <f ca="1"/>
        <v>5.81</v>
      </c>
      <c r="C47" vm="1262">
        <f ca="1"/>
        <v>6.69</v>
      </c>
      <c r="D47" vm="872">
        <f ca="1"/>
        <v>4.95</v>
      </c>
    </row>
    <row r="48" spans="1:4" x14ac:dyDescent="0.25">
      <c r="A48" vm="514">
        <f ca="1"/>
        <v>45971</v>
      </c>
      <c r="B48" vm="1428">
        <f ca="1"/>
        <v>7.18</v>
      </c>
      <c r="C48" vm="675">
        <f ca="1"/>
        <v>7.86</v>
      </c>
      <c r="D48" vm="965">
        <f ca="1"/>
        <v>5.48</v>
      </c>
    </row>
    <row r="49" spans="1:4" x14ac:dyDescent="0.25">
      <c r="A49" vm="533">
        <f ca="1"/>
        <v>45978</v>
      </c>
      <c r="B49" vm="782">
        <f ca="1"/>
        <v>6.7350000000000003</v>
      </c>
      <c r="C49" vm="465">
        <f ca="1"/>
        <v>8.0350000000000001</v>
      </c>
      <c r="D49" vm="847">
        <f ca="1"/>
        <v>5.93</v>
      </c>
    </row>
    <row r="50" spans="1:4" x14ac:dyDescent="0.25">
      <c r="A50" vm="559">
        <f ca="1"/>
        <v>45985</v>
      </c>
      <c r="B50" vm="693">
        <f ca="1"/>
        <v>7.9</v>
      </c>
      <c r="C50" vm="86">
        <f ca="1"/>
        <v>8.8800000000000008</v>
      </c>
      <c r="D50" vm="1265">
        <f ca="1"/>
        <v>6.67</v>
      </c>
    </row>
    <row r="51" spans="1:4" x14ac:dyDescent="0.25">
      <c r="A51" vm="574">
        <f ca="1"/>
        <v>45992</v>
      </c>
      <c r="B51" vm="1435">
        <f ca="1"/>
        <v>9.07</v>
      </c>
      <c r="C51" vm="129">
        <f ca="1"/>
        <v>9.34</v>
      </c>
      <c r="D51" vm="1436">
        <f ca="1"/>
        <v>7.32</v>
      </c>
    </row>
    <row r="52" spans="1:4" x14ac:dyDescent="0.25">
      <c r="A52" vm="595">
        <f ca="1"/>
        <v>45999</v>
      </c>
      <c r="B52" vm="194">
        <f ca="1"/>
        <v>9.02</v>
      </c>
      <c r="C52" vm="1298">
        <f ca="1"/>
        <v>9.75</v>
      </c>
      <c r="D52" vm="385">
        <f ca="1"/>
        <v>8.9700000000000006</v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236"/>
  <sheetViews>
    <sheetView workbookViewId="0">
      <selection activeCell="J4" sqref="J4"/>
    </sheetView>
  </sheetViews>
  <sheetFormatPr defaultRowHeight="15" x14ac:dyDescent="0.25"/>
  <cols>
    <col min="1" max="1" width="9.42578125" bestFit="1" customWidth="1"/>
  </cols>
  <sheetData>
    <row r="1" spans="1:4" x14ac:dyDescent="0.25">
      <c r="A1" s="3" t="s">
        <v>23</v>
      </c>
      <c r="B1" s="3"/>
      <c r="C1" s="3"/>
      <c r="D1" s="3"/>
    </row>
    <row r="2" spans="1:4" x14ac:dyDescent="0.25">
      <c r="A2" t="str" cm="1">
        <f t="array" aca="1" ref="A2:D236" ca="1">_xlfn.STOCKHISTORY("ONDS", DATE(YEAR(TODAY()),1,1), TODAY(),0,1,0,1,3,4)</f>
        <v>Date</v>
      </c>
      <c r="B2" t="str">
        <f ca="1"/>
        <v>Close</v>
      </c>
      <c r="C2" t="str">
        <f ca="1"/>
        <v>High</v>
      </c>
      <c r="D2" t="str">
        <f ca="1"/>
        <v>Low</v>
      </c>
    </row>
    <row r="3" spans="1:4" x14ac:dyDescent="0.25">
      <c r="A3" vm="5">
        <f ca="1"/>
        <v>45659</v>
      </c>
      <c r="B3" vm="1437">
        <f ca="1"/>
        <v>2.63</v>
      </c>
      <c r="C3" vm="1438">
        <f ca="1"/>
        <v>2.79</v>
      </c>
      <c r="D3" vm="1439">
        <f ca="1"/>
        <v>2.4500000000000002</v>
      </c>
    </row>
    <row r="4" spans="1:4" x14ac:dyDescent="0.25">
      <c r="A4" vm="13">
        <f ca="1"/>
        <v>45660</v>
      </c>
      <c r="B4" vm="1133">
        <f ca="1"/>
        <v>2.8</v>
      </c>
      <c r="C4" vm="1059">
        <f ca="1"/>
        <v>3.4</v>
      </c>
      <c r="D4" vm="1143">
        <f ca="1"/>
        <v>2.76</v>
      </c>
    </row>
    <row r="5" spans="1:4" x14ac:dyDescent="0.25">
      <c r="A5" vm="21">
        <f ca="1"/>
        <v>45663</v>
      </c>
      <c r="B5" vm="1440">
        <f ca="1"/>
        <v>2.69</v>
      </c>
      <c r="C5" vm="1090">
        <f ca="1"/>
        <v>3.13</v>
      </c>
      <c r="D5" vm="1437">
        <f ca="1"/>
        <v>2.63</v>
      </c>
    </row>
    <row r="6" spans="1:4" x14ac:dyDescent="0.25">
      <c r="A6" vm="29">
        <f ca="1"/>
        <v>45664</v>
      </c>
      <c r="B6" vm="1441">
        <f ca="1"/>
        <v>2.65</v>
      </c>
      <c r="C6" vm="1442">
        <f ca="1"/>
        <v>2.7591000000000001</v>
      </c>
      <c r="D6" vm="1443">
        <f ca="1"/>
        <v>2.4</v>
      </c>
    </row>
    <row r="7" spans="1:4" x14ac:dyDescent="0.25">
      <c r="A7" vm="35">
        <f ca="1"/>
        <v>45665</v>
      </c>
      <c r="B7" vm="1149">
        <f ca="1"/>
        <v>2.54</v>
      </c>
      <c r="C7" vm="1444">
        <f ca="1"/>
        <v>2.73</v>
      </c>
      <c r="D7" vm="1341">
        <f ca="1"/>
        <v>2.09</v>
      </c>
    </row>
    <row r="8" spans="1:4" x14ac:dyDescent="0.25">
      <c r="A8" vm="43">
        <f ca="1"/>
        <v>45667</v>
      </c>
      <c r="B8" vm="1340">
        <f ca="1"/>
        <v>2.2400000000000002</v>
      </c>
      <c r="C8" vm="1346">
        <f ca="1"/>
        <v>2.46</v>
      </c>
      <c r="D8" vm="1418">
        <f ca="1"/>
        <v>2.2000000000000002</v>
      </c>
    </row>
    <row r="9" spans="1:4" x14ac:dyDescent="0.25">
      <c r="A9" vm="51">
        <f ca="1"/>
        <v>45670</v>
      </c>
      <c r="B9" vm="1445">
        <f ca="1"/>
        <v>1.88</v>
      </c>
      <c r="C9" vm="1446">
        <f ca="1"/>
        <v>2.19</v>
      </c>
      <c r="D9" vm="1344">
        <f ca="1"/>
        <v>1.8201000000000001</v>
      </c>
    </row>
    <row r="10" spans="1:4" x14ac:dyDescent="0.25">
      <c r="A10" vm="58">
        <f ca="1"/>
        <v>45671</v>
      </c>
      <c r="B10" vm="1447">
        <f ca="1"/>
        <v>1.99</v>
      </c>
      <c r="C10" vm="1415">
        <f ca="1"/>
        <v>2.13</v>
      </c>
      <c r="D10" vm="1406">
        <f ca="1"/>
        <v>1.9</v>
      </c>
    </row>
    <row r="11" spans="1:4" x14ac:dyDescent="0.25">
      <c r="A11" vm="66">
        <f ca="1"/>
        <v>45672</v>
      </c>
      <c r="B11" vm="1448">
        <f ca="1"/>
        <v>2.21</v>
      </c>
      <c r="C11" vm="1449">
        <f ca="1"/>
        <v>2.2578999999999998</v>
      </c>
      <c r="D11" vm="1450">
        <f ca="1"/>
        <v>1.9993000000000001</v>
      </c>
    </row>
    <row r="12" spans="1:4" x14ac:dyDescent="0.25">
      <c r="A12" vm="74">
        <f ca="1"/>
        <v>45673</v>
      </c>
      <c r="B12" vm="1418">
        <f ca="1"/>
        <v>2.2000000000000002</v>
      </c>
      <c r="C12" vm="1343">
        <f ca="1"/>
        <v>2.27</v>
      </c>
      <c r="D12" vm="1451">
        <f ca="1"/>
        <v>2.0049999999999999</v>
      </c>
    </row>
    <row r="13" spans="1:4" x14ac:dyDescent="0.25">
      <c r="A13" vm="81">
        <f ca="1"/>
        <v>45674</v>
      </c>
      <c r="B13" vm="1342">
        <f ca="1"/>
        <v>2.0699999999999998</v>
      </c>
      <c r="C13" vm="1418">
        <f ca="1"/>
        <v>2.2000000000000002</v>
      </c>
      <c r="D13" vm="1417">
        <f ca="1"/>
        <v>2.02</v>
      </c>
    </row>
    <row r="14" spans="1:4" x14ac:dyDescent="0.25">
      <c r="A14" vm="88">
        <f ca="1"/>
        <v>45678</v>
      </c>
      <c r="B14" vm="1452">
        <f ca="1"/>
        <v>2.0099999999999998</v>
      </c>
      <c r="C14" vm="1453">
        <f ca="1"/>
        <v>2.1398999999999999</v>
      </c>
      <c r="D14" vm="1347">
        <f ca="1"/>
        <v>1.94</v>
      </c>
    </row>
    <row r="15" spans="1:4" x14ac:dyDescent="0.25">
      <c r="A15" vm="96">
        <f ca="1"/>
        <v>45679</v>
      </c>
      <c r="B15" vm="1454">
        <f ca="1"/>
        <v>2.37</v>
      </c>
      <c r="C15" vm="1346">
        <f ca="1"/>
        <v>2.46</v>
      </c>
      <c r="D15" vm="1447">
        <f ca="1"/>
        <v>1.99</v>
      </c>
    </row>
    <row r="16" spans="1:4" x14ac:dyDescent="0.25">
      <c r="A16" vm="104">
        <f ca="1"/>
        <v>45680</v>
      </c>
      <c r="B16" vm="1455">
        <f ca="1"/>
        <v>2.11</v>
      </c>
      <c r="C16" vm="1456">
        <f ca="1"/>
        <v>2.2999999999999998</v>
      </c>
      <c r="D16" vm="1457">
        <f ca="1"/>
        <v>2.1</v>
      </c>
    </row>
    <row r="17" spans="1:4" x14ac:dyDescent="0.25">
      <c r="A17" vm="111">
        <f ca="1"/>
        <v>45681</v>
      </c>
      <c r="B17" vm="1345">
        <f ca="1"/>
        <v>2.04</v>
      </c>
      <c r="C17" vm="1448">
        <f ca="1"/>
        <v>2.21</v>
      </c>
      <c r="D17" vm="1458">
        <f ca="1"/>
        <v>1.98</v>
      </c>
    </row>
    <row r="18" spans="1:4" x14ac:dyDescent="0.25">
      <c r="A18" vm="118">
        <f ca="1"/>
        <v>45684</v>
      </c>
      <c r="B18" vm="1347">
        <f ca="1"/>
        <v>1.94</v>
      </c>
      <c r="C18" vm="1349">
        <f ca="1"/>
        <v>2</v>
      </c>
      <c r="D18" vm="1354">
        <f ca="1"/>
        <v>1.83</v>
      </c>
    </row>
    <row r="19" spans="1:4" x14ac:dyDescent="0.25">
      <c r="A19" vm="124">
        <f ca="1"/>
        <v>45685</v>
      </c>
      <c r="B19" vm="1459">
        <f ca="1"/>
        <v>1.81</v>
      </c>
      <c r="C19" vm="1447">
        <f ca="1"/>
        <v>1.99</v>
      </c>
      <c r="D19" vm="1459">
        <f ca="1"/>
        <v>1.81</v>
      </c>
    </row>
    <row r="20" spans="1:4" x14ac:dyDescent="0.25">
      <c r="A20" vm="131">
        <f ca="1"/>
        <v>45686</v>
      </c>
      <c r="B20" vm="1413">
        <f ca="1"/>
        <v>1.71</v>
      </c>
      <c r="C20" vm="1459">
        <f ca="1"/>
        <v>1.81</v>
      </c>
      <c r="D20" vm="1350">
        <f ca="1"/>
        <v>1.64</v>
      </c>
    </row>
    <row r="21" spans="1:4" x14ac:dyDescent="0.25">
      <c r="A21" vm="138">
        <f ca="1"/>
        <v>45687</v>
      </c>
      <c r="B21" vm="1460">
        <f ca="1"/>
        <v>1.69</v>
      </c>
      <c r="C21" vm="1461">
        <f ca="1"/>
        <v>1.77</v>
      </c>
      <c r="D21" vm="1462">
        <f ca="1"/>
        <v>1.68</v>
      </c>
    </row>
    <row r="22" spans="1:4" x14ac:dyDescent="0.25">
      <c r="A22" vm="143">
        <f ca="1"/>
        <v>45688</v>
      </c>
      <c r="B22" vm="1348">
        <f ca="1"/>
        <v>1.75</v>
      </c>
      <c r="C22" vm="1463">
        <f ca="1"/>
        <v>1.835</v>
      </c>
      <c r="D22" vm="1464">
        <f ca="1"/>
        <v>1.665</v>
      </c>
    </row>
    <row r="23" spans="1:4" x14ac:dyDescent="0.25">
      <c r="A23" vm="150">
        <f ca="1"/>
        <v>45691</v>
      </c>
      <c r="B23" vm="1465">
        <f ca="1"/>
        <v>1.6</v>
      </c>
      <c r="C23" vm="1466">
        <f ca="1"/>
        <v>1.6794</v>
      </c>
      <c r="D23" vm="1353">
        <f ca="1"/>
        <v>1.5</v>
      </c>
    </row>
    <row r="24" spans="1:4" x14ac:dyDescent="0.25">
      <c r="A24" vm="158">
        <f ca="1"/>
        <v>45692</v>
      </c>
      <c r="B24" vm="1460">
        <f ca="1"/>
        <v>1.69</v>
      </c>
      <c r="C24" vm="1400">
        <f ca="1"/>
        <v>1.7</v>
      </c>
      <c r="D24" vm="1467">
        <f ca="1"/>
        <v>1.62</v>
      </c>
    </row>
    <row r="25" spans="1:4" x14ac:dyDescent="0.25">
      <c r="A25" vm="165">
        <f ca="1"/>
        <v>45693</v>
      </c>
      <c r="B25" vm="1350">
        <f ca="1"/>
        <v>1.64</v>
      </c>
      <c r="C25" vm="1468">
        <f ca="1"/>
        <v>1.72</v>
      </c>
      <c r="D25" vm="1469">
        <f ca="1"/>
        <v>1.61</v>
      </c>
    </row>
    <row r="26" spans="1:4" x14ac:dyDescent="0.25">
      <c r="A26" vm="170">
        <f ca="1"/>
        <v>45694</v>
      </c>
      <c r="B26" vm="1470">
        <f ca="1"/>
        <v>1.76</v>
      </c>
      <c r="C26" vm="1409">
        <f ca="1"/>
        <v>1.85</v>
      </c>
      <c r="D26" vm="1462">
        <f ca="1"/>
        <v>1.68</v>
      </c>
    </row>
    <row r="27" spans="1:4" x14ac:dyDescent="0.25">
      <c r="A27" vm="177">
        <f ca="1"/>
        <v>45695</v>
      </c>
      <c r="B27" vm="1351">
        <f ca="1"/>
        <v>1.91</v>
      </c>
      <c r="C27" vm="1352">
        <f ca="1"/>
        <v>1.92</v>
      </c>
      <c r="D27" vm="1470">
        <f ca="1"/>
        <v>1.76</v>
      </c>
    </row>
    <row r="28" spans="1:4" x14ac:dyDescent="0.25">
      <c r="A28" vm="183">
        <f ca="1"/>
        <v>45698</v>
      </c>
      <c r="B28" vm="1457">
        <f ca="1"/>
        <v>2.1</v>
      </c>
      <c r="C28" vm="1412">
        <f ca="1"/>
        <v>2.12</v>
      </c>
      <c r="D28" vm="1471">
        <f ca="1"/>
        <v>1.8206</v>
      </c>
    </row>
    <row r="29" spans="1:4" x14ac:dyDescent="0.25">
      <c r="A29" vm="190">
        <f ca="1"/>
        <v>45699</v>
      </c>
      <c r="B29" vm="1457">
        <f ca="1"/>
        <v>2.1</v>
      </c>
      <c r="C29" vm="1355">
        <f ca="1"/>
        <v>2.23</v>
      </c>
      <c r="D29" vm="1349">
        <f ca="1"/>
        <v>2</v>
      </c>
    </row>
    <row r="30" spans="1:4" x14ac:dyDescent="0.25">
      <c r="A30" vm="195">
        <f ca="1"/>
        <v>45700</v>
      </c>
      <c r="B30" vm="1347">
        <f ca="1"/>
        <v>1.94</v>
      </c>
      <c r="C30" vm="1472">
        <f ca="1"/>
        <v>2.14</v>
      </c>
      <c r="D30" vm="1473">
        <f ca="1"/>
        <v>1.93</v>
      </c>
    </row>
    <row r="31" spans="1:4" x14ac:dyDescent="0.25">
      <c r="A31" vm="202">
        <f ca="1"/>
        <v>45701</v>
      </c>
      <c r="B31" vm="1352">
        <f ca="1"/>
        <v>1.92</v>
      </c>
      <c r="C31" vm="1474">
        <f ca="1"/>
        <v>1.9499</v>
      </c>
      <c r="D31" vm="1475">
        <f ca="1"/>
        <v>1.84</v>
      </c>
    </row>
    <row r="32" spans="1:4" x14ac:dyDescent="0.25">
      <c r="A32" vm="208">
        <f ca="1"/>
        <v>45702</v>
      </c>
      <c r="B32" vm="1354">
        <f ca="1"/>
        <v>1.83</v>
      </c>
      <c r="C32" vm="1476">
        <f ca="1"/>
        <v>1.9693000000000001</v>
      </c>
      <c r="D32" vm="1356">
        <f ca="1"/>
        <v>1.8049999999999999</v>
      </c>
    </row>
    <row r="33" spans="1:4" x14ac:dyDescent="0.25">
      <c r="A33" vm="212">
        <f ca="1"/>
        <v>45706</v>
      </c>
      <c r="B33" vm="1477">
        <f ca="1"/>
        <v>1.65</v>
      </c>
      <c r="C33" vm="1347">
        <f ca="1"/>
        <v>1.94</v>
      </c>
      <c r="D33" vm="1469">
        <f ca="1"/>
        <v>1.61</v>
      </c>
    </row>
    <row r="34" spans="1:4" x14ac:dyDescent="0.25">
      <c r="A34" vm="219">
        <f ca="1"/>
        <v>45707</v>
      </c>
      <c r="B34" vm="1478">
        <f ca="1"/>
        <v>1.43</v>
      </c>
      <c r="C34" vm="1462">
        <f ca="1"/>
        <v>1.68</v>
      </c>
      <c r="D34" vm="1479">
        <f ca="1"/>
        <v>1.4</v>
      </c>
    </row>
    <row r="35" spans="1:4" x14ac:dyDescent="0.25">
      <c r="A35" vm="225">
        <f ca="1"/>
        <v>45708</v>
      </c>
      <c r="B35" vm="1480">
        <f ca="1"/>
        <v>1.39</v>
      </c>
      <c r="C35" vm="1407">
        <f ca="1"/>
        <v>1.46</v>
      </c>
      <c r="D35" vm="1481">
        <f ca="1"/>
        <v>1.325</v>
      </c>
    </row>
    <row r="36" spans="1:4" x14ac:dyDescent="0.25">
      <c r="A36" vm="231">
        <f ca="1"/>
        <v>45709</v>
      </c>
      <c r="B36" vm="1357">
        <f ca="1"/>
        <v>1.25</v>
      </c>
      <c r="C36" vm="1482">
        <f ca="1"/>
        <v>1.45</v>
      </c>
      <c r="D36" vm="1358">
        <f ca="1"/>
        <v>1.24</v>
      </c>
    </row>
    <row r="37" spans="1:4" x14ac:dyDescent="0.25">
      <c r="A37" vm="238">
        <f ca="1"/>
        <v>45712</v>
      </c>
      <c r="B37" vm="1483">
        <f ca="1"/>
        <v>1.1000000000000001</v>
      </c>
      <c r="C37" vm="1360">
        <f ca="1"/>
        <v>1.26</v>
      </c>
      <c r="D37" vm="1483">
        <f ca="1"/>
        <v>1.1000000000000001</v>
      </c>
    </row>
    <row r="38" spans="1:4" x14ac:dyDescent="0.25">
      <c r="A38" vm="246">
        <f ca="1"/>
        <v>45713</v>
      </c>
      <c r="B38" vm="1484">
        <f ca="1"/>
        <v>1.04</v>
      </c>
      <c r="C38" vm="1485">
        <f ca="1"/>
        <v>1.21</v>
      </c>
      <c r="D38" vm="1363">
        <f ca="1"/>
        <v>1</v>
      </c>
    </row>
    <row r="39" spans="1:4" x14ac:dyDescent="0.25">
      <c r="A39" vm="253">
        <f ca="1"/>
        <v>45714</v>
      </c>
      <c r="B39" vm="1486">
        <f ca="1"/>
        <v>1.08</v>
      </c>
      <c r="C39" vm="1372">
        <f ca="1"/>
        <v>1.1399999999999999</v>
      </c>
      <c r="D39" vm="1487">
        <f ca="1"/>
        <v>1.03</v>
      </c>
    </row>
    <row r="40" spans="1:4" x14ac:dyDescent="0.25">
      <c r="A40" vm="260">
        <f ca="1"/>
        <v>45715</v>
      </c>
      <c r="B40" vm="1488">
        <f ca="1"/>
        <v>0.97040000000000004</v>
      </c>
      <c r="C40" vm="1489">
        <f ca="1"/>
        <v>1.1299999999999999</v>
      </c>
      <c r="D40" vm="1490">
        <f ca="1"/>
        <v>0.97</v>
      </c>
    </row>
    <row r="41" spans="1:4" x14ac:dyDescent="0.25">
      <c r="A41" vm="267">
        <f ca="1"/>
        <v>45716</v>
      </c>
      <c r="B41" vm="1359">
        <f ca="1"/>
        <v>0.98429999999999995</v>
      </c>
      <c r="C41" vm="1491">
        <f ca="1"/>
        <v>1.0215000000000001</v>
      </c>
      <c r="D41" vm="1361">
        <f ca="1"/>
        <v>0.9163</v>
      </c>
    </row>
    <row r="42" spans="1:4" x14ac:dyDescent="0.25">
      <c r="A42" vm="275">
        <f ca="1"/>
        <v>45719</v>
      </c>
      <c r="B42" vm="1492">
        <f ca="1"/>
        <v>0.85229999999999995</v>
      </c>
      <c r="C42" vm="1363">
        <f ca="1"/>
        <v>1</v>
      </c>
      <c r="D42" vm="1493">
        <f ca="1"/>
        <v>0.83899999999999997</v>
      </c>
    </row>
    <row r="43" spans="1:4" x14ac:dyDescent="0.25">
      <c r="A43" vm="281">
        <f ca="1"/>
        <v>45720</v>
      </c>
      <c r="B43" vm="1494">
        <f ca="1"/>
        <v>0.87119999999999997</v>
      </c>
      <c r="C43" vm="1495">
        <f ca="1"/>
        <v>0.93620000000000003</v>
      </c>
      <c r="D43" vm="1496">
        <f ca="1"/>
        <v>0.78849999999999998</v>
      </c>
    </row>
    <row r="44" spans="1:4" x14ac:dyDescent="0.25">
      <c r="A44" vm="288">
        <f ca="1"/>
        <v>45721</v>
      </c>
      <c r="B44" vm="1497">
        <f ca="1"/>
        <v>0.88749999999999996</v>
      </c>
      <c r="C44" vm="1498">
        <f ca="1"/>
        <v>0.90339999999999998</v>
      </c>
      <c r="D44" vm="1499">
        <f ca="1"/>
        <v>0.83</v>
      </c>
    </row>
    <row r="45" spans="1:4" x14ac:dyDescent="0.25">
      <c r="A45" vm="295">
        <f ca="1"/>
        <v>45722</v>
      </c>
      <c r="B45" vm="1500">
        <f ca="1"/>
        <v>0.80459999999999998</v>
      </c>
      <c r="C45" vm="1501">
        <f ca="1"/>
        <v>0.89900000000000002</v>
      </c>
      <c r="D45" vm="1502">
        <f ca="1"/>
        <v>0.8</v>
      </c>
    </row>
    <row r="46" spans="1:4" x14ac:dyDescent="0.25">
      <c r="A46" vm="300">
        <f ca="1"/>
        <v>45723</v>
      </c>
      <c r="B46" vm="1362">
        <f ca="1"/>
        <v>0.8085</v>
      </c>
      <c r="C46" vm="1499">
        <f ca="1"/>
        <v>0.83</v>
      </c>
      <c r="D46" vm="1364">
        <f ca="1"/>
        <v>0.75070000000000003</v>
      </c>
    </row>
    <row r="47" spans="1:4" x14ac:dyDescent="0.25">
      <c r="A47" vm="306">
        <f ca="1"/>
        <v>45726</v>
      </c>
      <c r="B47" vm="1503">
        <f ca="1"/>
        <v>0.72699999999999998</v>
      </c>
      <c r="C47" vm="1504">
        <f ca="1"/>
        <v>0.81</v>
      </c>
      <c r="D47" vm="1505">
        <f ca="1"/>
        <v>0.68500000000000005</v>
      </c>
    </row>
    <row r="48" spans="1:4" x14ac:dyDescent="0.25">
      <c r="A48" vm="314">
        <f ca="1"/>
        <v>45727</v>
      </c>
      <c r="B48" vm="1506">
        <f ca="1"/>
        <v>0.72350000000000003</v>
      </c>
      <c r="C48" vm="1366">
        <f ca="1"/>
        <v>1.18</v>
      </c>
      <c r="D48" vm="1507">
        <f ca="1"/>
        <v>0.68110000000000004</v>
      </c>
    </row>
    <row r="49" spans="1:4" x14ac:dyDescent="0.25">
      <c r="A49" vm="319">
        <f ca="1"/>
        <v>45728</v>
      </c>
      <c r="B49" vm="1508">
        <f ca="1"/>
        <v>0.69699999999999995</v>
      </c>
      <c r="C49" vm="1509">
        <f ca="1"/>
        <v>0.70650000000000002</v>
      </c>
      <c r="D49" vm="1367">
        <f ca="1"/>
        <v>0.56999999999999995</v>
      </c>
    </row>
    <row r="50" spans="1:4" x14ac:dyDescent="0.25">
      <c r="A50" vm="326">
        <f ca="1"/>
        <v>45729</v>
      </c>
      <c r="B50" vm="1510">
        <f ca="1"/>
        <v>0.67669999999999997</v>
      </c>
      <c r="C50" vm="1511">
        <f ca="1"/>
        <v>0.7177</v>
      </c>
      <c r="D50" vm="1512">
        <f ca="1"/>
        <v>0.65029999999999999</v>
      </c>
    </row>
    <row r="51" spans="1:4" x14ac:dyDescent="0.25">
      <c r="A51" vm="330">
        <f ca="1"/>
        <v>45730</v>
      </c>
      <c r="B51" vm="1365">
        <f ca="1"/>
        <v>0.73839999999999995</v>
      </c>
      <c r="C51" vm="1513">
        <f ca="1"/>
        <v>0.74</v>
      </c>
      <c r="D51" vm="1514">
        <f ca="1"/>
        <v>0.65</v>
      </c>
    </row>
    <row r="52" spans="1:4" x14ac:dyDescent="0.25">
      <c r="A52" vm="337">
        <f ca="1"/>
        <v>45733</v>
      </c>
      <c r="B52" vm="1515">
        <f ca="1"/>
        <v>0.77439999999999998</v>
      </c>
      <c r="C52" vm="1516">
        <f ca="1"/>
        <v>0.79100000000000004</v>
      </c>
      <c r="D52" vm="1517">
        <f ca="1"/>
        <v>0.72440000000000004</v>
      </c>
    </row>
    <row r="53" spans="1:4" x14ac:dyDescent="0.25">
      <c r="A53" vm="342">
        <f ca="1"/>
        <v>45734</v>
      </c>
      <c r="B53" vm="1518">
        <f ca="1"/>
        <v>0.74480000000000002</v>
      </c>
      <c r="C53" vm="1369">
        <f ca="1"/>
        <v>0.79579999999999995</v>
      </c>
      <c r="D53" vm="1519">
        <f ca="1"/>
        <v>0.72009999999999996</v>
      </c>
    </row>
    <row r="54" spans="1:4" x14ac:dyDescent="0.25">
      <c r="A54" vm="348">
        <f ca="1"/>
        <v>45735</v>
      </c>
      <c r="B54" vm="1520">
        <f ca="1"/>
        <v>0.75760000000000005</v>
      </c>
      <c r="C54" vm="1521">
        <f ca="1"/>
        <v>0.76580000000000004</v>
      </c>
      <c r="D54" vm="1522">
        <f ca="1"/>
        <v>0.72099999999999997</v>
      </c>
    </row>
    <row r="55" spans="1:4" x14ac:dyDescent="0.25">
      <c r="A55" vm="353">
        <f ca="1"/>
        <v>45736</v>
      </c>
      <c r="B55" vm="1523">
        <f ca="1"/>
        <v>0.69010000000000005</v>
      </c>
      <c r="C55" vm="1524">
        <f ca="1"/>
        <v>0.75680000000000003</v>
      </c>
      <c r="D55" vm="1370">
        <f ca="1"/>
        <v>0.68</v>
      </c>
    </row>
    <row r="56" spans="1:4" x14ac:dyDescent="0.25">
      <c r="A56" vm="360">
        <f ca="1"/>
        <v>45737</v>
      </c>
      <c r="B56" vm="1368">
        <f ca="1"/>
        <v>0.70009999999999994</v>
      </c>
      <c r="C56" vm="1525">
        <f ca="1"/>
        <v>0.72</v>
      </c>
      <c r="D56" vm="1370">
        <f ca="1"/>
        <v>0.68</v>
      </c>
    </row>
    <row r="57" spans="1:4" x14ac:dyDescent="0.25">
      <c r="A57" vm="366">
        <f ca="1"/>
        <v>45740</v>
      </c>
      <c r="B57" vm="1526">
        <f ca="1"/>
        <v>0.81200000000000006</v>
      </c>
      <c r="C57" vm="1527">
        <f ca="1"/>
        <v>0.82</v>
      </c>
      <c r="D57" vm="1373">
        <f ca="1"/>
        <v>0.69110000000000005</v>
      </c>
    </row>
    <row r="58" spans="1:4" x14ac:dyDescent="0.25">
      <c r="A58" vm="374">
        <f ca="1"/>
        <v>45741</v>
      </c>
      <c r="B58" vm="1528">
        <f ca="1"/>
        <v>0.88580000000000003</v>
      </c>
      <c r="C58" vm="1383">
        <f ca="1"/>
        <v>0.9</v>
      </c>
      <c r="D58" vm="1529">
        <f ca="1"/>
        <v>0.79500000000000004</v>
      </c>
    </row>
    <row r="59" spans="1:4" x14ac:dyDescent="0.25">
      <c r="A59" vm="381">
        <f ca="1"/>
        <v>45742</v>
      </c>
      <c r="B59" vm="1530">
        <f ca="1"/>
        <v>0.84499999999999997</v>
      </c>
      <c r="C59" vm="1531">
        <f ca="1"/>
        <v>0.97289999999999999</v>
      </c>
      <c r="D59" vm="1532">
        <f ca="1"/>
        <v>0.80869999999999997</v>
      </c>
    </row>
    <row r="60" spans="1:4" x14ac:dyDescent="0.25">
      <c r="A60" vm="386">
        <f ca="1"/>
        <v>45743</v>
      </c>
      <c r="B60" vm="1533">
        <f ca="1"/>
        <v>0.99980000000000002</v>
      </c>
      <c r="C60" vm="1534">
        <f ca="1"/>
        <v>1.01</v>
      </c>
      <c r="D60" vm="1535">
        <f ca="1"/>
        <v>0.83309999999999995</v>
      </c>
    </row>
    <row r="61" spans="1:4" x14ac:dyDescent="0.25">
      <c r="A61" vm="391">
        <f ca="1"/>
        <v>45744</v>
      </c>
      <c r="B61" vm="1371">
        <f ca="1"/>
        <v>1.1200000000000001</v>
      </c>
      <c r="C61" vm="1372">
        <f ca="1"/>
        <v>1.1399999999999999</v>
      </c>
      <c r="D61" vm="1399">
        <f ca="1"/>
        <v>0.89</v>
      </c>
    </row>
    <row r="62" spans="1:4" x14ac:dyDescent="0.25">
      <c r="A62" vm="398">
        <f ca="1"/>
        <v>45747</v>
      </c>
      <c r="B62" vm="1536">
        <f ca="1"/>
        <v>1.07</v>
      </c>
      <c r="C62" vm="1357">
        <f ca="1"/>
        <v>1.25</v>
      </c>
      <c r="D62" vm="1537">
        <f ca="1"/>
        <v>0.89139999999999997</v>
      </c>
    </row>
    <row r="63" spans="1:4" x14ac:dyDescent="0.25">
      <c r="A63" vm="404">
        <f ca="1"/>
        <v>45748</v>
      </c>
      <c r="B63" vm="1483">
        <f ca="1"/>
        <v>1.1000000000000001</v>
      </c>
      <c r="C63" vm="1538">
        <f ca="1"/>
        <v>1.1499999999999999</v>
      </c>
      <c r="D63" vm="1539">
        <f ca="1"/>
        <v>1.0101</v>
      </c>
    </row>
    <row r="64" spans="1:4" x14ac:dyDescent="0.25">
      <c r="A64" vm="410">
        <f ca="1"/>
        <v>45749</v>
      </c>
      <c r="B64" vm="1540">
        <f ca="1"/>
        <v>1.1100000000000001</v>
      </c>
      <c r="C64" vm="1541">
        <f ca="1"/>
        <v>1.1298999999999999</v>
      </c>
      <c r="D64" vm="1542">
        <f ca="1"/>
        <v>0.99</v>
      </c>
    </row>
    <row r="65" spans="1:4" x14ac:dyDescent="0.25">
      <c r="A65" vm="415">
        <f ca="1"/>
        <v>45750</v>
      </c>
      <c r="B65" vm="1543">
        <f ca="1"/>
        <v>0.89939999999999998</v>
      </c>
      <c r="C65" vm="1536">
        <f ca="1"/>
        <v>1.07</v>
      </c>
      <c r="D65" vm="1544">
        <f ca="1"/>
        <v>0.86</v>
      </c>
    </row>
    <row r="66" spans="1:4" x14ac:dyDescent="0.25">
      <c r="A66" vm="418">
        <f ca="1"/>
        <v>45751</v>
      </c>
      <c r="B66" vm="1374">
        <f ca="1"/>
        <v>0.92090000000000005</v>
      </c>
      <c r="C66" vm="1545">
        <f ca="1"/>
        <v>0.9677</v>
      </c>
      <c r="D66" vm="1375">
        <f ca="1"/>
        <v>0.8337</v>
      </c>
    </row>
    <row r="67" spans="1:4" x14ac:dyDescent="0.25">
      <c r="A67" vm="426">
        <f ca="1"/>
        <v>45754</v>
      </c>
      <c r="B67" vm="1544">
        <f ca="1"/>
        <v>0.86</v>
      </c>
      <c r="C67" vm="1377">
        <f ca="1"/>
        <v>0.9899</v>
      </c>
      <c r="D67" vm="1546">
        <f ca="1"/>
        <v>0.81689999999999996</v>
      </c>
    </row>
    <row r="68" spans="1:4" x14ac:dyDescent="0.25">
      <c r="A68" vm="432">
        <f ca="1"/>
        <v>45755</v>
      </c>
      <c r="B68" vm="1547">
        <f ca="1"/>
        <v>0.75</v>
      </c>
      <c r="C68" vm="1383">
        <f ca="1"/>
        <v>0.9</v>
      </c>
      <c r="D68" vm="1525">
        <f ca="1"/>
        <v>0.72</v>
      </c>
    </row>
    <row r="69" spans="1:4" x14ac:dyDescent="0.25">
      <c r="A69" vm="439">
        <f ca="1"/>
        <v>45756</v>
      </c>
      <c r="B69" vm="1548">
        <f ca="1"/>
        <v>0.83009999999999995</v>
      </c>
      <c r="C69" vm="1549">
        <f ca="1"/>
        <v>0.84</v>
      </c>
      <c r="D69" vm="1378">
        <f ca="1"/>
        <v>0.65910000000000002</v>
      </c>
    </row>
    <row r="70" spans="1:4" x14ac:dyDescent="0.25">
      <c r="A70" vm="444">
        <f ca="1"/>
        <v>45757</v>
      </c>
      <c r="B70" vm="1550">
        <f ca="1"/>
        <v>0.77510000000000001</v>
      </c>
      <c r="C70" vm="1551">
        <f ca="1"/>
        <v>0.82030000000000003</v>
      </c>
      <c r="D70" vm="1552">
        <f ca="1"/>
        <v>0.71399999999999997</v>
      </c>
    </row>
    <row r="71" spans="1:4" x14ac:dyDescent="0.25">
      <c r="A71" vm="451">
        <f ca="1"/>
        <v>45758</v>
      </c>
      <c r="B71" vm="1376">
        <f ca="1"/>
        <v>0.81399999999999995</v>
      </c>
      <c r="C71" vm="1499">
        <f ca="1"/>
        <v>0.83</v>
      </c>
      <c r="D71" vm="1547">
        <f ca="1"/>
        <v>0.75</v>
      </c>
    </row>
    <row r="72" spans="1:4" x14ac:dyDescent="0.25">
      <c r="A72" vm="458">
        <f ca="1"/>
        <v>45761</v>
      </c>
      <c r="B72" vm="1553">
        <f ca="1"/>
        <v>0.9143</v>
      </c>
      <c r="C72" vm="1380">
        <f ca="1"/>
        <v>0.96499999999999997</v>
      </c>
      <c r="D72" vm="1554">
        <f ca="1"/>
        <v>0.85509999999999997</v>
      </c>
    </row>
    <row r="73" spans="1:4" x14ac:dyDescent="0.25">
      <c r="A73" vm="463">
        <f ca="1"/>
        <v>45762</v>
      </c>
      <c r="B73" vm="1555">
        <f ca="1"/>
        <v>0.87419999999999998</v>
      </c>
      <c r="C73" vm="1556">
        <f ca="1"/>
        <v>0.93899999999999995</v>
      </c>
      <c r="D73" vm="1557">
        <f ca="1"/>
        <v>0.85</v>
      </c>
    </row>
    <row r="74" spans="1:4" x14ac:dyDescent="0.25">
      <c r="A74" vm="470">
        <f ca="1"/>
        <v>45763</v>
      </c>
      <c r="B74" vm="1558">
        <f ca="1"/>
        <v>0.86370000000000002</v>
      </c>
      <c r="C74" vm="1559">
        <f ca="1"/>
        <v>0.87860000000000005</v>
      </c>
      <c r="D74" vm="1381">
        <f ca="1"/>
        <v>0.81530000000000002</v>
      </c>
    </row>
    <row r="75" spans="1:4" x14ac:dyDescent="0.25">
      <c r="A75" vm="478">
        <f ca="1"/>
        <v>45764</v>
      </c>
      <c r="B75" vm="1379">
        <f ca="1"/>
        <v>0.88790000000000002</v>
      </c>
      <c r="C75" vm="1560">
        <f ca="1"/>
        <v>0.91920000000000002</v>
      </c>
      <c r="D75" vm="1561">
        <f ca="1"/>
        <v>0.85099999999999998</v>
      </c>
    </row>
    <row r="76" spans="1:4" x14ac:dyDescent="0.25">
      <c r="A76" vm="484">
        <f ca="1"/>
        <v>45768</v>
      </c>
      <c r="B76" vm="1562">
        <f ca="1"/>
        <v>0.79810000000000003</v>
      </c>
      <c r="C76" vm="1563">
        <f ca="1"/>
        <v>0.87</v>
      </c>
      <c r="D76" vm="1564">
        <f ca="1"/>
        <v>0.7712</v>
      </c>
    </row>
    <row r="77" spans="1:4" x14ac:dyDescent="0.25">
      <c r="A77" vm="488">
        <f ca="1"/>
        <v>45769</v>
      </c>
      <c r="B77" vm="1565">
        <f ca="1"/>
        <v>0.82010000000000005</v>
      </c>
      <c r="C77" vm="1499">
        <f ca="1"/>
        <v>0.83</v>
      </c>
      <c r="D77" vm="1566">
        <f ca="1"/>
        <v>0.77</v>
      </c>
    </row>
    <row r="78" spans="1:4" x14ac:dyDescent="0.25">
      <c r="A78" vm="491">
        <f ca="1"/>
        <v>45770</v>
      </c>
      <c r="B78" vm="1567">
        <f ca="1"/>
        <v>0.84189999999999998</v>
      </c>
      <c r="C78" vm="1383">
        <f ca="1"/>
        <v>0.9</v>
      </c>
      <c r="D78" vm="1568">
        <f ca="1"/>
        <v>0.83140000000000003</v>
      </c>
    </row>
    <row r="79" spans="1:4" x14ac:dyDescent="0.25">
      <c r="A79" vm="497">
        <f ca="1"/>
        <v>45771</v>
      </c>
      <c r="B79" vm="1569">
        <f ca="1"/>
        <v>0.80049999999999999</v>
      </c>
      <c r="C79" vm="1570">
        <f ca="1"/>
        <v>0.87929999999999997</v>
      </c>
      <c r="D79" vm="1571">
        <f ca="1"/>
        <v>0.78339999999999999</v>
      </c>
    </row>
    <row r="80" spans="1:4" x14ac:dyDescent="0.25">
      <c r="A80" vm="503">
        <f ca="1"/>
        <v>45772</v>
      </c>
      <c r="B80" vm="1382">
        <f ca="1"/>
        <v>0.71509999999999996</v>
      </c>
      <c r="C80" vm="1572">
        <f ca="1"/>
        <v>0.81559999999999999</v>
      </c>
      <c r="D80" vm="1384">
        <f ca="1"/>
        <v>0.69040000000000001</v>
      </c>
    </row>
    <row r="81" spans="1:4" x14ac:dyDescent="0.25">
      <c r="A81" vm="508">
        <f ca="1"/>
        <v>45775</v>
      </c>
      <c r="B81" vm="1573">
        <f ca="1"/>
        <v>0.75109999999999999</v>
      </c>
      <c r="C81" vm="1574">
        <f ca="1"/>
        <v>0.77890000000000004</v>
      </c>
      <c r="D81" vm="1387">
        <f ca="1"/>
        <v>0.72840000000000005</v>
      </c>
    </row>
    <row r="82" spans="1:4" x14ac:dyDescent="0.25">
      <c r="A82" vm="512">
        <f ca="1"/>
        <v>45776</v>
      </c>
      <c r="B82" vm="1575">
        <f ca="1"/>
        <v>0.80679999999999996</v>
      </c>
      <c r="C82" vm="1576">
        <f ca="1"/>
        <v>0.82930000000000004</v>
      </c>
      <c r="D82" vm="1390">
        <f ca="1"/>
        <v>0.73109999999999997</v>
      </c>
    </row>
    <row r="83" spans="1:4" x14ac:dyDescent="0.25">
      <c r="A83" vm="516">
        <f ca="1"/>
        <v>45777</v>
      </c>
      <c r="B83" vm="1577">
        <f ca="1"/>
        <v>0.77680000000000005</v>
      </c>
      <c r="C83" vm="1578">
        <f ca="1"/>
        <v>0.78859999999999997</v>
      </c>
      <c r="D83" vm="1579">
        <f ca="1"/>
        <v>0.73499999999999999</v>
      </c>
    </row>
    <row r="84" spans="1:4" x14ac:dyDescent="0.25">
      <c r="A84" vm="520">
        <f ca="1"/>
        <v>45778</v>
      </c>
      <c r="B84" vm="1496">
        <f ca="1"/>
        <v>0.78849999999999998</v>
      </c>
      <c r="C84" vm="1580">
        <f ca="1"/>
        <v>0.83289999999999997</v>
      </c>
      <c r="D84" vm="1581">
        <f ca="1"/>
        <v>0.77170000000000005</v>
      </c>
    </row>
    <row r="85" spans="1:4" x14ac:dyDescent="0.25">
      <c r="A85" vm="523">
        <f ca="1"/>
        <v>45779</v>
      </c>
      <c r="B85" vm="1385">
        <f ca="1"/>
        <v>0.81859999999999999</v>
      </c>
      <c r="C85" vm="1386">
        <f ca="1"/>
        <v>0.85370000000000001</v>
      </c>
      <c r="D85" vm="1496">
        <f ca="1"/>
        <v>0.78849999999999998</v>
      </c>
    </row>
    <row r="86" spans="1:4" x14ac:dyDescent="0.25">
      <c r="A86" vm="526">
        <f ca="1"/>
        <v>45782</v>
      </c>
      <c r="B86" vm="1582">
        <f ca="1"/>
        <v>0.76429999999999998</v>
      </c>
      <c r="C86" vm="1389">
        <f ca="1"/>
        <v>0.79890000000000005</v>
      </c>
      <c r="D86" vm="1583">
        <f ca="1"/>
        <v>0.76039999999999996</v>
      </c>
    </row>
    <row r="87" spans="1:4" x14ac:dyDescent="0.25">
      <c r="A87" vm="530">
        <f ca="1"/>
        <v>45783</v>
      </c>
      <c r="B87" vm="1584">
        <f ca="1"/>
        <v>0.75719999999999998</v>
      </c>
      <c r="C87" vm="1585">
        <f ca="1"/>
        <v>0.77900000000000003</v>
      </c>
      <c r="D87" vm="1586">
        <f ca="1"/>
        <v>0.73540000000000005</v>
      </c>
    </row>
    <row r="88" spans="1:4" x14ac:dyDescent="0.25">
      <c r="A88" vm="537">
        <f ca="1"/>
        <v>45784</v>
      </c>
      <c r="B88" vm="1587">
        <f ca="1"/>
        <v>0.75349999999999995</v>
      </c>
      <c r="C88" vm="1588">
        <f ca="1"/>
        <v>0.76239999999999997</v>
      </c>
      <c r="D88" vm="1390">
        <f ca="1"/>
        <v>0.73109999999999997</v>
      </c>
    </row>
    <row r="89" spans="1:4" x14ac:dyDescent="0.25">
      <c r="A89" vm="541">
        <f ca="1"/>
        <v>45785</v>
      </c>
      <c r="B89" vm="1589">
        <f ca="1"/>
        <v>0.79090000000000005</v>
      </c>
      <c r="C89" vm="1590">
        <f ca="1"/>
        <v>0.79879999999999995</v>
      </c>
      <c r="D89" vm="1591">
        <f ca="1"/>
        <v>0.73170000000000002</v>
      </c>
    </row>
    <row r="90" spans="1:4" x14ac:dyDescent="0.25">
      <c r="A90" vm="546">
        <f ca="1"/>
        <v>45786</v>
      </c>
      <c r="B90" vm="1388">
        <f ca="1"/>
        <v>0.76500000000000001</v>
      </c>
      <c r="C90" vm="1592">
        <f ca="1"/>
        <v>0.79630000000000001</v>
      </c>
      <c r="D90" vm="1593">
        <f ca="1"/>
        <v>0.76170000000000004</v>
      </c>
    </row>
    <row r="91" spans="1:4" x14ac:dyDescent="0.25">
      <c r="A91" vm="550">
        <f ca="1"/>
        <v>45789</v>
      </c>
      <c r="B91" vm="1594">
        <f ca="1"/>
        <v>0.82979999999999998</v>
      </c>
      <c r="C91" vm="1493">
        <f ca="1"/>
        <v>0.83899999999999997</v>
      </c>
      <c r="D91" vm="1595">
        <f ca="1"/>
        <v>0.76019999999999999</v>
      </c>
    </row>
    <row r="92" spans="1:4" x14ac:dyDescent="0.25">
      <c r="A92" vm="556">
        <f ca="1"/>
        <v>45790</v>
      </c>
      <c r="B92" vm="1558">
        <f ca="1"/>
        <v>0.86370000000000002</v>
      </c>
      <c r="C92" vm="1596">
        <f ca="1"/>
        <v>0.88639999999999997</v>
      </c>
      <c r="D92" vm="1597">
        <f ca="1"/>
        <v>0.80689999999999995</v>
      </c>
    </row>
    <row r="93" spans="1:4" x14ac:dyDescent="0.25">
      <c r="A93" vm="560">
        <f ca="1"/>
        <v>45791</v>
      </c>
      <c r="B93" vm="1598">
        <f ca="1"/>
        <v>0.87590000000000001</v>
      </c>
      <c r="C93" vm="1599">
        <f ca="1"/>
        <v>0.92</v>
      </c>
      <c r="D93" vm="1600">
        <f ca="1"/>
        <v>0.84389999999999998</v>
      </c>
    </row>
    <row r="94" spans="1:4" x14ac:dyDescent="0.25">
      <c r="A94" vm="564">
        <f ca="1"/>
        <v>45792</v>
      </c>
      <c r="B94" vm="1601">
        <f ca="1"/>
        <v>0.85670000000000002</v>
      </c>
      <c r="C94" vm="1563">
        <f ca="1"/>
        <v>0.87</v>
      </c>
      <c r="D94" vm="1393">
        <f ca="1"/>
        <v>0.76</v>
      </c>
    </row>
    <row r="95" spans="1:4" x14ac:dyDescent="0.25">
      <c r="A95" vm="569">
        <f ca="1"/>
        <v>45793</v>
      </c>
      <c r="B95" vm="1391">
        <f ca="1"/>
        <v>0.93010000000000004</v>
      </c>
      <c r="C95" vm="1392">
        <f ca="1"/>
        <v>0.94</v>
      </c>
      <c r="D95" vm="1602">
        <f ca="1"/>
        <v>0.84009999999999996</v>
      </c>
    </row>
    <row r="96" spans="1:4" x14ac:dyDescent="0.25">
      <c r="A96" vm="573">
        <f ca="1"/>
        <v>45796</v>
      </c>
      <c r="B96" vm="1603">
        <f ca="1"/>
        <v>0.97940000000000005</v>
      </c>
      <c r="C96" vm="1363">
        <f ca="1"/>
        <v>1</v>
      </c>
      <c r="D96" vm="1604">
        <f ca="1"/>
        <v>0.85499999999999998</v>
      </c>
    </row>
    <row r="97" spans="1:4" x14ac:dyDescent="0.25">
      <c r="A97" vm="577">
        <f ca="1"/>
        <v>45797</v>
      </c>
      <c r="B97" vm="1605">
        <f ca="1"/>
        <v>0.94259999999999999</v>
      </c>
      <c r="C97" vm="1395">
        <f ca="1"/>
        <v>1.05</v>
      </c>
      <c r="D97" vm="1606">
        <f ca="1"/>
        <v>0.93100000000000005</v>
      </c>
    </row>
    <row r="98" spans="1:4" x14ac:dyDescent="0.25">
      <c r="A98" vm="580">
        <f ca="1"/>
        <v>45798</v>
      </c>
      <c r="B98" vm="1607">
        <f ca="1"/>
        <v>0.86509999999999998</v>
      </c>
      <c r="C98" vm="1608">
        <f ca="1"/>
        <v>0.99650000000000005</v>
      </c>
      <c r="D98" vm="1396">
        <f ca="1"/>
        <v>0.8276</v>
      </c>
    </row>
    <row r="99" spans="1:4" x14ac:dyDescent="0.25">
      <c r="A99" vm="583">
        <f ca="1"/>
        <v>45799</v>
      </c>
      <c r="B99" vm="1609">
        <f ca="1"/>
        <v>0.9093</v>
      </c>
      <c r="C99" vm="1610">
        <f ca="1"/>
        <v>0.91900000000000004</v>
      </c>
      <c r="D99" vm="1611">
        <f ca="1"/>
        <v>0.84350000000000003</v>
      </c>
    </row>
    <row r="100" spans="1:4" x14ac:dyDescent="0.25">
      <c r="A100" vm="588">
        <f ca="1"/>
        <v>45800</v>
      </c>
      <c r="B100" vm="1394">
        <f ca="1"/>
        <v>0.92679999999999996</v>
      </c>
      <c r="C100" vm="1612">
        <f ca="1"/>
        <v>0.96</v>
      </c>
      <c r="D100" vm="1544">
        <f ca="1"/>
        <v>0.86</v>
      </c>
    </row>
    <row r="101" spans="1:4" x14ac:dyDescent="0.25">
      <c r="A101" vm="593">
        <f ca="1"/>
        <v>45804</v>
      </c>
      <c r="B101" vm="1613">
        <f ca="1"/>
        <v>0.94220000000000004</v>
      </c>
      <c r="C101" vm="1614">
        <f ca="1"/>
        <v>0.95369999999999999</v>
      </c>
      <c r="D101" vm="1399">
        <f ca="1"/>
        <v>0.89</v>
      </c>
    </row>
    <row r="102" spans="1:4" x14ac:dyDescent="0.25">
      <c r="A102" vm="598">
        <f ca="1"/>
        <v>45805</v>
      </c>
      <c r="B102" vm="1536">
        <f ca="1"/>
        <v>1.07</v>
      </c>
      <c r="C102" vm="1538">
        <f ca="1"/>
        <v>1.1499999999999999</v>
      </c>
      <c r="D102" vm="1615">
        <f ca="1"/>
        <v>0.93200000000000005</v>
      </c>
    </row>
    <row r="103" spans="1:4" x14ac:dyDescent="0.25">
      <c r="A103" vm="601">
        <f ca="1"/>
        <v>45806</v>
      </c>
      <c r="B103" vm="1536">
        <f ca="1"/>
        <v>1.07</v>
      </c>
      <c r="C103" vm="1483">
        <f ca="1"/>
        <v>1.1000000000000001</v>
      </c>
      <c r="D103" vm="1363">
        <f ca="1"/>
        <v>1</v>
      </c>
    </row>
    <row r="104" spans="1:4" x14ac:dyDescent="0.25">
      <c r="A104" vm="604">
        <f ca="1"/>
        <v>45807</v>
      </c>
      <c r="B104" vm="1397">
        <f ca="1"/>
        <v>1.22</v>
      </c>
      <c r="C104" vm="1398">
        <f ca="1"/>
        <v>1.23</v>
      </c>
      <c r="D104" vm="1536">
        <f ca="1"/>
        <v>1.07</v>
      </c>
    </row>
    <row r="105" spans="1:4" x14ac:dyDescent="0.25">
      <c r="A105" vm="606">
        <f ca="1"/>
        <v>45810</v>
      </c>
      <c r="B105" vm="1616">
        <f ca="1"/>
        <v>1.47</v>
      </c>
      <c r="C105" vm="1617">
        <f ca="1"/>
        <v>1.52</v>
      </c>
      <c r="D105" vm="1360">
        <f ca="1"/>
        <v>1.26</v>
      </c>
    </row>
    <row r="106" spans="1:4" x14ac:dyDescent="0.25">
      <c r="A106" vm="608">
        <f ca="1"/>
        <v>45811</v>
      </c>
      <c r="B106" vm="1618">
        <f ca="1"/>
        <v>1.42</v>
      </c>
      <c r="C106" vm="1619">
        <f ca="1"/>
        <v>1.66</v>
      </c>
      <c r="D106" vm="1479">
        <f ca="1"/>
        <v>1.4</v>
      </c>
    </row>
    <row r="107" spans="1:4" x14ac:dyDescent="0.25">
      <c r="A107" vm="610">
        <f ca="1"/>
        <v>45812</v>
      </c>
      <c r="B107" vm="1348">
        <f ca="1"/>
        <v>1.75</v>
      </c>
      <c r="C107" vm="1620">
        <f ca="1"/>
        <v>1.79</v>
      </c>
      <c r="D107" vm="1407">
        <f ca="1"/>
        <v>1.46</v>
      </c>
    </row>
    <row r="108" spans="1:4" x14ac:dyDescent="0.25">
      <c r="A108" vm="612">
        <f ca="1"/>
        <v>45813</v>
      </c>
      <c r="B108" vm="1405">
        <f ca="1"/>
        <v>1.58</v>
      </c>
      <c r="C108" vm="1401">
        <f ca="1"/>
        <v>1.885</v>
      </c>
      <c r="D108" vm="1353">
        <f ca="1"/>
        <v>1.5</v>
      </c>
    </row>
    <row r="109" spans="1:4" x14ac:dyDescent="0.25">
      <c r="A109" vm="615">
        <f ca="1"/>
        <v>45814</v>
      </c>
      <c r="B109" vm="1400">
        <f ca="1"/>
        <v>1.7</v>
      </c>
      <c r="C109" vm="1621">
        <f ca="1"/>
        <v>1.87</v>
      </c>
      <c r="D109" vm="1405">
        <f ca="1"/>
        <v>1.58</v>
      </c>
    </row>
    <row r="110" spans="1:4" x14ac:dyDescent="0.25">
      <c r="A110" vm="617">
        <f ca="1"/>
        <v>45817</v>
      </c>
      <c r="B110" vm="1462">
        <f ca="1"/>
        <v>1.68</v>
      </c>
      <c r="C110" vm="1403">
        <f ca="1"/>
        <v>2.0449999999999999</v>
      </c>
      <c r="D110" vm="1622">
        <f ca="1"/>
        <v>1.67</v>
      </c>
    </row>
    <row r="111" spans="1:4" x14ac:dyDescent="0.25">
      <c r="A111" vm="619">
        <f ca="1"/>
        <v>45818</v>
      </c>
      <c r="B111" vm="1617">
        <f ca="1"/>
        <v>1.52</v>
      </c>
      <c r="C111" vm="1400">
        <f ca="1"/>
        <v>1.7</v>
      </c>
      <c r="D111" vm="1482">
        <f ca="1"/>
        <v>1.45</v>
      </c>
    </row>
    <row r="112" spans="1:4" x14ac:dyDescent="0.25">
      <c r="A112" vm="620">
        <f ca="1"/>
        <v>45819</v>
      </c>
      <c r="B112" vm="1623">
        <f ca="1"/>
        <v>1.48</v>
      </c>
      <c r="C112" vm="1465">
        <f ca="1"/>
        <v>1.6</v>
      </c>
      <c r="D112" vm="1404">
        <f ca="1"/>
        <v>1.4000999999999999</v>
      </c>
    </row>
    <row r="113" spans="1:4" x14ac:dyDescent="0.25">
      <c r="A113" vm="622">
        <f ca="1"/>
        <v>45820</v>
      </c>
      <c r="B113" vm="1413">
        <f ca="1"/>
        <v>1.71</v>
      </c>
      <c r="C113" vm="1348">
        <f ca="1"/>
        <v>1.75</v>
      </c>
      <c r="D113" vm="1624">
        <f ca="1"/>
        <v>1.51</v>
      </c>
    </row>
    <row r="114" spans="1:4" x14ac:dyDescent="0.25">
      <c r="A114" vm="626">
        <f ca="1"/>
        <v>45821</v>
      </c>
      <c r="B114" vm="1402">
        <f ca="1"/>
        <v>1.82</v>
      </c>
      <c r="C114" vm="1621">
        <f ca="1"/>
        <v>1.87</v>
      </c>
      <c r="D114" vm="1619">
        <f ca="1"/>
        <v>1.66</v>
      </c>
    </row>
    <row r="115" spans="1:4" x14ac:dyDescent="0.25">
      <c r="A115" vm="629">
        <f ca="1"/>
        <v>45824</v>
      </c>
      <c r="B115" vm="1460">
        <f ca="1"/>
        <v>1.69</v>
      </c>
      <c r="C115" vm="1406">
        <f ca="1"/>
        <v>1.9</v>
      </c>
      <c r="D115" vm="1464">
        <f ca="1"/>
        <v>1.665</v>
      </c>
    </row>
    <row r="116" spans="1:4" x14ac:dyDescent="0.25">
      <c r="A116" vm="632">
        <f ca="1"/>
        <v>45825</v>
      </c>
      <c r="B116" vm="1625">
        <f ca="1"/>
        <v>1.56</v>
      </c>
      <c r="C116" vm="1626">
        <f ca="1"/>
        <v>1.6988000000000001</v>
      </c>
      <c r="D116" vm="1617">
        <f ca="1"/>
        <v>1.52</v>
      </c>
    </row>
    <row r="117" spans="1:4" x14ac:dyDescent="0.25">
      <c r="A117" vm="634">
        <f ca="1"/>
        <v>45826</v>
      </c>
      <c r="B117" vm="1627">
        <f ca="1"/>
        <v>1.55</v>
      </c>
      <c r="C117" vm="1469">
        <f ca="1"/>
        <v>1.61</v>
      </c>
      <c r="D117" vm="1407">
        <f ca="1"/>
        <v>1.46</v>
      </c>
    </row>
    <row r="118" spans="1:4" x14ac:dyDescent="0.25">
      <c r="A118" vm="636">
        <f ca="1"/>
        <v>45828</v>
      </c>
      <c r="B118" vm="1405">
        <f ca="1"/>
        <v>1.58</v>
      </c>
      <c r="C118" vm="1622">
        <f ca="1"/>
        <v>1.67</v>
      </c>
      <c r="D118" vm="1617">
        <f ca="1"/>
        <v>1.52</v>
      </c>
    </row>
    <row r="119" spans="1:4" x14ac:dyDescent="0.25">
      <c r="A119" vm="638">
        <f ca="1"/>
        <v>45831</v>
      </c>
      <c r="B119" vm="1478">
        <f ca="1"/>
        <v>1.43</v>
      </c>
      <c r="C119" vm="1405">
        <f ca="1"/>
        <v>1.58</v>
      </c>
      <c r="D119" vm="1408">
        <f ca="1"/>
        <v>1.36</v>
      </c>
    </row>
    <row r="120" spans="1:4" x14ac:dyDescent="0.25">
      <c r="A120" vm="640">
        <f ca="1"/>
        <v>45832</v>
      </c>
      <c r="B120" vm="1628">
        <f ca="1"/>
        <v>1.59</v>
      </c>
      <c r="C120" vm="1465">
        <f ca="1"/>
        <v>1.6</v>
      </c>
      <c r="D120" vm="1629">
        <f ca="1"/>
        <v>1.4650000000000001</v>
      </c>
    </row>
    <row r="121" spans="1:4" x14ac:dyDescent="0.25">
      <c r="A121" vm="643">
        <f ca="1"/>
        <v>45833</v>
      </c>
      <c r="B121" vm="1465">
        <f ca="1"/>
        <v>1.6</v>
      </c>
      <c r="C121" vm="1409">
        <f ca="1"/>
        <v>1.85</v>
      </c>
      <c r="D121" vm="1627">
        <f ca="1"/>
        <v>1.55</v>
      </c>
    </row>
    <row r="122" spans="1:4" x14ac:dyDescent="0.25">
      <c r="A122" vm="644">
        <f ca="1"/>
        <v>45834</v>
      </c>
      <c r="B122" vm="1348">
        <f ca="1"/>
        <v>1.75</v>
      </c>
      <c r="C122" vm="1620">
        <f ca="1"/>
        <v>1.79</v>
      </c>
      <c r="D122" vm="1630">
        <f ca="1"/>
        <v>1.53</v>
      </c>
    </row>
    <row r="123" spans="1:4" x14ac:dyDescent="0.25">
      <c r="A123" vm="645">
        <f ca="1"/>
        <v>45835</v>
      </c>
      <c r="B123" vm="1354">
        <f ca="1"/>
        <v>1.83</v>
      </c>
      <c r="C123" vm="1351">
        <f ca="1"/>
        <v>1.91</v>
      </c>
      <c r="D123" vm="1460">
        <f ca="1"/>
        <v>1.69</v>
      </c>
    </row>
    <row r="124" spans="1:4" x14ac:dyDescent="0.25">
      <c r="A124" vm="646">
        <f ca="1"/>
        <v>45838</v>
      </c>
      <c r="B124" vm="1352">
        <f ca="1"/>
        <v>1.92</v>
      </c>
      <c r="C124" vm="1410">
        <f ca="1"/>
        <v>2.29</v>
      </c>
      <c r="D124" vm="1351">
        <f ca="1"/>
        <v>1.91</v>
      </c>
    </row>
    <row r="125" spans="1:4" x14ac:dyDescent="0.25">
      <c r="A125" vm="648">
        <f ca="1"/>
        <v>45839</v>
      </c>
      <c r="B125" vm="1631">
        <f ca="1"/>
        <v>1.96</v>
      </c>
      <c r="C125" vm="1631">
        <f ca="1"/>
        <v>1.96</v>
      </c>
      <c r="D125" vm="1411">
        <f ca="1"/>
        <v>1.8</v>
      </c>
    </row>
    <row r="126" spans="1:4" x14ac:dyDescent="0.25">
      <c r="A126" vm="649">
        <f ca="1"/>
        <v>45840</v>
      </c>
      <c r="B126" vm="1445">
        <f ca="1"/>
        <v>1.88</v>
      </c>
      <c r="C126" vm="1632">
        <f ca="1"/>
        <v>1.95</v>
      </c>
      <c r="D126" vm="1411">
        <f ca="1"/>
        <v>1.8</v>
      </c>
    </row>
    <row r="127" spans="1:4" x14ac:dyDescent="0.25">
      <c r="A127" vm="651">
        <f ca="1"/>
        <v>45841</v>
      </c>
      <c r="B127" vm="1409">
        <f ca="1"/>
        <v>1.85</v>
      </c>
      <c r="C127" vm="1633">
        <f ca="1"/>
        <v>2.0150000000000001</v>
      </c>
      <c r="D127" vm="1402">
        <f ca="1"/>
        <v>1.82</v>
      </c>
    </row>
    <row r="128" spans="1:4" x14ac:dyDescent="0.25">
      <c r="A128" vm="653">
        <f ca="1"/>
        <v>45845</v>
      </c>
      <c r="B128" vm="1348">
        <f ca="1"/>
        <v>1.75</v>
      </c>
      <c r="C128" vm="1634">
        <f ca="1"/>
        <v>1.97</v>
      </c>
      <c r="D128" vm="1468">
        <f ca="1"/>
        <v>1.72</v>
      </c>
    </row>
    <row r="129" spans="1:4" x14ac:dyDescent="0.25">
      <c r="A129" vm="655">
        <f ca="1"/>
        <v>45846</v>
      </c>
      <c r="B129" vm="1620">
        <f ca="1"/>
        <v>1.79</v>
      </c>
      <c r="C129" vm="1635">
        <f ca="1"/>
        <v>1.825</v>
      </c>
      <c r="D129" vm="1413">
        <f ca="1"/>
        <v>1.71</v>
      </c>
    </row>
    <row r="130" spans="1:4" x14ac:dyDescent="0.25">
      <c r="A130" vm="658">
        <f ca="1"/>
        <v>45847</v>
      </c>
      <c r="B130" vm="1475">
        <f ca="1"/>
        <v>1.84</v>
      </c>
      <c r="C130" vm="1473">
        <f ca="1"/>
        <v>1.93</v>
      </c>
      <c r="D130" vm="1636">
        <f ca="1"/>
        <v>1.7949999999999999</v>
      </c>
    </row>
    <row r="131" spans="1:4" x14ac:dyDescent="0.25">
      <c r="A131" vm="659">
        <f ca="1"/>
        <v>45848</v>
      </c>
      <c r="B131" vm="1452">
        <f ca="1"/>
        <v>2.0099999999999998</v>
      </c>
      <c r="C131" vm="1637">
        <f ca="1"/>
        <v>2.0499999999999998</v>
      </c>
      <c r="D131" vm="1411">
        <f ca="1"/>
        <v>1.8</v>
      </c>
    </row>
    <row r="132" spans="1:4" x14ac:dyDescent="0.25">
      <c r="A132" vm="661">
        <f ca="1"/>
        <v>45849</v>
      </c>
      <c r="B132" vm="1412">
        <f ca="1"/>
        <v>2.12</v>
      </c>
      <c r="C132" vm="1340">
        <f ca="1"/>
        <v>2.2400000000000002</v>
      </c>
      <c r="D132" vm="1637">
        <f ca="1"/>
        <v>2.0499999999999998</v>
      </c>
    </row>
    <row r="133" spans="1:4" x14ac:dyDescent="0.25">
      <c r="A133" vm="663">
        <f ca="1"/>
        <v>45852</v>
      </c>
      <c r="B133" vm="1638">
        <f ca="1"/>
        <v>2.31</v>
      </c>
      <c r="C133" vm="1439">
        <f ca="1"/>
        <v>2.4500000000000002</v>
      </c>
      <c r="D133" vm="1412">
        <f ca="1"/>
        <v>2.12</v>
      </c>
    </row>
    <row r="134" spans="1:4" x14ac:dyDescent="0.25">
      <c r="A134" vm="664">
        <f ca="1"/>
        <v>45853</v>
      </c>
      <c r="B134" vm="1410">
        <f ca="1"/>
        <v>2.29</v>
      </c>
      <c r="C134" vm="1639">
        <f ca="1"/>
        <v>2.35</v>
      </c>
      <c r="D134" vm="1418">
        <f ca="1"/>
        <v>2.2000000000000002</v>
      </c>
    </row>
    <row r="135" spans="1:4" x14ac:dyDescent="0.25">
      <c r="A135" vm="666">
        <f ca="1"/>
        <v>45854</v>
      </c>
      <c r="B135" vm="1443">
        <f ca="1"/>
        <v>2.4</v>
      </c>
      <c r="C135" vm="1640">
        <f ca="1"/>
        <v>2.44</v>
      </c>
      <c r="D135" vm="1446">
        <f ca="1"/>
        <v>2.19</v>
      </c>
    </row>
    <row r="136" spans="1:4" x14ac:dyDescent="0.25">
      <c r="A136" vm="668">
        <f ca="1"/>
        <v>45855</v>
      </c>
      <c r="B136" vm="1443">
        <f ca="1"/>
        <v>2.4</v>
      </c>
      <c r="C136" vm="1414">
        <f ca="1"/>
        <v>2.6398999999999999</v>
      </c>
      <c r="D136" vm="1145">
        <f ca="1"/>
        <v>2.2799999999999998</v>
      </c>
    </row>
    <row r="137" spans="1:4" x14ac:dyDescent="0.25">
      <c r="A137" vm="1">
        <f ca="1"/>
        <v>45856</v>
      </c>
      <c r="B137" vm="1355">
        <f ca="1"/>
        <v>2.23</v>
      </c>
      <c r="C137" vm="1144">
        <f ca="1"/>
        <v>2.48</v>
      </c>
      <c r="D137" vm="1446">
        <f ca="1"/>
        <v>2.19</v>
      </c>
    </row>
    <row r="138" spans="1:4" x14ac:dyDescent="0.25">
      <c r="A138" vm="9">
        <f ca="1"/>
        <v>45859</v>
      </c>
      <c r="B138" vm="1420">
        <f ca="1"/>
        <v>2.25</v>
      </c>
      <c r="C138" vm="1416">
        <f ca="1"/>
        <v>2.7</v>
      </c>
      <c r="D138" vm="1340">
        <f ca="1"/>
        <v>2.2400000000000002</v>
      </c>
    </row>
    <row r="139" spans="1:4" x14ac:dyDescent="0.25">
      <c r="A139" vm="17">
        <f ca="1"/>
        <v>45860</v>
      </c>
      <c r="B139" vm="1457">
        <f ca="1"/>
        <v>2.1</v>
      </c>
      <c r="C139" vm="1343">
        <f ca="1"/>
        <v>2.27</v>
      </c>
      <c r="D139" vm="1417">
        <f ca="1"/>
        <v>2.02</v>
      </c>
    </row>
    <row r="140" spans="1:4" x14ac:dyDescent="0.25">
      <c r="A140" vm="25">
        <f ca="1"/>
        <v>45861</v>
      </c>
      <c r="B140" vm="1641">
        <f ca="1"/>
        <v>2.1800000000000002</v>
      </c>
      <c r="C140" vm="1418">
        <f ca="1"/>
        <v>2.2000000000000002</v>
      </c>
      <c r="D140" vm="1637">
        <f ca="1"/>
        <v>2.0499999999999998</v>
      </c>
    </row>
    <row r="141" spans="1:4" x14ac:dyDescent="0.25">
      <c r="A141" vm="31">
        <f ca="1"/>
        <v>45862</v>
      </c>
      <c r="B141" vm="1472">
        <f ca="1"/>
        <v>2.14</v>
      </c>
      <c r="C141" vm="1642">
        <f ca="1"/>
        <v>2.33</v>
      </c>
      <c r="D141" vm="1415">
        <f ca="1"/>
        <v>2.13</v>
      </c>
    </row>
    <row r="142" spans="1:4" x14ac:dyDescent="0.25">
      <c r="A142" vm="39">
        <f ca="1"/>
        <v>45863</v>
      </c>
      <c r="B142" vm="1415">
        <f ca="1"/>
        <v>2.13</v>
      </c>
      <c r="C142" vm="1472">
        <f ca="1"/>
        <v>2.14</v>
      </c>
      <c r="D142" vm="1643">
        <f ca="1"/>
        <v>2.06</v>
      </c>
    </row>
    <row r="143" spans="1:4" x14ac:dyDescent="0.25">
      <c r="A143" vm="47">
        <f ca="1"/>
        <v>45866</v>
      </c>
      <c r="B143" vm="1349">
        <f ca="1"/>
        <v>2</v>
      </c>
      <c r="C143" vm="1418">
        <f ca="1"/>
        <v>2.2000000000000002</v>
      </c>
      <c r="D143" vm="1458">
        <f ca="1"/>
        <v>1.98</v>
      </c>
    </row>
    <row r="144" spans="1:4" x14ac:dyDescent="0.25">
      <c r="A144" vm="55">
        <f ca="1"/>
        <v>45867</v>
      </c>
      <c r="B144" vm="1402">
        <f ca="1"/>
        <v>1.82</v>
      </c>
      <c r="C144" vm="1452">
        <f ca="1"/>
        <v>2.0099999999999998</v>
      </c>
      <c r="D144" vm="1419">
        <f ca="1"/>
        <v>1.78</v>
      </c>
    </row>
    <row r="145" spans="1:4" x14ac:dyDescent="0.25">
      <c r="A145" vm="62">
        <f ca="1"/>
        <v>45868</v>
      </c>
      <c r="B145" vm="1342">
        <f ca="1"/>
        <v>2.0699999999999998</v>
      </c>
      <c r="C145" vm="1472">
        <f ca="1"/>
        <v>2.14</v>
      </c>
      <c r="D145" vm="1409">
        <f ca="1"/>
        <v>1.85</v>
      </c>
    </row>
    <row r="146" spans="1:4" x14ac:dyDescent="0.25">
      <c r="A146" vm="70">
        <f ca="1"/>
        <v>45869</v>
      </c>
      <c r="B146" vm="1412">
        <f ca="1"/>
        <v>2.12</v>
      </c>
      <c r="C146" vm="1644">
        <f ca="1"/>
        <v>2.2200000000000002</v>
      </c>
      <c r="D146" vm="1645">
        <f ca="1"/>
        <v>2.0299999999999998</v>
      </c>
    </row>
    <row r="147" spans="1:4" x14ac:dyDescent="0.25">
      <c r="A147" vm="78">
        <f ca="1"/>
        <v>45870</v>
      </c>
      <c r="B147" vm="1418">
        <f ca="1"/>
        <v>2.2000000000000002</v>
      </c>
      <c r="C147" vm="1343">
        <f ca="1"/>
        <v>2.27</v>
      </c>
      <c r="D147" vm="1452">
        <f ca="1"/>
        <v>2.0099999999999998</v>
      </c>
    </row>
    <row r="148" spans="1:4" x14ac:dyDescent="0.25">
      <c r="A148" vm="85">
        <f ca="1"/>
        <v>45873</v>
      </c>
      <c r="B148" vm="1646">
        <f ca="1"/>
        <v>2.67</v>
      </c>
      <c r="C148" vm="1646">
        <f ca="1"/>
        <v>2.67</v>
      </c>
      <c r="D148" vm="1420">
        <f ca="1"/>
        <v>2.25</v>
      </c>
    </row>
    <row r="149" spans="1:4" x14ac:dyDescent="0.25">
      <c r="A149" vm="92">
        <f ca="1"/>
        <v>45874</v>
      </c>
      <c r="B149" vm="1093">
        <f ca="1"/>
        <v>3.07</v>
      </c>
      <c r="C149" vm="1116">
        <f ca="1"/>
        <v>3.09</v>
      </c>
      <c r="D149" vm="1647">
        <f ca="1"/>
        <v>2.66</v>
      </c>
    </row>
    <row r="150" spans="1:4" x14ac:dyDescent="0.25">
      <c r="A150" vm="100">
        <f ca="1"/>
        <v>45875</v>
      </c>
      <c r="B150" vm="1078">
        <f ca="1"/>
        <v>3.33</v>
      </c>
      <c r="C150" vm="1054">
        <f ca="1"/>
        <v>3.37</v>
      </c>
      <c r="D150" vm="1110">
        <f ca="1"/>
        <v>2.92</v>
      </c>
    </row>
    <row r="151" spans="1:4" x14ac:dyDescent="0.25">
      <c r="A151" vm="108">
        <f ca="1"/>
        <v>45876</v>
      </c>
      <c r="B151" vm="1072">
        <f ca="1"/>
        <v>3.25</v>
      </c>
      <c r="C151" vm="1124">
        <f ca="1"/>
        <v>3.5</v>
      </c>
      <c r="D151" vm="1648">
        <f ca="1"/>
        <v>3.085</v>
      </c>
    </row>
    <row r="152" spans="1:4" x14ac:dyDescent="0.25">
      <c r="A152" vm="115">
        <f ca="1"/>
        <v>45877</v>
      </c>
      <c r="B152" vm="1062">
        <f ca="1"/>
        <v>3.55</v>
      </c>
      <c r="C152" vm="932">
        <f ca="1"/>
        <v>3.95</v>
      </c>
      <c r="D152" vm="1649">
        <f ca="1"/>
        <v>3.395</v>
      </c>
    </row>
    <row r="153" spans="1:4" x14ac:dyDescent="0.25">
      <c r="A153" vm="122">
        <f ca="1"/>
        <v>45880</v>
      </c>
      <c r="B153" vm="1049">
        <f ca="1"/>
        <v>3.43</v>
      </c>
      <c r="C153" vm="1175">
        <f ca="1"/>
        <v>3.76</v>
      </c>
      <c r="D153" vm="1067">
        <f ca="1"/>
        <v>3.31</v>
      </c>
    </row>
    <row r="154" spans="1:4" x14ac:dyDescent="0.25">
      <c r="A154" vm="128">
        <f ca="1"/>
        <v>45881</v>
      </c>
      <c r="B154" vm="1173">
        <f ca="1"/>
        <v>4.29</v>
      </c>
      <c r="C154" vm="943">
        <f ca="1"/>
        <v>4.3899999999999997</v>
      </c>
      <c r="D154" vm="940">
        <f ca="1"/>
        <v>3.86</v>
      </c>
    </row>
    <row r="155" spans="1:4" x14ac:dyDescent="0.25">
      <c r="A155" vm="135">
        <f ca="1"/>
        <v>45882</v>
      </c>
      <c r="B155" vm="1050">
        <f ca="1"/>
        <v>3.52</v>
      </c>
      <c r="C155" vm="931">
        <f ca="1"/>
        <v>3.79</v>
      </c>
      <c r="D155" vm="1650">
        <f ca="1"/>
        <v>3.44</v>
      </c>
    </row>
    <row r="156" spans="1:4" x14ac:dyDescent="0.25">
      <c r="A156" vm="142">
        <f ca="1"/>
        <v>45883</v>
      </c>
      <c r="B156" vm="1651">
        <f ca="1"/>
        <v>3.93</v>
      </c>
      <c r="C156" vm="1651">
        <f ca="1"/>
        <v>3.93</v>
      </c>
      <c r="D156" vm="1049">
        <f ca="1"/>
        <v>3.43</v>
      </c>
    </row>
    <row r="157" spans="1:4" x14ac:dyDescent="0.25">
      <c r="A157" vm="146">
        <f ca="1"/>
        <v>45884</v>
      </c>
      <c r="B157" vm="940">
        <f ca="1"/>
        <v>3.86</v>
      </c>
      <c r="C157" vm="923">
        <f ca="1"/>
        <v>4.2300000000000004</v>
      </c>
      <c r="D157" vm="1179">
        <f ca="1"/>
        <v>3.7450000000000001</v>
      </c>
    </row>
    <row r="158" spans="1:4" x14ac:dyDescent="0.25">
      <c r="A158" vm="154">
        <f ca="1"/>
        <v>45887</v>
      </c>
      <c r="B158" vm="1652">
        <f ca="1"/>
        <v>4.01</v>
      </c>
      <c r="C158" vm="920">
        <f ca="1"/>
        <v>4.09</v>
      </c>
      <c r="D158" vm="1653">
        <f ca="1"/>
        <v>3.7250000000000001</v>
      </c>
    </row>
    <row r="159" spans="1:4" x14ac:dyDescent="0.25">
      <c r="A159" vm="161">
        <f ca="1"/>
        <v>45888</v>
      </c>
      <c r="B159" vm="1190">
        <f ca="1"/>
        <v>3.59</v>
      </c>
      <c r="C159" vm="905">
        <f ca="1"/>
        <v>4.33</v>
      </c>
      <c r="D159" vm="1654">
        <f ca="1"/>
        <v>3.56</v>
      </c>
    </row>
    <row r="160" spans="1:4" x14ac:dyDescent="0.25">
      <c r="A160" vm="168">
        <f ca="1"/>
        <v>45889</v>
      </c>
      <c r="B160" vm="1184">
        <f ca="1"/>
        <v>3.61</v>
      </c>
      <c r="C160" vm="1655">
        <f ca="1"/>
        <v>3.66</v>
      </c>
      <c r="D160" vm="1076">
        <f ca="1"/>
        <v>3.2</v>
      </c>
    </row>
    <row r="161" spans="1:4" x14ac:dyDescent="0.25">
      <c r="A161" vm="174">
        <f ca="1"/>
        <v>45890</v>
      </c>
      <c r="B161" vm="1203">
        <f ca="1"/>
        <v>3.8</v>
      </c>
      <c r="C161" vm="936">
        <f ca="1"/>
        <v>3.89</v>
      </c>
      <c r="D161" vm="1192">
        <f ca="1"/>
        <v>3.51</v>
      </c>
    </row>
    <row r="162" spans="1:4" x14ac:dyDescent="0.25">
      <c r="A162" vm="180">
        <f ca="1"/>
        <v>45891</v>
      </c>
      <c r="B162" vm="1163">
        <f ca="1"/>
        <v>4.49</v>
      </c>
      <c r="C162" vm="896">
        <f ca="1"/>
        <v>4.51</v>
      </c>
      <c r="D162" vm="1203">
        <f ca="1"/>
        <v>3.8</v>
      </c>
    </row>
    <row r="163" spans="1:4" x14ac:dyDescent="0.25">
      <c r="A163" vm="186">
        <f ca="1"/>
        <v>45894</v>
      </c>
      <c r="B163" vm="1208">
        <f ca="1"/>
        <v>4.8499999999999996</v>
      </c>
      <c r="C163" vm="881">
        <f ca="1"/>
        <v>4.9800000000000004</v>
      </c>
      <c r="D163" vm="1422">
        <f ca="1"/>
        <v>4.53</v>
      </c>
    </row>
    <row r="164" spans="1:4" x14ac:dyDescent="0.25">
      <c r="A164" vm="193">
        <f ca="1"/>
        <v>45895</v>
      </c>
      <c r="B164" vm="1001">
        <f ca="1"/>
        <v>4.97</v>
      </c>
      <c r="C164" vm="1656">
        <f ca="1"/>
        <v>5.2666000000000004</v>
      </c>
      <c r="D164" vm="1657">
        <f ca="1"/>
        <v>4.71</v>
      </c>
    </row>
    <row r="165" spans="1:4" x14ac:dyDescent="0.25">
      <c r="A165" vm="199">
        <f ca="1"/>
        <v>45896</v>
      </c>
      <c r="B165" vm="1244">
        <f ca="1"/>
        <v>5.07</v>
      </c>
      <c r="C165" vm="988">
        <f ca="1"/>
        <v>5.5049999999999999</v>
      </c>
      <c r="D165" vm="866">
        <f ca="1"/>
        <v>5.01</v>
      </c>
    </row>
    <row r="166" spans="1:4" x14ac:dyDescent="0.25">
      <c r="A166" vm="206">
        <f ca="1"/>
        <v>45897</v>
      </c>
      <c r="B166" vm="1658">
        <f ca="1"/>
        <v>5.7</v>
      </c>
      <c r="C166" vm="845">
        <f ca="1"/>
        <v>6.01</v>
      </c>
      <c r="D166" vm="978">
        <f ca="1"/>
        <v>5.2</v>
      </c>
    </row>
    <row r="167" spans="1:4" x14ac:dyDescent="0.25">
      <c r="A167" vm="210">
        <f ca="1"/>
        <v>45898</v>
      </c>
      <c r="B167" vm="807">
        <f ca="1"/>
        <v>5.86</v>
      </c>
      <c r="C167" vm="1421">
        <f ca="1"/>
        <v>6.1879999999999997</v>
      </c>
      <c r="D167" vm="960">
        <f ca="1"/>
        <v>5.54</v>
      </c>
    </row>
    <row r="168" spans="1:4" x14ac:dyDescent="0.25">
      <c r="A168" vm="216">
        <f ca="1"/>
        <v>45902</v>
      </c>
      <c r="B168" vm="984">
        <f ca="1"/>
        <v>5.46</v>
      </c>
      <c r="C168" vm="844">
        <f ca="1"/>
        <v>5.95</v>
      </c>
      <c r="D168" vm="962">
        <f ca="1"/>
        <v>5.33</v>
      </c>
    </row>
    <row r="169" spans="1:4" x14ac:dyDescent="0.25">
      <c r="A169" vm="223">
        <f ca="1"/>
        <v>45903</v>
      </c>
      <c r="B169" vm="1659">
        <f ca="1"/>
        <v>5.03</v>
      </c>
      <c r="C169" vm="1660">
        <f ca="1"/>
        <v>5.6779999999999999</v>
      </c>
      <c r="D169" vm="866">
        <f ca="1"/>
        <v>5.01</v>
      </c>
    </row>
    <row r="170" spans="1:4" x14ac:dyDescent="0.25">
      <c r="A170" vm="229">
        <f ca="1"/>
        <v>45904</v>
      </c>
      <c r="B170" vm="962">
        <f ca="1"/>
        <v>5.33</v>
      </c>
      <c r="C170" vm="805">
        <f ca="1"/>
        <v>5.39</v>
      </c>
      <c r="D170" vm="1012">
        <f ca="1"/>
        <v>4.9000000000000004</v>
      </c>
    </row>
    <row r="171" spans="1:4" x14ac:dyDescent="0.25">
      <c r="A171" vm="235">
        <f ca="1"/>
        <v>45905</v>
      </c>
      <c r="B171" vm="828">
        <f ca="1"/>
        <v>5.63</v>
      </c>
      <c r="C171" vm="1661">
        <f ca="1"/>
        <v>5.68</v>
      </c>
      <c r="D171" vm="1659">
        <f ca="1"/>
        <v>5.03</v>
      </c>
    </row>
    <row r="172" spans="1:4" x14ac:dyDescent="0.25">
      <c r="A172" vm="242">
        <f ca="1"/>
        <v>45908</v>
      </c>
      <c r="B172" vm="832">
        <f ca="1"/>
        <v>6.06</v>
      </c>
      <c r="C172" vm="792">
        <f ca="1"/>
        <v>6.5</v>
      </c>
      <c r="D172" vm="822">
        <f ca="1"/>
        <v>5.6</v>
      </c>
    </row>
    <row r="173" spans="1:4" x14ac:dyDescent="0.25">
      <c r="A173" vm="250">
        <f ca="1"/>
        <v>45909</v>
      </c>
      <c r="B173" vm="987">
        <f ca="1"/>
        <v>5.45</v>
      </c>
      <c r="C173" vm="830">
        <f ca="1"/>
        <v>5.59</v>
      </c>
      <c r="D173" vm="1424">
        <f ca="1"/>
        <v>5.21</v>
      </c>
    </row>
    <row r="174" spans="1:4" x14ac:dyDescent="0.25">
      <c r="A174" vm="257">
        <f ca="1"/>
        <v>45910</v>
      </c>
      <c r="B174" vm="808">
        <f ca="1"/>
        <v>5.56</v>
      </c>
      <c r="C174" vm="816">
        <f ca="1"/>
        <v>6</v>
      </c>
      <c r="D174" vm="1662">
        <f ca="1"/>
        <v>5.3849999999999998</v>
      </c>
    </row>
    <row r="175" spans="1:4" x14ac:dyDescent="0.25">
      <c r="A175" vm="264">
        <f ca="1"/>
        <v>45911</v>
      </c>
      <c r="B175" vm="1030">
        <f ca="1"/>
        <v>6.42</v>
      </c>
      <c r="C175" vm="1026">
        <f ca="1"/>
        <v>6.44</v>
      </c>
      <c r="D175" vm="954">
        <f ca="1"/>
        <v>5.41</v>
      </c>
    </row>
    <row r="176" spans="1:4" x14ac:dyDescent="0.25">
      <c r="A176" vm="271">
        <f ca="1"/>
        <v>45912</v>
      </c>
      <c r="B176" vm="766">
        <f ca="1"/>
        <v>6.56</v>
      </c>
      <c r="C176" vm="1423">
        <f ca="1"/>
        <v>6.72</v>
      </c>
      <c r="D176" vm="1031">
        <f ca="1"/>
        <v>6.2</v>
      </c>
    </row>
    <row r="177" spans="1:4" x14ac:dyDescent="0.25">
      <c r="A177" vm="279">
        <f ca="1"/>
        <v>45915</v>
      </c>
      <c r="B177" vm="1663">
        <f ca="1"/>
        <v>6.38</v>
      </c>
      <c r="C177" vm="1266">
        <f ca="1"/>
        <v>6.8598999999999997</v>
      </c>
      <c r="D177" vm="1019">
        <f ca="1"/>
        <v>6.25</v>
      </c>
    </row>
    <row r="178" spans="1:4" x14ac:dyDescent="0.25">
      <c r="A178" vm="285">
        <f ca="1"/>
        <v>45916</v>
      </c>
      <c r="B178" vm="1037">
        <f ca="1"/>
        <v>6.09</v>
      </c>
      <c r="C178" vm="1047">
        <f ca="1"/>
        <v>6.35</v>
      </c>
      <c r="D178" vm="1250">
        <f ca="1"/>
        <v>5.92</v>
      </c>
    </row>
    <row r="179" spans="1:4" x14ac:dyDescent="0.25">
      <c r="A179" vm="292">
        <f ca="1"/>
        <v>45917</v>
      </c>
      <c r="B179" vm="1664">
        <f ca="1"/>
        <v>6.1</v>
      </c>
      <c r="C179" vm="1019">
        <f ca="1"/>
        <v>6.25</v>
      </c>
      <c r="D179" vm="824">
        <f ca="1"/>
        <v>5.75</v>
      </c>
    </row>
    <row r="180" spans="1:4" x14ac:dyDescent="0.25">
      <c r="A180" vm="298">
        <f ca="1"/>
        <v>45918</v>
      </c>
      <c r="B180" vm="756">
        <f ca="1"/>
        <v>6.6</v>
      </c>
      <c r="C180" vm="769">
        <f ca="1"/>
        <v>6.64</v>
      </c>
      <c r="D180" vm="845">
        <f ca="1"/>
        <v>6.01</v>
      </c>
    </row>
    <row r="181" spans="1:4" x14ac:dyDescent="0.25">
      <c r="A181" vm="303">
        <f ca="1"/>
        <v>45919</v>
      </c>
      <c r="B181" vm="1423">
        <f ca="1"/>
        <v>6.72</v>
      </c>
      <c r="C181" vm="778">
        <f ca="1"/>
        <v>6.84</v>
      </c>
      <c r="D181" vm="1030">
        <f ca="1"/>
        <v>6.42</v>
      </c>
    </row>
    <row r="182" spans="1:4" x14ac:dyDescent="0.25">
      <c r="A182" vm="310">
        <f ca="1"/>
        <v>45922</v>
      </c>
      <c r="B182" vm="1279">
        <f ca="1"/>
        <v>7.26</v>
      </c>
      <c r="C182" vm="681">
        <f ca="1"/>
        <v>7.36</v>
      </c>
      <c r="D182" vm="758">
        <f ca="1"/>
        <v>6.58</v>
      </c>
    </row>
    <row r="183" spans="1:4" x14ac:dyDescent="0.25">
      <c r="A183" vm="317">
        <f ca="1"/>
        <v>45923</v>
      </c>
      <c r="B183" vm="427">
        <f ca="1"/>
        <v>7.88</v>
      </c>
      <c r="C183" vm="1426">
        <f ca="1"/>
        <v>8.1198999999999995</v>
      </c>
      <c r="D183" vm="1665">
        <f ca="1"/>
        <v>7.23</v>
      </c>
    </row>
    <row r="184" spans="1:4" x14ac:dyDescent="0.25">
      <c r="A184" vm="323">
        <f ca="1"/>
        <v>45924</v>
      </c>
      <c r="B184" vm="1666">
        <f ca="1"/>
        <v>7.35</v>
      </c>
      <c r="C184" vm="706">
        <f ca="1"/>
        <v>8.07</v>
      </c>
      <c r="D184" vm="1275">
        <f ca="1"/>
        <v>7.25</v>
      </c>
    </row>
    <row r="185" spans="1:4" x14ac:dyDescent="0.25">
      <c r="A185" vm="328">
        <f ca="1"/>
        <v>45925</v>
      </c>
      <c r="B185" vm="683">
        <f ca="1"/>
        <v>7.75</v>
      </c>
      <c r="C185" vm="674">
        <f ca="1"/>
        <v>7.84</v>
      </c>
      <c r="D185" vm="1667">
        <f ca="1"/>
        <v>6.79</v>
      </c>
    </row>
    <row r="186" spans="1:4" x14ac:dyDescent="0.25">
      <c r="A186" vm="334">
        <f ca="1"/>
        <v>45926</v>
      </c>
      <c r="B186" vm="1425">
        <f ca="1"/>
        <v>7.66</v>
      </c>
      <c r="C186" vm="459">
        <f ca="1"/>
        <v>7.89</v>
      </c>
      <c r="D186" vm="681">
        <f ca="1"/>
        <v>7.36</v>
      </c>
    </row>
    <row r="187" spans="1:4" x14ac:dyDescent="0.25">
      <c r="A187" vm="340">
        <f ca="1"/>
        <v>45929</v>
      </c>
      <c r="B187" vm="694">
        <f ca="1"/>
        <v>7.87</v>
      </c>
      <c r="C187" vm="413">
        <f ca="1"/>
        <v>8.7100000000000009</v>
      </c>
      <c r="D187" vm="689">
        <f ca="1"/>
        <v>7.8</v>
      </c>
    </row>
    <row r="188" spans="1:4" x14ac:dyDescent="0.25">
      <c r="A188" vm="346">
        <f ca="1"/>
        <v>45930</v>
      </c>
      <c r="B188" vm="1668">
        <f ca="1"/>
        <v>7.72</v>
      </c>
      <c r="C188" vm="527">
        <f ca="1"/>
        <v>8.17</v>
      </c>
      <c r="D188" vm="1669">
        <f ca="1"/>
        <v>7.57</v>
      </c>
    </row>
    <row r="189" spans="1:4" x14ac:dyDescent="0.25">
      <c r="A189" vm="352">
        <f ca="1"/>
        <v>45931</v>
      </c>
      <c r="B189" vm="1272">
        <f ca="1"/>
        <v>7.31</v>
      </c>
      <c r="C189" vm="531">
        <f ca="1"/>
        <v>7.95</v>
      </c>
      <c r="D189" vm="1428">
        <f ca="1"/>
        <v>7.18</v>
      </c>
    </row>
    <row r="190" spans="1:4" x14ac:dyDescent="0.25">
      <c r="A190" vm="357">
        <f ca="1"/>
        <v>45932</v>
      </c>
      <c r="B190" vm="236">
        <f ca="1"/>
        <v>9.2100000000000009</v>
      </c>
      <c r="C190" vm="129">
        <f ca="1"/>
        <v>9.34</v>
      </c>
      <c r="D190" vm="1425">
        <f ca="1"/>
        <v>7.66</v>
      </c>
    </row>
    <row r="191" spans="1:4" x14ac:dyDescent="0.25">
      <c r="A191" vm="362">
        <f ca="1"/>
        <v>45933</v>
      </c>
      <c r="B191" vm="218">
        <f ca="1"/>
        <v>9.91</v>
      </c>
      <c r="C191" vm="1427">
        <f ca="1"/>
        <v>10.28</v>
      </c>
      <c r="D191" vm="1430">
        <f ca="1"/>
        <v>9.1900999999999993</v>
      </c>
    </row>
    <row r="192" spans="1:4" x14ac:dyDescent="0.25">
      <c r="A192" vm="370">
        <f ca="1"/>
        <v>45936</v>
      </c>
      <c r="B192" vm="1670">
        <f ca="1"/>
        <v>10.66</v>
      </c>
      <c r="C192" vm="1671">
        <f ca="1"/>
        <v>11.63</v>
      </c>
      <c r="D192" vm="1672">
        <f ca="1"/>
        <v>10.27</v>
      </c>
    </row>
    <row r="193" spans="1:4" x14ac:dyDescent="0.25">
      <c r="A193" vm="378">
        <f ca="1"/>
        <v>45937</v>
      </c>
      <c r="B193" vm="1673">
        <f ca="1"/>
        <v>11.09</v>
      </c>
      <c r="C193" vm="1674">
        <f ca="1"/>
        <v>11.545</v>
      </c>
      <c r="D193" vm="322">
        <f ca="1"/>
        <v>10.45</v>
      </c>
    </row>
    <row r="194" spans="1:4" x14ac:dyDescent="0.25">
      <c r="A194" vm="383">
        <f ca="1"/>
        <v>45938</v>
      </c>
      <c r="B194" vm="344">
        <f ca="1"/>
        <v>11.26</v>
      </c>
      <c r="C194" vm="1429">
        <f ca="1"/>
        <v>11.6999</v>
      </c>
      <c r="D194" vm="1675">
        <f ca="1"/>
        <v>10.713200000000001</v>
      </c>
    </row>
    <row r="195" spans="1:4" x14ac:dyDescent="0.25">
      <c r="A195" vm="389">
        <f ca="1"/>
        <v>45939</v>
      </c>
      <c r="B195" vm="327">
        <f ca="1"/>
        <v>10.49</v>
      </c>
      <c r="C195" vm="1676">
        <f ca="1"/>
        <v>11.39</v>
      </c>
      <c r="D195" vm="1677">
        <f ca="1"/>
        <v>10.375</v>
      </c>
    </row>
    <row r="196" spans="1:4" x14ac:dyDescent="0.25">
      <c r="A196" vm="395">
        <f ca="1"/>
        <v>45940</v>
      </c>
      <c r="B196" vm="162">
        <f ca="1"/>
        <v>9.2200000000000006</v>
      </c>
      <c r="C196" vm="315">
        <f ca="1"/>
        <v>10.51</v>
      </c>
      <c r="D196" vm="1430">
        <f ca="1"/>
        <v>9.1900999999999993</v>
      </c>
    </row>
    <row r="197" spans="1:4" x14ac:dyDescent="0.25">
      <c r="A197" vm="402">
        <f ca="1"/>
        <v>45943</v>
      </c>
      <c r="B197" vm="1678">
        <f ca="1"/>
        <v>10.81</v>
      </c>
      <c r="C197" vm="1431">
        <f ca="1"/>
        <v>11.215</v>
      </c>
      <c r="D197" vm="1679">
        <f ca="1"/>
        <v>9.6831999999999994</v>
      </c>
    </row>
    <row r="198" spans="1:4" x14ac:dyDescent="0.25">
      <c r="A198" vm="407">
        <f ca="1"/>
        <v>45944</v>
      </c>
      <c r="B198" vm="1680">
        <f ca="1"/>
        <v>10.41</v>
      </c>
      <c r="C198" vm="1681">
        <f ca="1"/>
        <v>10.56</v>
      </c>
      <c r="D198" vm="633">
        <f ca="1"/>
        <v>9.8800000000000008</v>
      </c>
    </row>
    <row r="199" spans="1:4" x14ac:dyDescent="0.25">
      <c r="A199" vm="411">
        <f ca="1"/>
        <v>45945</v>
      </c>
      <c r="B199" vm="1338">
        <f ca="1"/>
        <v>9.51</v>
      </c>
      <c r="C199" vm="401">
        <f ca="1"/>
        <v>10.87</v>
      </c>
      <c r="D199" vm="364">
        <f ca="1"/>
        <v>9.16</v>
      </c>
    </row>
    <row r="200" spans="1:4" x14ac:dyDescent="0.25">
      <c r="A200" vm="416">
        <f ca="1"/>
        <v>45946</v>
      </c>
      <c r="B200" vm="438">
        <f ca="1"/>
        <v>8.1999999999999993</v>
      </c>
      <c r="C200" vm="576">
        <f ca="1"/>
        <v>9.6300000000000008</v>
      </c>
      <c r="D200" vm="1682">
        <f ca="1"/>
        <v>7.92</v>
      </c>
    </row>
    <row r="201" spans="1:4" x14ac:dyDescent="0.25">
      <c r="A201" vm="422">
        <f ca="1"/>
        <v>45947</v>
      </c>
      <c r="B201" vm="688">
        <f ca="1"/>
        <v>7.61</v>
      </c>
      <c r="C201" vm="493">
        <f ca="1"/>
        <v>8.16</v>
      </c>
      <c r="D201" vm="1432">
        <f ca="1"/>
        <v>7.5549999999999997</v>
      </c>
    </row>
    <row r="202" spans="1:4" x14ac:dyDescent="0.25">
      <c r="A202" vm="430">
        <f ca="1"/>
        <v>45950</v>
      </c>
      <c r="B202" vm="473">
        <f ca="1"/>
        <v>7.77</v>
      </c>
      <c r="C202" vm="485">
        <f ca="1"/>
        <v>8.19</v>
      </c>
      <c r="D202" vm="1271">
        <f ca="1"/>
        <v>7.33</v>
      </c>
    </row>
    <row r="203" spans="1:4" x14ac:dyDescent="0.25">
      <c r="A203" vm="436">
        <f ca="1"/>
        <v>45951</v>
      </c>
      <c r="B203" vm="1683">
        <f ca="1"/>
        <v>7.19</v>
      </c>
      <c r="C203" vm="705">
        <f ca="1"/>
        <v>7.91</v>
      </c>
      <c r="D203" vm="1684">
        <f ca="1"/>
        <v>7.1245000000000003</v>
      </c>
    </row>
    <row r="204" spans="1:4" x14ac:dyDescent="0.25">
      <c r="A204" vm="442">
        <f ca="1"/>
        <v>45952</v>
      </c>
      <c r="B204" vm="743">
        <f ca="1"/>
        <v>6.74</v>
      </c>
      <c r="C204" vm="1279">
        <f ca="1"/>
        <v>7.26</v>
      </c>
      <c r="D204" vm="1039">
        <f ca="1"/>
        <v>6.4649999999999999</v>
      </c>
    </row>
    <row r="205" spans="1:4" x14ac:dyDescent="0.25">
      <c r="A205" vm="448">
        <f ca="1"/>
        <v>45953</v>
      </c>
      <c r="B205" vm="1685">
        <f ca="1"/>
        <v>7.06</v>
      </c>
      <c r="C205" vm="1270">
        <f ca="1"/>
        <v>7.3</v>
      </c>
      <c r="D205" vm="1686">
        <f ca="1"/>
        <v>6.65</v>
      </c>
    </row>
    <row r="206" spans="1:4" x14ac:dyDescent="0.25">
      <c r="A206" vm="455">
        <f ca="1"/>
        <v>45954</v>
      </c>
      <c r="B206" vm="1433">
        <f ca="1"/>
        <v>7.46</v>
      </c>
      <c r="C206" vm="527">
        <f ca="1"/>
        <v>8.17</v>
      </c>
      <c r="D206" vm="1687">
        <f ca="1"/>
        <v>7.4050000000000002</v>
      </c>
    </row>
    <row r="207" spans="1:4" x14ac:dyDescent="0.25">
      <c r="A207" vm="462">
        <f ca="1"/>
        <v>45957</v>
      </c>
      <c r="B207" vm="1278">
        <f ca="1"/>
        <v>7.53</v>
      </c>
      <c r="C207" vm="1434">
        <f ca="1"/>
        <v>8.3149999999999995</v>
      </c>
      <c r="D207" vm="679">
        <f ca="1"/>
        <v>7.52</v>
      </c>
    </row>
    <row r="208" spans="1:4" x14ac:dyDescent="0.25">
      <c r="A208" vm="467">
        <f ca="1"/>
        <v>45958</v>
      </c>
      <c r="B208" vm="1667">
        <f ca="1"/>
        <v>6.79</v>
      </c>
      <c r="C208" vm="1280">
        <f ca="1"/>
        <v>7.64</v>
      </c>
      <c r="D208" vm="761">
        <f ca="1"/>
        <v>6.66</v>
      </c>
    </row>
    <row r="209" spans="1:4" x14ac:dyDescent="0.25">
      <c r="A209" vm="474">
        <f ca="1"/>
        <v>45959</v>
      </c>
      <c r="B209" vm="1264">
        <f ca="1"/>
        <v>6.75</v>
      </c>
      <c r="C209" vm="729">
        <f ca="1"/>
        <v>6.95</v>
      </c>
      <c r="D209" vm="759">
        <f ca="1"/>
        <v>6.52</v>
      </c>
    </row>
    <row r="210" spans="1:4" x14ac:dyDescent="0.25">
      <c r="A210" vm="481">
        <f ca="1"/>
        <v>45960</v>
      </c>
      <c r="B210" vm="1021">
        <f ca="1"/>
        <v>6.29</v>
      </c>
      <c r="C210" vm="1688">
        <f ca="1"/>
        <v>6.6150000000000002</v>
      </c>
      <c r="D210" vm="1689">
        <f ca="1"/>
        <v>6.2050000000000001</v>
      </c>
    </row>
    <row r="211" spans="1:4" x14ac:dyDescent="0.25">
      <c r="A211" vm="487">
        <f ca="1"/>
        <v>45961</v>
      </c>
      <c r="B211" vm="1026">
        <f ca="1"/>
        <v>6.44</v>
      </c>
      <c r="C211" vm="792">
        <f ca="1"/>
        <v>6.5</v>
      </c>
      <c r="D211" vm="838">
        <f ca="1"/>
        <v>6.12</v>
      </c>
    </row>
    <row r="212" spans="1:4" x14ac:dyDescent="0.25">
      <c r="A212" vm="490">
        <f ca="1"/>
        <v>45964</v>
      </c>
      <c r="B212" vm="1256">
        <f ca="1"/>
        <v>6.15</v>
      </c>
      <c r="C212" vm="1262">
        <f ca="1"/>
        <v>6.69</v>
      </c>
      <c r="D212" vm="849">
        <f ca="1"/>
        <v>5.78</v>
      </c>
    </row>
    <row r="213" spans="1:4" x14ac:dyDescent="0.25">
      <c r="A213" vm="494">
        <f ca="1"/>
        <v>45965</v>
      </c>
      <c r="B213" vm="842">
        <f ca="1"/>
        <v>5.96</v>
      </c>
      <c r="C213" vm="763">
        <f ca="1"/>
        <v>6.57</v>
      </c>
      <c r="D213" vm="1690">
        <f ca="1"/>
        <v>5.77</v>
      </c>
    </row>
    <row r="214" spans="1:4" x14ac:dyDescent="0.25">
      <c r="A214" vm="500">
        <f ca="1"/>
        <v>45966</v>
      </c>
      <c r="B214" vm="816">
        <f ca="1"/>
        <v>6</v>
      </c>
      <c r="C214" vm="1019">
        <f ca="1"/>
        <v>6.25</v>
      </c>
      <c r="D214" vm="825">
        <f ca="1"/>
        <v>5.83</v>
      </c>
    </row>
    <row r="215" spans="1:4" x14ac:dyDescent="0.25">
      <c r="A215" vm="506">
        <f ca="1"/>
        <v>45967</v>
      </c>
      <c r="B215" vm="1004">
        <f ca="1"/>
        <v>5.25</v>
      </c>
      <c r="C215" vm="847">
        <f ca="1"/>
        <v>5.93</v>
      </c>
      <c r="D215" vm="1691">
        <f ca="1"/>
        <v>5.2149999999999999</v>
      </c>
    </row>
    <row r="216" spans="1:4" x14ac:dyDescent="0.25">
      <c r="A216" vm="510">
        <f ca="1"/>
        <v>45968</v>
      </c>
      <c r="B216" vm="806">
        <f ca="1"/>
        <v>5.81</v>
      </c>
      <c r="C216" vm="1692">
        <f ca="1"/>
        <v>5.8949999999999996</v>
      </c>
      <c r="D216" vm="872">
        <f ca="1"/>
        <v>4.95</v>
      </c>
    </row>
    <row r="217" spans="1:4" x14ac:dyDescent="0.25">
      <c r="A217" vm="514">
        <f ca="1"/>
        <v>45971</v>
      </c>
      <c r="B217" vm="839">
        <f ca="1"/>
        <v>5.88</v>
      </c>
      <c r="C217" vm="794">
        <f ca="1"/>
        <v>6.39</v>
      </c>
      <c r="D217" vm="1690">
        <f ca="1"/>
        <v>5.77</v>
      </c>
    </row>
    <row r="218" spans="1:4" x14ac:dyDescent="0.25">
      <c r="A218" vm="518">
        <f ca="1"/>
        <v>45972</v>
      </c>
      <c r="B218" vm="810">
        <f ca="1"/>
        <v>5.8</v>
      </c>
      <c r="C218" vm="1693">
        <f ca="1"/>
        <v>6.0949999999999998</v>
      </c>
      <c r="D218" vm="822">
        <f ca="1"/>
        <v>5.6</v>
      </c>
    </row>
    <row r="219" spans="1:4" x14ac:dyDescent="0.25">
      <c r="A219" vm="521">
        <f ca="1"/>
        <v>45973</v>
      </c>
      <c r="B219" vm="803">
        <f ca="1"/>
        <v>5.51</v>
      </c>
      <c r="C219" vm="1694">
        <f ca="1"/>
        <v>6.165</v>
      </c>
      <c r="D219" vm="965">
        <f ca="1"/>
        <v>5.48</v>
      </c>
    </row>
    <row r="220" spans="1:4" x14ac:dyDescent="0.25">
      <c r="A220" vm="525">
        <f ca="1"/>
        <v>45974</v>
      </c>
      <c r="B220" vm="766">
        <f ca="1"/>
        <v>6.56</v>
      </c>
      <c r="C220" vm="1695">
        <f ca="1"/>
        <v>7.34</v>
      </c>
      <c r="D220" vm="793">
        <f ca="1"/>
        <v>6.31</v>
      </c>
    </row>
    <row r="221" spans="1:4" x14ac:dyDescent="0.25">
      <c r="A221" vm="528">
        <f ca="1"/>
        <v>45975</v>
      </c>
      <c r="B221" vm="1428">
        <f ca="1"/>
        <v>7.18</v>
      </c>
      <c r="C221" vm="675">
        <f ca="1"/>
        <v>7.86</v>
      </c>
      <c r="D221" vm="1664">
        <f ca="1"/>
        <v>6.1</v>
      </c>
    </row>
    <row r="222" spans="1:4" x14ac:dyDescent="0.25">
      <c r="A222" vm="533">
        <f ca="1"/>
        <v>45978</v>
      </c>
      <c r="B222" vm="1045">
        <f ca="1"/>
        <v>6.2549999999999999</v>
      </c>
      <c r="C222" vm="1696">
        <f ca="1"/>
        <v>7.5149999999999997</v>
      </c>
      <c r="D222" vm="1022">
        <f ca="1"/>
        <v>5.98</v>
      </c>
    </row>
    <row r="223" spans="1:4" x14ac:dyDescent="0.25">
      <c r="A223" vm="540">
        <f ca="1"/>
        <v>45979</v>
      </c>
      <c r="B223" vm="674">
        <f ca="1"/>
        <v>7.84</v>
      </c>
      <c r="C223" vm="1682">
        <f ca="1"/>
        <v>7.92</v>
      </c>
      <c r="D223" vm="1256">
        <f ca="1"/>
        <v>6.15</v>
      </c>
    </row>
    <row r="224" spans="1:4" x14ac:dyDescent="0.25">
      <c r="A224" vm="543">
        <f ca="1"/>
        <v>45980</v>
      </c>
      <c r="B224" vm="726">
        <f ca="1"/>
        <v>7.5</v>
      </c>
      <c r="C224" vm="465">
        <f ca="1"/>
        <v>8.0350000000000001</v>
      </c>
      <c r="D224" vm="1279">
        <f ca="1"/>
        <v>7.26</v>
      </c>
    </row>
    <row r="225" spans="1:4" x14ac:dyDescent="0.25">
      <c r="A225" vm="548">
        <f ca="1"/>
        <v>45981</v>
      </c>
      <c r="B225" vm="1697">
        <f ca="1"/>
        <v>6.27</v>
      </c>
      <c r="C225" vm="483">
        <f ca="1"/>
        <v>7.97</v>
      </c>
      <c r="D225" vm="1019">
        <f ca="1"/>
        <v>6.25</v>
      </c>
    </row>
    <row r="226" spans="1:4" x14ac:dyDescent="0.25">
      <c r="A226" vm="553">
        <f ca="1"/>
        <v>45982</v>
      </c>
      <c r="B226" vm="782">
        <f ca="1"/>
        <v>6.7350000000000003</v>
      </c>
      <c r="C226" vm="732">
        <f ca="1"/>
        <v>6.85</v>
      </c>
      <c r="D226" vm="847">
        <f ca="1"/>
        <v>5.93</v>
      </c>
    </row>
    <row r="227" spans="1:4" x14ac:dyDescent="0.25">
      <c r="A227" vm="559">
        <f ca="1"/>
        <v>45985</v>
      </c>
      <c r="B227" vm="504">
        <f ca="1"/>
        <v>8.7200000000000006</v>
      </c>
      <c r="C227" vm="265">
        <f ca="1"/>
        <v>8.8000000000000007</v>
      </c>
      <c r="D227" vm="1265">
        <f ca="1"/>
        <v>6.67</v>
      </c>
    </row>
    <row r="228" spans="1:4" x14ac:dyDescent="0.25">
      <c r="A228" vm="562">
        <f ca="1"/>
        <v>45986</v>
      </c>
      <c r="B228" vm="542">
        <f ca="1"/>
        <v>8.44</v>
      </c>
      <c r="C228" vm="86">
        <f ca="1"/>
        <v>8.8800000000000008</v>
      </c>
      <c r="D228" vm="706">
        <f ca="1"/>
        <v>8.07</v>
      </c>
    </row>
    <row r="229" spans="1:4" x14ac:dyDescent="0.25">
      <c r="A229" vm="566">
        <f ca="1"/>
        <v>45987</v>
      </c>
      <c r="B229" vm="259">
        <f ca="1"/>
        <v>8.24</v>
      </c>
      <c r="C229" vm="358">
        <f ca="1"/>
        <v>8.68</v>
      </c>
      <c r="D229" vm="1698">
        <f ca="1"/>
        <v>7.6849999999999996</v>
      </c>
    </row>
    <row r="230" spans="1:4" x14ac:dyDescent="0.25">
      <c r="A230" vm="572">
        <f ca="1"/>
        <v>45989</v>
      </c>
      <c r="B230" vm="693">
        <f ca="1"/>
        <v>7.9</v>
      </c>
      <c r="C230" vm="1699">
        <f ca="1"/>
        <v>8.4694000000000003</v>
      </c>
      <c r="D230" vm="689">
        <f ca="1"/>
        <v>7.8</v>
      </c>
    </row>
    <row r="231" spans="1:4" x14ac:dyDescent="0.25">
      <c r="A231" vm="574">
        <f ca="1"/>
        <v>45992</v>
      </c>
      <c r="B231" vm="672">
        <f ca="1"/>
        <v>7.58</v>
      </c>
      <c r="C231" vm="706">
        <f ca="1"/>
        <v>8.07</v>
      </c>
      <c r="D231" vm="1700">
        <f ca="1"/>
        <v>7.47</v>
      </c>
    </row>
    <row r="232" spans="1:4" x14ac:dyDescent="0.25">
      <c r="A232" vm="579">
        <f ca="1"/>
        <v>45993</v>
      </c>
      <c r="B232" vm="706">
        <f ca="1"/>
        <v>8.07</v>
      </c>
      <c r="C232" vm="603">
        <f ca="1"/>
        <v>8.5500000000000007</v>
      </c>
      <c r="D232" vm="1436">
        <f ca="1"/>
        <v>7.32</v>
      </c>
    </row>
    <row r="233" spans="1:4" x14ac:dyDescent="0.25">
      <c r="A233" vm="581">
        <f ca="1"/>
        <v>45994</v>
      </c>
      <c r="B233" vm="26">
        <f ca="1"/>
        <v>8.92</v>
      </c>
      <c r="C233" vm="1701">
        <f ca="1"/>
        <v>9.1050000000000004</v>
      </c>
      <c r="D233" vm="1433">
        <f ca="1"/>
        <v>7.46</v>
      </c>
    </row>
    <row r="234" spans="1:4" x14ac:dyDescent="0.25">
      <c r="A234" vm="585">
        <f ca="1"/>
        <v>45995</v>
      </c>
      <c r="B234" vm="384">
        <f ca="1"/>
        <v>9.19</v>
      </c>
      <c r="C234" vm="129">
        <f ca="1"/>
        <v>9.34</v>
      </c>
      <c r="D234" vm="496">
        <f ca="1"/>
        <v>8.52</v>
      </c>
    </row>
    <row r="235" spans="1:4" x14ac:dyDescent="0.25">
      <c r="A235" vm="590">
        <f ca="1"/>
        <v>45996</v>
      </c>
      <c r="B235" vm="1435">
        <f ca="1"/>
        <v>9.07</v>
      </c>
      <c r="C235" vm="50">
        <f ca="1"/>
        <v>9.3000000000000007</v>
      </c>
      <c r="D235" vm="589">
        <f ca="1"/>
        <v>8.58</v>
      </c>
    </row>
    <row r="236" spans="1:4" x14ac:dyDescent="0.25">
      <c r="A236" vm="595">
        <f ca="1"/>
        <v>45999</v>
      </c>
      <c r="B236" vm="194">
        <f ca="1"/>
        <v>9.02</v>
      </c>
      <c r="C236" vm="1298">
        <f ca="1"/>
        <v>9.75</v>
      </c>
      <c r="D236" vm="385">
        <f ca="1"/>
        <v>8.9700000000000006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35"/>
  <sheetViews>
    <sheetView workbookViewId="0">
      <selection activeCell="K8" sqref="K8"/>
    </sheetView>
  </sheetViews>
  <sheetFormatPr defaultRowHeight="15" x14ac:dyDescent="0.25"/>
  <cols>
    <col min="1" max="1" width="9.42578125" bestFit="1" customWidth="1"/>
  </cols>
  <sheetData>
    <row r="1" spans="1:4" x14ac:dyDescent="0.25">
      <c r="A1" t="str" cm="1">
        <f t="array" aca="1" ref="A1:B235" ca="1">_xlfn.STOCKHISTORY("VNET", DATE(YEAR(TODAY()),1,1), TODAY(), 0, 1)</f>
        <v>Date</v>
      </c>
      <c r="B1" t="str">
        <f ca="1"/>
        <v>Close</v>
      </c>
      <c r="C1" t="s">
        <v>30</v>
      </c>
      <c r="D1" t="s">
        <v>31</v>
      </c>
    </row>
    <row r="2" spans="1:4" x14ac:dyDescent="0.25">
      <c r="A2" vm="5">
        <f ca="1"/>
        <v>45659</v>
      </c>
      <c r="B2" vm="1016">
        <f ca="1"/>
        <v>5.0599999999999996</v>
      </c>
      <c r="C2" cm="1">
        <f t="array" aca="1" ref="C2:C234" ca="1">[1]!LOESS(A2:A234,B2:B234,,20)</f>
        <v>4.9952808622622227</v>
      </c>
      <c r="D2">
        <f ca="1">_xlfn.STDEV.S(B2:B21)</f>
        <v>0.85180304123232464</v>
      </c>
    </row>
    <row r="3" spans="1:4" x14ac:dyDescent="0.25">
      <c r="A3" vm="13">
        <f ca="1"/>
        <v>45660</v>
      </c>
      <c r="B3" vm="872">
        <f ca="1"/>
        <v>4.95</v>
      </c>
      <c r="C3">
        <f ca="1"/>
        <v>5.0478154720251682</v>
      </c>
      <c r="D3">
        <f t="shared" ref="D3:D66" ca="1" si="0">_xlfn.STDEV.S(B3:B22)</f>
        <v>0.85260344333046612</v>
      </c>
    </row>
    <row r="4" spans="1:4" x14ac:dyDescent="0.25">
      <c r="A4" vm="21">
        <f ca="1"/>
        <v>45663</v>
      </c>
      <c r="B4" vm="979">
        <f ca="1"/>
        <v>5.18</v>
      </c>
      <c r="C4">
        <f ca="1"/>
        <v>5.211402469413251</v>
      </c>
      <c r="D4">
        <f t="shared" ca="1" si="0"/>
        <v>0.8513634575445016</v>
      </c>
    </row>
    <row r="5" spans="1:4" x14ac:dyDescent="0.25">
      <c r="A5" vm="29">
        <f ca="1"/>
        <v>45664</v>
      </c>
      <c r="B5" vm="851">
        <f ca="1"/>
        <v>5.57</v>
      </c>
      <c r="C5">
        <f ca="1"/>
        <v>5.2685901327856097</v>
      </c>
      <c r="D5">
        <f t="shared" ca="1" si="0"/>
        <v>0.93837148967324158</v>
      </c>
    </row>
    <row r="6" spans="1:4" x14ac:dyDescent="0.25">
      <c r="A6" vm="35">
        <f ca="1"/>
        <v>45665</v>
      </c>
      <c r="B6" vm="841">
        <f ca="1"/>
        <v>5.76</v>
      </c>
      <c r="C6">
        <f ca="1"/>
        <v>5.3274746065508518</v>
      </c>
      <c r="D6">
        <f t="shared" ca="1" si="0"/>
        <v>1.0602625047352037</v>
      </c>
    </row>
    <row r="7" spans="1:4" x14ac:dyDescent="0.25">
      <c r="A7" vm="43">
        <f ca="1"/>
        <v>45667</v>
      </c>
      <c r="B7" vm="957">
        <f ca="1"/>
        <v>5.5</v>
      </c>
      <c r="C7">
        <f ca="1"/>
        <v>5.450731749506855</v>
      </c>
      <c r="D7">
        <f t="shared" ca="1" si="0"/>
        <v>1.1595891967689027</v>
      </c>
    </row>
    <row r="8" spans="1:4" x14ac:dyDescent="0.25">
      <c r="A8" vm="51">
        <f ca="1"/>
        <v>45670</v>
      </c>
      <c r="B8" vm="870">
        <f ca="1"/>
        <v>5.08</v>
      </c>
      <c r="C8">
        <f ca="1"/>
        <v>5.6469962490920791</v>
      </c>
      <c r="D8">
        <f t="shared" ca="1" si="0"/>
        <v>1.3625850045912085</v>
      </c>
    </row>
    <row r="9" spans="1:4" x14ac:dyDescent="0.25">
      <c r="A9" vm="58">
        <f ca="1"/>
        <v>45671</v>
      </c>
      <c r="B9" vm="853">
        <f ca="1"/>
        <v>5.4</v>
      </c>
      <c r="C9">
        <f ca="1"/>
        <v>5.7132145704444941</v>
      </c>
      <c r="D9">
        <f t="shared" ca="1" si="0"/>
        <v>1.4262164706146871</v>
      </c>
    </row>
    <row r="10" spans="1:4" x14ac:dyDescent="0.25">
      <c r="A10" vm="66">
        <f ca="1"/>
        <v>45672</v>
      </c>
      <c r="B10" vm="960">
        <f ca="1"/>
        <v>5.54</v>
      </c>
      <c r="C10">
        <f ca="1"/>
        <v>5.7779411439725736</v>
      </c>
      <c r="D10">
        <f t="shared" ca="1" si="0"/>
        <v>1.6115033843882329</v>
      </c>
    </row>
    <row r="11" spans="1:4" x14ac:dyDescent="0.25">
      <c r="A11" vm="74">
        <f ca="1"/>
        <v>45673</v>
      </c>
      <c r="B11" vm="991">
        <f ca="1"/>
        <v>5.64</v>
      </c>
      <c r="C11">
        <f ca="1"/>
        <v>5.8406683289744707</v>
      </c>
      <c r="D11">
        <f t="shared" ca="1" si="0"/>
        <v>1.7832178926400317</v>
      </c>
    </row>
    <row r="12" spans="1:4" x14ac:dyDescent="0.25">
      <c r="A12" vm="81">
        <f ca="1"/>
        <v>45674</v>
      </c>
      <c r="B12" vm="822">
        <f ca="1"/>
        <v>5.6</v>
      </c>
      <c r="C12">
        <f ca="1"/>
        <v>5.9253419601468087</v>
      </c>
      <c r="D12">
        <f t="shared" ca="1" si="0"/>
        <v>1.8739018538586025</v>
      </c>
    </row>
    <row r="13" spans="1:4" x14ac:dyDescent="0.25">
      <c r="A13" vm="88">
        <f ca="1"/>
        <v>45678</v>
      </c>
      <c r="B13" vm="1044">
        <f ca="1"/>
        <v>6.3</v>
      </c>
      <c r="C13">
        <f ca="1"/>
        <v>6.2980311577594144</v>
      </c>
      <c r="D13">
        <f t="shared" ca="1" si="0"/>
        <v>1.956452953151375</v>
      </c>
    </row>
    <row r="14" spans="1:4" x14ac:dyDescent="0.25">
      <c r="A14" vm="96">
        <f ca="1"/>
        <v>45679</v>
      </c>
      <c r="B14" vm="1035">
        <f ca="1"/>
        <v>6.36</v>
      </c>
      <c r="C14">
        <f ca="1"/>
        <v>6.4128369426531719</v>
      </c>
      <c r="D14">
        <f t="shared" ca="1" si="0"/>
        <v>2.1258986335194763</v>
      </c>
    </row>
    <row r="15" spans="1:4" x14ac:dyDescent="0.25">
      <c r="A15" vm="104">
        <f ca="1"/>
        <v>45680</v>
      </c>
      <c r="B15" vm="732">
        <f ca="1"/>
        <v>6.85</v>
      </c>
      <c r="C15">
        <f ca="1"/>
        <v>6.5271664985855509</v>
      </c>
      <c r="D15">
        <f t="shared" ca="1" si="0"/>
        <v>2.4058316758725198</v>
      </c>
    </row>
    <row r="16" spans="1:4" x14ac:dyDescent="0.25">
      <c r="A16" vm="111">
        <f ca="1"/>
        <v>45681</v>
      </c>
      <c r="B16" vm="735">
        <f ca="1"/>
        <v>6.99</v>
      </c>
      <c r="C16">
        <f ca="1"/>
        <v>6.6421254828600711</v>
      </c>
      <c r="D16">
        <f t="shared" ca="1" si="0"/>
        <v>2.6084483691913132</v>
      </c>
    </row>
    <row r="17" spans="1:4" x14ac:dyDescent="0.25">
      <c r="A17" vm="118">
        <f ca="1"/>
        <v>45684</v>
      </c>
      <c r="B17" vm="753">
        <f ca="1"/>
        <v>6.77</v>
      </c>
      <c r="C17">
        <f ca="1"/>
        <v>7.0083337498951082</v>
      </c>
      <c r="D17">
        <f t="shared" ca="1" si="0"/>
        <v>2.647984275573442</v>
      </c>
    </row>
    <row r="18" spans="1:4" x14ac:dyDescent="0.25">
      <c r="A18" vm="124">
        <f ca="1"/>
        <v>45685</v>
      </c>
      <c r="B18" vm="1428">
        <f ca="1"/>
        <v>7.18</v>
      </c>
      <c r="C18">
        <f ca="1"/>
        <v>7.1359038908817602</v>
      </c>
      <c r="D18">
        <f t="shared" ca="1" si="0"/>
        <v>2.6492305114186627</v>
      </c>
    </row>
    <row r="19" spans="1:4" x14ac:dyDescent="0.25">
      <c r="A19" vm="131">
        <f ca="1"/>
        <v>45686</v>
      </c>
      <c r="B19" vm="1702">
        <f ca="1"/>
        <v>7.42</v>
      </c>
      <c r="C19">
        <f ca="1"/>
        <v>7.2700720478467353</v>
      </c>
      <c r="D19">
        <f t="shared" ca="1" si="0"/>
        <v>2.5997638936317955</v>
      </c>
    </row>
    <row r="20" spans="1:4" x14ac:dyDescent="0.25">
      <c r="A20" vm="138">
        <f ca="1"/>
        <v>45687</v>
      </c>
      <c r="B20" vm="718">
        <f ca="1"/>
        <v>7.48</v>
      </c>
      <c r="C20">
        <f ca="1"/>
        <v>7.4168496536019859</v>
      </c>
      <c r="D20">
        <f t="shared" ca="1" si="0"/>
        <v>2.5022644875771016</v>
      </c>
    </row>
    <row r="21" spans="1:4" x14ac:dyDescent="0.25">
      <c r="A21" vm="143">
        <f ca="1"/>
        <v>45688</v>
      </c>
      <c r="B21" vm="1703">
        <f ca="1"/>
        <v>6.97</v>
      </c>
      <c r="C21">
        <f ca="1"/>
        <v>7.5825246232287284</v>
      </c>
      <c r="D21">
        <f t="shared" ca="1" si="0"/>
        <v>2.3803109455212894</v>
      </c>
    </row>
    <row r="22" spans="1:4" x14ac:dyDescent="0.25">
      <c r="A22" vm="150">
        <f ca="1"/>
        <v>45691</v>
      </c>
      <c r="B22" vm="1704">
        <f ca="1"/>
        <v>7.22</v>
      </c>
      <c r="C22">
        <f ca="1"/>
        <v>8.2493181770441986</v>
      </c>
      <c r="D22">
        <f t="shared" ca="1" si="0"/>
        <v>2.1979986560744864</v>
      </c>
    </row>
    <row r="23" spans="1:4" x14ac:dyDescent="0.25">
      <c r="A23" vm="158">
        <f ca="1"/>
        <v>45692</v>
      </c>
      <c r="B23" vm="1705">
        <f ca="1"/>
        <v>7.54</v>
      </c>
      <c r="C23">
        <f ca="1"/>
        <v>8.435445960639484</v>
      </c>
      <c r="D23">
        <f t="shared" ca="1" si="0"/>
        <v>1.9952713012995169</v>
      </c>
    </row>
    <row r="24" spans="1:4" x14ac:dyDescent="0.25">
      <c r="A24" vm="165">
        <f ca="1"/>
        <v>45693</v>
      </c>
      <c r="B24" vm="287">
        <f ca="1"/>
        <v>8.51</v>
      </c>
      <c r="C24">
        <f ca="1"/>
        <v>8.6892955087027275</v>
      </c>
      <c r="D24">
        <f t="shared" ca="1" si="0"/>
        <v>1.7918510533435641</v>
      </c>
    </row>
    <row r="25" spans="1:4" x14ac:dyDescent="0.25">
      <c r="A25" vm="170">
        <f ca="1"/>
        <v>45694</v>
      </c>
      <c r="B25" vm="390">
        <f ca="1"/>
        <v>8.94</v>
      </c>
      <c r="C25">
        <f ca="1"/>
        <v>8.9579329887540915</v>
      </c>
      <c r="D25">
        <f t="shared" ca="1" si="0"/>
        <v>1.6375883061766028</v>
      </c>
    </row>
    <row r="26" spans="1:4" x14ac:dyDescent="0.25">
      <c r="A26" vm="177">
        <f ca="1"/>
        <v>45695</v>
      </c>
      <c r="B26" vm="565">
        <f ca="1"/>
        <v>9</v>
      </c>
      <c r="C26">
        <f ca="1"/>
        <v>9.2379505385985237</v>
      </c>
      <c r="D26">
        <f t="shared" ca="1" si="0"/>
        <v>1.4975115103678551</v>
      </c>
    </row>
    <row r="27" spans="1:4" x14ac:dyDescent="0.25">
      <c r="A27" vm="183">
        <f ca="1"/>
        <v>45698</v>
      </c>
      <c r="B27" vm="1706">
        <f ca="1"/>
        <v>10.37</v>
      </c>
      <c r="C27">
        <f ca="1"/>
        <v>10.171177018683203</v>
      </c>
      <c r="D27">
        <f t="shared" ca="1" si="0"/>
        <v>1.3385006094802274</v>
      </c>
    </row>
    <row r="28" spans="1:4" x14ac:dyDescent="0.25">
      <c r="A28" vm="190">
        <f ca="1"/>
        <v>45699</v>
      </c>
      <c r="B28" vm="336">
        <f ca="1"/>
        <v>9.9700000000000006</v>
      </c>
      <c r="C28">
        <f ca="1"/>
        <v>10.519312492817672</v>
      </c>
      <c r="D28">
        <f t="shared" ca="1" si="0"/>
        <v>1.2804884707346031</v>
      </c>
    </row>
    <row r="29" spans="1:4" x14ac:dyDescent="0.25">
      <c r="A29" vm="195">
        <f ca="1"/>
        <v>45700</v>
      </c>
      <c r="B29" vm="1707">
        <f ca="1"/>
        <v>11.31</v>
      </c>
      <c r="C29">
        <f ca="1"/>
        <v>10.872729589343299</v>
      </c>
      <c r="D29">
        <f t="shared" ca="1" si="0"/>
        <v>1.2083258045742462</v>
      </c>
    </row>
    <row r="30" spans="1:4" x14ac:dyDescent="0.25">
      <c r="A30" vm="202">
        <f ca="1"/>
        <v>45701</v>
      </c>
      <c r="B30" vm="1708">
        <f ca="1"/>
        <v>11.75</v>
      </c>
      <c r="C30">
        <f ca="1"/>
        <v>11.214159842822156</v>
      </c>
      <c r="D30">
        <f t="shared" ca="1" si="0"/>
        <v>1.2584004832785998</v>
      </c>
    </row>
    <row r="31" spans="1:4" x14ac:dyDescent="0.25">
      <c r="A31" vm="208">
        <f ca="1"/>
        <v>45702</v>
      </c>
      <c r="B31" vm="1709">
        <f ca="1"/>
        <v>11.54</v>
      </c>
      <c r="C31">
        <f ca="1"/>
        <v>11.526873023455206</v>
      </c>
      <c r="D31">
        <f t="shared" ca="1" si="0"/>
        <v>1.2601527424128098</v>
      </c>
    </row>
    <row r="32" spans="1:4" x14ac:dyDescent="0.25">
      <c r="A32" vm="212">
        <f ca="1"/>
        <v>45706</v>
      </c>
      <c r="B32" vm="1710">
        <f ca="1"/>
        <v>12.06</v>
      </c>
      <c r="C32">
        <f ca="1"/>
        <v>12.407671758149533</v>
      </c>
      <c r="D32">
        <f t="shared" ca="1" si="0"/>
        <v>1.2645072630953966</v>
      </c>
    </row>
    <row r="33" spans="1:4" x14ac:dyDescent="0.25">
      <c r="A33" vm="219">
        <f ca="1"/>
        <v>45707</v>
      </c>
      <c r="B33" vm="1711">
        <f ca="1"/>
        <v>13.04</v>
      </c>
      <c r="C33">
        <f ca="1"/>
        <v>12.541614111155567</v>
      </c>
      <c r="D33">
        <f t="shared" ca="1" si="0"/>
        <v>1.2912962428668719</v>
      </c>
    </row>
    <row r="34" spans="1:4" x14ac:dyDescent="0.25">
      <c r="A34" vm="225">
        <f ca="1"/>
        <v>45708</v>
      </c>
      <c r="B34" vm="1712">
        <f ca="1"/>
        <v>14.68</v>
      </c>
      <c r="C34">
        <f ca="1"/>
        <v>12.632651681942294</v>
      </c>
      <c r="D34">
        <f t="shared" ca="1" si="0"/>
        <v>1.3582131014488568</v>
      </c>
    </row>
    <row r="35" spans="1:4" x14ac:dyDescent="0.25">
      <c r="A35" vm="231">
        <f ca="1"/>
        <v>45709</v>
      </c>
      <c r="B35" vm="1713">
        <f ca="1"/>
        <v>14.59</v>
      </c>
      <c r="C35">
        <f ca="1"/>
        <v>12.689352139635922</v>
      </c>
      <c r="D35">
        <f t="shared" ca="1" si="0"/>
        <v>1.3531857878043685</v>
      </c>
    </row>
    <row r="36" spans="1:4" x14ac:dyDescent="0.25">
      <c r="A36" vm="238">
        <f ca="1"/>
        <v>45712</v>
      </c>
      <c r="B36" vm="1714">
        <f ca="1"/>
        <v>13.285</v>
      </c>
      <c r="C36">
        <f ca="1"/>
        <v>12.726125992392557</v>
      </c>
      <c r="D36">
        <f t="shared" ca="1" si="0"/>
        <v>1.3078882889282974</v>
      </c>
    </row>
    <row r="37" spans="1:4" x14ac:dyDescent="0.25">
      <c r="A37" vm="246">
        <f ca="1"/>
        <v>45713</v>
      </c>
      <c r="B37" vm="1715">
        <f ca="1"/>
        <v>13.55</v>
      </c>
      <c r="C37">
        <f ca="1"/>
        <v>12.664868803095619</v>
      </c>
      <c r="D37">
        <f t="shared" ca="1" si="0"/>
        <v>1.3187964010295135</v>
      </c>
    </row>
    <row r="38" spans="1:4" x14ac:dyDescent="0.25">
      <c r="A38" vm="253">
        <f ca="1"/>
        <v>45714</v>
      </c>
      <c r="B38" vm="1716">
        <f ca="1"/>
        <v>12.88</v>
      </c>
      <c r="C38">
        <f ca="1"/>
        <v>12.564888601261021</v>
      </c>
      <c r="D38">
        <f t="shared" ca="1" si="0"/>
        <v>1.3089972055778241</v>
      </c>
    </row>
    <row r="39" spans="1:4" x14ac:dyDescent="0.25">
      <c r="A39" vm="260">
        <f ca="1"/>
        <v>45715</v>
      </c>
      <c r="B39" vm="1717">
        <f ca="1"/>
        <v>11.91</v>
      </c>
      <c r="C39">
        <f ca="1"/>
        <v>12.442605408374781</v>
      </c>
      <c r="D39">
        <f t="shared" ca="1" si="0"/>
        <v>1.2848505954513081</v>
      </c>
    </row>
    <row r="40" spans="1:4" x14ac:dyDescent="0.25">
      <c r="A40" vm="267">
        <f ca="1"/>
        <v>45716</v>
      </c>
      <c r="B40" vm="1718">
        <f ca="1"/>
        <v>11.73</v>
      </c>
      <c r="C40">
        <f ca="1"/>
        <v>12.314121953005095</v>
      </c>
      <c r="D40">
        <f t="shared" ca="1" si="0"/>
        <v>1.2976756548780541</v>
      </c>
    </row>
    <row r="41" spans="1:4" x14ac:dyDescent="0.25">
      <c r="A41" vm="275">
        <f ca="1"/>
        <v>45719</v>
      </c>
      <c r="B41" vm="1719">
        <f ca="1"/>
        <v>9.9600000000000009</v>
      </c>
      <c r="C41">
        <f ca="1"/>
        <v>11.925581630261807</v>
      </c>
      <c r="D41">
        <f t="shared" ca="1" si="0"/>
        <v>1.3555251458577275</v>
      </c>
    </row>
    <row r="42" spans="1:4" x14ac:dyDescent="0.25">
      <c r="A42" vm="281">
        <f ca="1"/>
        <v>45720</v>
      </c>
      <c r="B42" vm="1720">
        <f ca="1"/>
        <v>10.71</v>
      </c>
      <c r="C42">
        <f ca="1"/>
        <v>11.75129450622325</v>
      </c>
      <c r="D42">
        <f t="shared" ca="1" si="0"/>
        <v>1.4350587737826512</v>
      </c>
    </row>
    <row r="43" spans="1:4" x14ac:dyDescent="0.25">
      <c r="A43" vm="288">
        <f ca="1"/>
        <v>45721</v>
      </c>
      <c r="B43" vm="1721">
        <f ca="1"/>
        <v>12.47</v>
      </c>
      <c r="C43">
        <f ca="1"/>
        <v>11.638040415739892</v>
      </c>
      <c r="D43">
        <f t="shared" ca="1" si="0"/>
        <v>1.5225113429704524</v>
      </c>
    </row>
    <row r="44" spans="1:4" x14ac:dyDescent="0.25">
      <c r="A44" vm="295">
        <f ca="1"/>
        <v>45722</v>
      </c>
      <c r="B44" vm="1722">
        <f ca="1"/>
        <v>12.07</v>
      </c>
      <c r="C44">
        <f ca="1"/>
        <v>11.542292216109425</v>
      </c>
      <c r="D44">
        <f t="shared" ca="1" si="0"/>
        <v>1.4749647631830416</v>
      </c>
    </row>
    <row r="45" spans="1:4" x14ac:dyDescent="0.25">
      <c r="A45" vm="300">
        <f ca="1"/>
        <v>45723</v>
      </c>
      <c r="B45" vm="278">
        <f ca="1"/>
        <v>11.47</v>
      </c>
      <c r="C45">
        <f ca="1"/>
        <v>11.461052419204798</v>
      </c>
      <c r="D45">
        <f t="shared" ca="1" si="0"/>
        <v>1.4844903431640657</v>
      </c>
    </row>
    <row r="46" spans="1:4" x14ac:dyDescent="0.25">
      <c r="A46" vm="306">
        <f ca="1"/>
        <v>45726</v>
      </c>
      <c r="B46" vm="1723">
        <f ca="1"/>
        <v>11.43</v>
      </c>
      <c r="C46">
        <f ca="1"/>
        <v>11.258792192387903</v>
      </c>
      <c r="D46">
        <f t="shared" ca="1" si="0"/>
        <v>1.5856839799312363</v>
      </c>
    </row>
    <row r="47" spans="1:4" x14ac:dyDescent="0.25">
      <c r="A47" vm="314">
        <f ca="1"/>
        <v>45727</v>
      </c>
      <c r="B47" vm="1717">
        <f ca="1"/>
        <v>11.91</v>
      </c>
      <c r="C47">
        <f ca="1"/>
        <v>11.179761616916046</v>
      </c>
      <c r="D47">
        <f t="shared" ca="1" si="0"/>
        <v>1.6385085483933037</v>
      </c>
    </row>
    <row r="48" spans="1:4" x14ac:dyDescent="0.25">
      <c r="A48" vm="319">
        <f ca="1"/>
        <v>45728</v>
      </c>
      <c r="B48" vm="394">
        <f ca="1"/>
        <v>11</v>
      </c>
      <c r="C48">
        <f ca="1"/>
        <v>11.085005823204998</v>
      </c>
      <c r="D48">
        <f t="shared" ca="1" si="0"/>
        <v>1.6660854688381663</v>
      </c>
    </row>
    <row r="49" spans="1:4" x14ac:dyDescent="0.25">
      <c r="A49" vm="326">
        <f ca="1"/>
        <v>45729</v>
      </c>
      <c r="B49" vm="1307">
        <f ca="1"/>
        <v>10.4</v>
      </c>
      <c r="C49">
        <f ca="1"/>
        <v>10.970325251165129</v>
      </c>
      <c r="D49">
        <f t="shared" ca="1" si="0"/>
        <v>1.7058872517811534</v>
      </c>
    </row>
    <row r="50" spans="1:4" x14ac:dyDescent="0.25">
      <c r="A50" vm="330">
        <f ca="1"/>
        <v>45730</v>
      </c>
      <c r="B50" vm="354">
        <f ca="1"/>
        <v>11.65</v>
      </c>
      <c r="C50">
        <f ca="1"/>
        <v>10.834802700570631</v>
      </c>
      <c r="D50">
        <f t="shared" ca="1" si="0"/>
        <v>1.7660106693365472</v>
      </c>
    </row>
    <row r="51" spans="1:4" x14ac:dyDescent="0.25">
      <c r="A51" vm="337">
        <f ca="1"/>
        <v>45733</v>
      </c>
      <c r="B51" vm="377">
        <f ca="1"/>
        <v>11.38</v>
      </c>
      <c r="C51">
        <f ca="1"/>
        <v>10.331822174090632</v>
      </c>
      <c r="D51">
        <f t="shared" ca="1" si="0"/>
        <v>1.689370717472227</v>
      </c>
    </row>
    <row r="52" spans="1:4" x14ac:dyDescent="0.25">
      <c r="A52" vm="342">
        <f ca="1"/>
        <v>45734</v>
      </c>
      <c r="B52" vm="1724">
        <f ca="1"/>
        <v>10.94</v>
      </c>
      <c r="C52">
        <f ca="1"/>
        <v>10.153390940001611</v>
      </c>
      <c r="D52">
        <f t="shared" ca="1" si="0"/>
        <v>1.5841493649673053</v>
      </c>
    </row>
    <row r="53" spans="1:4" x14ac:dyDescent="0.25">
      <c r="A53" vm="348">
        <f ca="1"/>
        <v>45735</v>
      </c>
      <c r="B53" vm="1725">
        <f ca="1"/>
        <v>9.85</v>
      </c>
      <c r="C53">
        <f ca="1"/>
        <v>9.9733715378871857</v>
      </c>
      <c r="D53">
        <f t="shared" ca="1" si="0"/>
        <v>1.4758508696591615</v>
      </c>
    </row>
    <row r="54" spans="1:4" x14ac:dyDescent="0.25">
      <c r="A54" vm="353">
        <f ca="1"/>
        <v>45736</v>
      </c>
      <c r="B54" vm="34">
        <f ca="1"/>
        <v>8.86</v>
      </c>
      <c r="C54">
        <f ca="1"/>
        <v>9.7924272078991041</v>
      </c>
      <c r="D54">
        <f t="shared" ca="1" si="0"/>
        <v>1.4824420641914486</v>
      </c>
    </row>
    <row r="55" spans="1:4" x14ac:dyDescent="0.25">
      <c r="A55" vm="360">
        <f ca="1"/>
        <v>45737</v>
      </c>
      <c r="B55" vm="413">
        <f ca="1"/>
        <v>8.7100000000000009</v>
      </c>
      <c r="C55">
        <f ca="1"/>
        <v>9.6125204273631937</v>
      </c>
      <c r="D55">
        <f t="shared" ca="1" si="0"/>
        <v>1.5051045601027491</v>
      </c>
    </row>
    <row r="56" spans="1:4" x14ac:dyDescent="0.25">
      <c r="A56" vm="366">
        <f ca="1"/>
        <v>45740</v>
      </c>
      <c r="B56" vm="123">
        <f ca="1"/>
        <v>8.99</v>
      </c>
      <c r="C56">
        <f ca="1"/>
        <v>9.0749103757736584</v>
      </c>
      <c r="D56">
        <f t="shared" ca="1" si="0"/>
        <v>1.526655787902705</v>
      </c>
    </row>
    <row r="57" spans="1:4" x14ac:dyDescent="0.25">
      <c r="A57" vm="374">
        <f ca="1"/>
        <v>45741</v>
      </c>
      <c r="B57" vm="20">
        <f ca="1"/>
        <v>8.48</v>
      </c>
      <c r="C57">
        <f ca="1"/>
        <v>8.890848465714253</v>
      </c>
      <c r="D57">
        <f t="shared" ca="1" si="0"/>
        <v>1.4955161052468235</v>
      </c>
    </row>
    <row r="58" spans="1:4" x14ac:dyDescent="0.25">
      <c r="A58" vm="381">
        <f ca="1"/>
        <v>45742</v>
      </c>
      <c r="B58" vm="511">
        <f ca="1"/>
        <v>8.9</v>
      </c>
      <c r="C58">
        <f ca="1"/>
        <v>8.7081981353964473</v>
      </c>
      <c r="D58">
        <f t="shared" ca="1" si="0"/>
        <v>1.4551450461253559</v>
      </c>
    </row>
    <row r="59" spans="1:4" x14ac:dyDescent="0.25">
      <c r="A59" vm="386">
        <f ca="1"/>
        <v>45743</v>
      </c>
      <c r="B59" vm="95">
        <f ca="1"/>
        <v>9.01</v>
      </c>
      <c r="C59">
        <f ca="1"/>
        <v>8.5301425675571032</v>
      </c>
      <c r="D59">
        <f t="shared" ca="1" si="0"/>
        <v>1.3511759985092131</v>
      </c>
    </row>
    <row r="60" spans="1:4" x14ac:dyDescent="0.25">
      <c r="A60" vm="391">
        <f ca="1"/>
        <v>45744</v>
      </c>
      <c r="B60" vm="423">
        <f ca="1"/>
        <v>8.25</v>
      </c>
      <c r="C60">
        <f ca="1"/>
        <v>8.3541026239534943</v>
      </c>
      <c r="D60">
        <f t="shared" ca="1" si="0"/>
        <v>1.2000153507790035</v>
      </c>
    </row>
    <row r="61" spans="1:4" x14ac:dyDescent="0.25">
      <c r="A61" vm="398">
        <f ca="1"/>
        <v>45747</v>
      </c>
      <c r="B61" vm="438">
        <f ca="1"/>
        <v>8.1999999999999993</v>
      </c>
      <c r="C61">
        <f ca="1"/>
        <v>7.826783998122659</v>
      </c>
      <c r="D61">
        <f t="shared" ca="1" si="0"/>
        <v>1.0942648337197858</v>
      </c>
    </row>
    <row r="62" spans="1:4" x14ac:dyDescent="0.25">
      <c r="A62" vm="404">
        <f ca="1"/>
        <v>45748</v>
      </c>
      <c r="B62" vm="427">
        <f ca="1"/>
        <v>7.88</v>
      </c>
      <c r="C62">
        <f ca="1"/>
        <v>7.6383419710980895</v>
      </c>
      <c r="D62">
        <f t="shared" ca="1" si="0"/>
        <v>0.95896805830127363</v>
      </c>
    </row>
    <row r="63" spans="1:4" x14ac:dyDescent="0.25">
      <c r="A63" vm="410">
        <f ca="1"/>
        <v>45749</v>
      </c>
      <c r="B63" vm="698">
        <f ca="1"/>
        <v>8.1199999999999992</v>
      </c>
      <c r="C63">
        <f ca="1"/>
        <v>7.4401548342578483</v>
      </c>
      <c r="D63">
        <f t="shared" ca="1" si="0"/>
        <v>0.83815335865913376</v>
      </c>
    </row>
    <row r="64" spans="1:4" x14ac:dyDescent="0.25">
      <c r="A64" vm="415">
        <f ca="1"/>
        <v>45750</v>
      </c>
      <c r="B64" vm="1271">
        <f ca="1"/>
        <v>7.33</v>
      </c>
      <c r="C64">
        <f ca="1"/>
        <v>7.2387162175331277</v>
      </c>
      <c r="D64">
        <f t="shared" ca="1" si="0"/>
        <v>0.64164652508830822</v>
      </c>
    </row>
    <row r="65" spans="1:4" x14ac:dyDescent="0.25">
      <c r="A65" vm="418">
        <f ca="1"/>
        <v>45751</v>
      </c>
      <c r="B65" vm="794">
        <f ca="1"/>
        <v>6.39</v>
      </c>
      <c r="C65">
        <f ca="1"/>
        <v>7.0425671810888151</v>
      </c>
      <c r="D65">
        <f t="shared" ca="1" si="0"/>
        <v>0.60890842799571843</v>
      </c>
    </row>
    <row r="66" spans="1:4" x14ac:dyDescent="0.25">
      <c r="A66" vm="426">
        <f ca="1"/>
        <v>45754</v>
      </c>
      <c r="B66" vm="1026">
        <f ca="1"/>
        <v>6.44</v>
      </c>
      <c r="C66">
        <f ca="1"/>
        <v>6.4750110454473777</v>
      </c>
      <c r="D66">
        <f t="shared" ca="1" si="0"/>
        <v>0.65714113680717479</v>
      </c>
    </row>
    <row r="67" spans="1:4" x14ac:dyDescent="0.25">
      <c r="A67" vm="432">
        <f ca="1"/>
        <v>45755</v>
      </c>
      <c r="B67" vm="1690">
        <f ca="1"/>
        <v>5.77</v>
      </c>
      <c r="C67">
        <f ca="1"/>
        <v>6.285341893854083</v>
      </c>
      <c r="D67">
        <f t="shared" ref="D67:D130" ca="1" si="1">_xlfn.STDEV.S(B67:B86)</f>
        <v>0.68628596157333754</v>
      </c>
    </row>
    <row r="68" spans="1:4" x14ac:dyDescent="0.25">
      <c r="A68" vm="439">
        <f ca="1"/>
        <v>45756</v>
      </c>
      <c r="B68" vm="813">
        <f ca="1"/>
        <v>5.9</v>
      </c>
      <c r="C68">
        <f ca="1"/>
        <v>6.1020623462645052</v>
      </c>
      <c r="D68">
        <f t="shared" ca="1" si="1"/>
        <v>0.69960044988098824</v>
      </c>
    </row>
    <row r="69" spans="1:4" x14ac:dyDescent="0.25">
      <c r="A69" vm="444">
        <f ca="1"/>
        <v>45757</v>
      </c>
      <c r="B69" vm="827">
        <f ca="1"/>
        <v>5.67</v>
      </c>
      <c r="C69">
        <f ca="1"/>
        <v>5.9319216145405544</v>
      </c>
      <c r="D69">
        <f t="shared" ca="1" si="1"/>
        <v>0.70132862632668047</v>
      </c>
    </row>
    <row r="70" spans="1:4" x14ac:dyDescent="0.25">
      <c r="A70" vm="451">
        <f ca="1"/>
        <v>45758</v>
      </c>
      <c r="B70" vm="960">
        <f ca="1"/>
        <v>5.54</v>
      </c>
      <c r="C70">
        <f ca="1"/>
        <v>5.7809745965915109</v>
      </c>
      <c r="D70">
        <f t="shared" ca="1" si="1"/>
        <v>0.70318149188266665</v>
      </c>
    </row>
    <row r="71" spans="1:4" x14ac:dyDescent="0.25">
      <c r="A71" vm="458">
        <f ca="1"/>
        <v>45761</v>
      </c>
      <c r="B71" vm="957">
        <f ca="1"/>
        <v>5.5</v>
      </c>
      <c r="C71">
        <f ca="1"/>
        <v>5.4573158257815875</v>
      </c>
      <c r="D71">
        <f t="shared" ca="1" si="1"/>
        <v>0.77603089330800701</v>
      </c>
    </row>
    <row r="72" spans="1:4" x14ac:dyDescent="0.25">
      <c r="A72" vm="463">
        <f ca="1"/>
        <v>45762</v>
      </c>
      <c r="B72" vm="805">
        <f ca="1"/>
        <v>5.39</v>
      </c>
      <c r="C72">
        <f ca="1"/>
        <v>5.3866809055578049</v>
      </c>
      <c r="D72">
        <f t="shared" ca="1" si="1"/>
        <v>0.78211858032155868</v>
      </c>
    </row>
    <row r="73" spans="1:4" x14ac:dyDescent="0.25">
      <c r="A73" vm="470">
        <f ca="1"/>
        <v>45763</v>
      </c>
      <c r="B73" vm="1726">
        <f ca="1"/>
        <v>4.74</v>
      </c>
      <c r="C73">
        <f ca="1"/>
        <v>5.3330247905459709</v>
      </c>
      <c r="D73">
        <f t="shared" ca="1" si="1"/>
        <v>0.77775385092687888</v>
      </c>
    </row>
    <row r="74" spans="1:4" x14ac:dyDescent="0.25">
      <c r="A74" vm="478">
        <f ca="1"/>
        <v>45764</v>
      </c>
      <c r="B74" vm="861">
        <f ca="1"/>
        <v>5.0199999999999996</v>
      </c>
      <c r="C74">
        <f ca="1"/>
        <v>5.2942585858089597</v>
      </c>
      <c r="D74">
        <f t="shared" ca="1" si="1"/>
        <v>0.72755882381102488</v>
      </c>
    </row>
    <row r="75" spans="1:4" x14ac:dyDescent="0.25">
      <c r="A75" vm="484">
        <f ca="1"/>
        <v>45768</v>
      </c>
      <c r="B75" vm="1233">
        <f ca="1"/>
        <v>4.8</v>
      </c>
      <c r="C75">
        <f ca="1"/>
        <v>5.2885915105685424</v>
      </c>
      <c r="D75">
        <f t="shared" ca="1" si="1"/>
        <v>0.69833561528748533</v>
      </c>
    </row>
    <row r="76" spans="1:4" x14ac:dyDescent="0.25">
      <c r="A76" vm="488">
        <f ca="1"/>
        <v>45769</v>
      </c>
      <c r="B76" vm="864">
        <f ca="1"/>
        <v>4.87</v>
      </c>
      <c r="C76">
        <f ca="1"/>
        <v>5.3262817512974294</v>
      </c>
      <c r="D76">
        <f t="shared" ca="1" si="1"/>
        <v>0.63578712094371403</v>
      </c>
    </row>
    <row r="77" spans="1:4" x14ac:dyDescent="0.25">
      <c r="A77" vm="491">
        <f ca="1"/>
        <v>45770</v>
      </c>
      <c r="B77" vm="956">
        <f ca="1"/>
        <v>5.29</v>
      </c>
      <c r="C77">
        <f ca="1"/>
        <v>5.3818231707290138</v>
      </c>
      <c r="D77">
        <f t="shared" ca="1" si="1"/>
        <v>0.56416939412126743</v>
      </c>
    </row>
    <row r="78" spans="1:4" x14ac:dyDescent="0.25">
      <c r="A78" vm="497">
        <f ca="1"/>
        <v>45771</v>
      </c>
      <c r="B78" vm="852">
        <f ca="1"/>
        <v>5.42</v>
      </c>
      <c r="C78">
        <f ca="1"/>
        <v>5.4539921814718877</v>
      </c>
      <c r="D78">
        <f t="shared" ca="1" si="1"/>
        <v>0.52646887247415741</v>
      </c>
    </row>
    <row r="79" spans="1:4" x14ac:dyDescent="0.25">
      <c r="A79" vm="503">
        <f ca="1"/>
        <v>45772</v>
      </c>
      <c r="B79" vm="972">
        <f ca="1"/>
        <v>5.38</v>
      </c>
      <c r="C79">
        <f ca="1"/>
        <v>5.5368733154933212</v>
      </c>
      <c r="D79">
        <f t="shared" ca="1" si="1"/>
        <v>0.49237849155641272</v>
      </c>
    </row>
    <row r="80" spans="1:4" x14ac:dyDescent="0.25">
      <c r="A80" vm="508">
        <f ca="1"/>
        <v>45775</v>
      </c>
      <c r="B80" vm="952">
        <f ca="1"/>
        <v>5.44</v>
      </c>
      <c r="C80">
        <f ca="1"/>
        <v>5.8039194308922237</v>
      </c>
      <c r="D80">
        <f t="shared" ca="1" si="1"/>
        <v>0.45141145602607269</v>
      </c>
    </row>
    <row r="81" spans="1:4" x14ac:dyDescent="0.25">
      <c r="A81" vm="512">
        <f ca="1"/>
        <v>45776</v>
      </c>
      <c r="B81" vm="992">
        <f ca="1"/>
        <v>5.66</v>
      </c>
      <c r="C81">
        <f ca="1"/>
        <v>5.8969088811360324</v>
      </c>
      <c r="D81">
        <f t="shared" ca="1" si="1"/>
        <v>0.40884778727283672</v>
      </c>
    </row>
    <row r="82" spans="1:4" x14ac:dyDescent="0.25">
      <c r="A82" vm="516">
        <f ca="1"/>
        <v>45777</v>
      </c>
      <c r="B82" vm="1021">
        <f ca="1"/>
        <v>6.29</v>
      </c>
      <c r="C82">
        <f ca="1"/>
        <v>5.9869698525332513</v>
      </c>
      <c r="D82">
        <f t="shared" ca="1" si="1"/>
        <v>0.43586536731088499</v>
      </c>
    </row>
    <row r="83" spans="1:4" x14ac:dyDescent="0.25">
      <c r="A83" vm="520">
        <f ca="1"/>
        <v>45778</v>
      </c>
      <c r="B83" vm="1697">
        <f ca="1"/>
        <v>6.27</v>
      </c>
      <c r="C83">
        <f ca="1"/>
        <v>6.071825764970793</v>
      </c>
      <c r="D83">
        <f t="shared" ca="1" si="1"/>
        <v>0.4766066319082724</v>
      </c>
    </row>
    <row r="84" spans="1:4" x14ac:dyDescent="0.25">
      <c r="A84" vm="523">
        <f ca="1"/>
        <v>45779</v>
      </c>
      <c r="B84" vm="751">
        <f ca="1"/>
        <v>7.08</v>
      </c>
      <c r="C84">
        <f ca="1"/>
        <v>6.1495584178637817</v>
      </c>
      <c r="D84">
        <f t="shared" ca="1" si="1"/>
        <v>0.52091588117771759</v>
      </c>
    </row>
    <row r="85" spans="1:4" x14ac:dyDescent="0.25">
      <c r="A85" vm="526">
        <f ca="1"/>
        <v>45782</v>
      </c>
      <c r="B85" vm="1727">
        <f ca="1"/>
        <v>6.96</v>
      </c>
      <c r="C85">
        <f ca="1"/>
        <v>6.3582077825295151</v>
      </c>
      <c r="D85">
        <f t="shared" ca="1" si="1"/>
        <v>0.50397231283599619</v>
      </c>
    </row>
    <row r="86" spans="1:4" x14ac:dyDescent="0.25">
      <c r="A86" vm="530">
        <f ca="1"/>
        <v>45783</v>
      </c>
      <c r="B86" vm="441">
        <f ca="1"/>
        <v>6.83</v>
      </c>
      <c r="C86">
        <f ca="1"/>
        <v>6.39544615826554</v>
      </c>
      <c r="D86">
        <f t="shared" ca="1" si="1"/>
        <v>0.48427176743729566</v>
      </c>
    </row>
    <row r="87" spans="1:4" x14ac:dyDescent="0.25">
      <c r="A87" vm="537">
        <f ca="1"/>
        <v>45784</v>
      </c>
      <c r="B87" vm="1044">
        <f ca="1"/>
        <v>6.3</v>
      </c>
      <c r="C87">
        <f ca="1"/>
        <v>6.4218877353410795</v>
      </c>
      <c r="D87">
        <f t="shared" ca="1" si="1"/>
        <v>0.45413560170596862</v>
      </c>
    </row>
    <row r="88" spans="1:4" x14ac:dyDescent="0.25">
      <c r="A88" vm="541">
        <f ca="1"/>
        <v>45785</v>
      </c>
      <c r="B88" vm="816">
        <f ca="1"/>
        <v>6</v>
      </c>
      <c r="C88">
        <f ca="1"/>
        <v>6.4374571822387452</v>
      </c>
      <c r="D88">
        <f t="shared" ca="1" si="1"/>
        <v>0.44979666458710466</v>
      </c>
    </row>
    <row r="89" spans="1:4" x14ac:dyDescent="0.25">
      <c r="A89" vm="546">
        <f ca="1"/>
        <v>45786</v>
      </c>
      <c r="B89" vm="842">
        <f ca="1"/>
        <v>5.96</v>
      </c>
      <c r="C89">
        <f ca="1"/>
        <v>6.4428225636061756</v>
      </c>
      <c r="D89">
        <f t="shared" ca="1" si="1"/>
        <v>0.45045963368424857</v>
      </c>
    </row>
    <row r="90" spans="1:4" x14ac:dyDescent="0.25">
      <c r="A90" vm="550">
        <f ca="1"/>
        <v>45789</v>
      </c>
      <c r="B90" vm="1665">
        <f ca="1"/>
        <v>7.23</v>
      </c>
      <c r="C90">
        <f ca="1"/>
        <v>6.3996054503504212</v>
      </c>
      <c r="D90">
        <f t="shared" ca="1" si="1"/>
        <v>0.45122486808568901</v>
      </c>
    </row>
    <row r="91" spans="1:4" x14ac:dyDescent="0.25">
      <c r="A91" vm="556">
        <f ca="1"/>
        <v>45790</v>
      </c>
      <c r="B91" vm="794">
        <f ca="1"/>
        <v>6.39</v>
      </c>
      <c r="C91">
        <f ca="1"/>
        <v>6.3762523059486682</v>
      </c>
      <c r="D91">
        <f t="shared" ca="1" si="1"/>
        <v>0.35167372363419031</v>
      </c>
    </row>
    <row r="92" spans="1:4" x14ac:dyDescent="0.25">
      <c r="A92" vm="560">
        <f ca="1"/>
        <v>45791</v>
      </c>
      <c r="B92" vm="1728">
        <f ca="1"/>
        <v>6.23</v>
      </c>
      <c r="C92">
        <f ca="1"/>
        <v>6.3520916700894441</v>
      </c>
      <c r="D92">
        <f t="shared" ca="1" si="1"/>
        <v>0.33769058946101294</v>
      </c>
    </row>
    <row r="93" spans="1:4" x14ac:dyDescent="0.25">
      <c r="A93" vm="564">
        <f ca="1"/>
        <v>45792</v>
      </c>
      <c r="B93" vm="1729">
        <f ca="1"/>
        <v>5.99</v>
      </c>
      <c r="C93">
        <f ca="1"/>
        <v>6.3289980832070443</v>
      </c>
      <c r="D93">
        <f t="shared" ca="1" si="1"/>
        <v>0.33288719046990589</v>
      </c>
    </row>
    <row r="94" spans="1:4" x14ac:dyDescent="0.25">
      <c r="A94" vm="569">
        <f ca="1"/>
        <v>45793</v>
      </c>
      <c r="B94" vm="797">
        <f ca="1"/>
        <v>6.43</v>
      </c>
      <c r="C94">
        <f ca="1"/>
        <v>6.3050240095279353</v>
      </c>
      <c r="D94">
        <f t="shared" ca="1" si="1"/>
        <v>0.34959854796157569</v>
      </c>
    </row>
    <row r="95" spans="1:4" x14ac:dyDescent="0.25">
      <c r="A95" vm="573">
        <f ca="1"/>
        <v>45796</v>
      </c>
      <c r="B95" vm="1044">
        <f ca="1"/>
        <v>6.3</v>
      </c>
      <c r="C95">
        <f ca="1"/>
        <v>6.1999923780028663</v>
      </c>
      <c r="D95">
        <f t="shared" ca="1" si="1"/>
        <v>0.32918669714760257</v>
      </c>
    </row>
    <row r="96" spans="1:4" x14ac:dyDescent="0.25">
      <c r="A96" vm="577">
        <f ca="1"/>
        <v>45797</v>
      </c>
      <c r="B96" vm="1730">
        <f ca="1"/>
        <v>6.22</v>
      </c>
      <c r="C96">
        <f ca="1"/>
        <v>6.1519731983850114</v>
      </c>
      <c r="D96">
        <f t="shared" ca="1" si="1"/>
        <v>0.31907875203466624</v>
      </c>
    </row>
    <row r="97" spans="1:4" x14ac:dyDescent="0.25">
      <c r="A97" vm="580">
        <f ca="1"/>
        <v>45798</v>
      </c>
      <c r="B97" vm="768">
        <f ca="1"/>
        <v>6.48</v>
      </c>
      <c r="C97">
        <f ca="1"/>
        <v>6.0974719913958459</v>
      </c>
      <c r="D97">
        <f t="shared" ca="1" si="1"/>
        <v>0.31568336484855408</v>
      </c>
    </row>
    <row r="98" spans="1:4" x14ac:dyDescent="0.25">
      <c r="A98" vm="583">
        <f ca="1"/>
        <v>45799</v>
      </c>
      <c r="B98" vm="843">
        <f ca="1"/>
        <v>6.05</v>
      </c>
      <c r="C98">
        <f ca="1"/>
        <v>6.0403749252544445</v>
      </c>
      <c r="D98">
        <f t="shared" ca="1" si="1"/>
        <v>0.27644012866594114</v>
      </c>
    </row>
    <row r="99" spans="1:4" x14ac:dyDescent="0.25">
      <c r="A99" vm="588">
        <f ca="1"/>
        <v>45800</v>
      </c>
      <c r="B99" vm="1731">
        <f ca="1"/>
        <v>5.9850000000000003</v>
      </c>
      <c r="C99">
        <f ca="1"/>
        <v>5.9866715215369215</v>
      </c>
      <c r="D99">
        <f t="shared" ca="1" si="1"/>
        <v>0.27290481760805219</v>
      </c>
    </row>
    <row r="100" spans="1:4" x14ac:dyDescent="0.25">
      <c r="A100" vm="593">
        <f ca="1"/>
        <v>45804</v>
      </c>
      <c r="B100" vm="835">
        <f ca="1"/>
        <v>6.04</v>
      </c>
      <c r="C100">
        <f ca="1"/>
        <v>5.8412088157218651</v>
      </c>
      <c r="D100">
        <f t="shared" ca="1" si="1"/>
        <v>0.26691413955565718</v>
      </c>
    </row>
    <row r="101" spans="1:4" x14ac:dyDescent="0.25">
      <c r="A101" vm="598">
        <f ca="1"/>
        <v>45805</v>
      </c>
      <c r="B101" vm="805">
        <f ca="1"/>
        <v>5.39</v>
      </c>
      <c r="C101">
        <f ca="1"/>
        <v>5.8120131040708856</v>
      </c>
      <c r="D101">
        <f t="shared" ca="1" si="1"/>
        <v>0.26434626414689699</v>
      </c>
    </row>
    <row r="102" spans="1:4" x14ac:dyDescent="0.25">
      <c r="A102" vm="601">
        <f ca="1"/>
        <v>45806</v>
      </c>
      <c r="B102" vm="984">
        <f ca="1"/>
        <v>5.46</v>
      </c>
      <c r="C102">
        <f ca="1"/>
        <v>5.7872383265762055</v>
      </c>
      <c r="D102">
        <f t="shared" ca="1" si="1"/>
        <v>0.25827158288575958</v>
      </c>
    </row>
    <row r="103" spans="1:4" x14ac:dyDescent="0.25">
      <c r="A103" vm="604">
        <f ca="1"/>
        <v>45807</v>
      </c>
      <c r="B103" vm="975">
        <f ca="1"/>
        <v>5.34</v>
      </c>
      <c r="C103">
        <f ca="1"/>
        <v>5.7680770780999238</v>
      </c>
      <c r="D103">
        <f t="shared" ca="1" si="1"/>
        <v>0.37478555271823888</v>
      </c>
    </row>
    <row r="104" spans="1:4" x14ac:dyDescent="0.25">
      <c r="A104" vm="606">
        <f ca="1"/>
        <v>45810</v>
      </c>
      <c r="B104" vm="986">
        <f ca="1"/>
        <v>5.52</v>
      </c>
      <c r="C104">
        <f ca="1"/>
        <v>5.7338780402879781</v>
      </c>
      <c r="D104">
        <f t="shared" ca="1" si="1"/>
        <v>0.43255057507764344</v>
      </c>
    </row>
    <row r="105" spans="1:4" x14ac:dyDescent="0.25">
      <c r="A105" vm="608">
        <f ca="1"/>
        <v>45811</v>
      </c>
      <c r="B105" vm="960">
        <f ca="1"/>
        <v>5.54</v>
      </c>
      <c r="C105">
        <f ca="1"/>
        <v>5.7370471350554357</v>
      </c>
      <c r="D105">
        <f t="shared" ca="1" si="1"/>
        <v>0.45362255350966801</v>
      </c>
    </row>
    <row r="106" spans="1:4" x14ac:dyDescent="0.25">
      <c r="A106" vm="610">
        <f ca="1"/>
        <v>45812</v>
      </c>
      <c r="B106" vm="1239">
        <f ca="1"/>
        <v>5.82</v>
      </c>
      <c r="C106">
        <f ca="1"/>
        <v>5.7479945275140789</v>
      </c>
      <c r="D106">
        <f t="shared" ca="1" si="1"/>
        <v>0.51109042355793721</v>
      </c>
    </row>
    <row r="107" spans="1:4" x14ac:dyDescent="0.25">
      <c r="A107" vm="612">
        <f ca="1"/>
        <v>45813</v>
      </c>
      <c r="B107" vm="787">
        <f ca="1"/>
        <v>6.03</v>
      </c>
      <c r="C107">
        <f ca="1"/>
        <v>5.76122167394354</v>
      </c>
      <c r="D107">
        <f t="shared" ca="1" si="1"/>
        <v>0.63997615087142634</v>
      </c>
    </row>
    <row r="108" spans="1:4" x14ac:dyDescent="0.25">
      <c r="A108" vm="615">
        <f ca="1"/>
        <v>45814</v>
      </c>
      <c r="B108" vm="826">
        <f ca="1"/>
        <v>5.91</v>
      </c>
      <c r="C108">
        <f ca="1"/>
        <v>5.7617705409467082</v>
      </c>
      <c r="D108">
        <f t="shared" ca="1" si="1"/>
        <v>0.71552170881774069</v>
      </c>
    </row>
    <row r="109" spans="1:4" x14ac:dyDescent="0.25">
      <c r="A109" vm="617">
        <f ca="1"/>
        <v>45817</v>
      </c>
      <c r="B109" vm="1256">
        <f ca="1"/>
        <v>6.15</v>
      </c>
      <c r="C109">
        <f ca="1"/>
        <v>5.7693141105634265</v>
      </c>
      <c r="D109">
        <f t="shared" ca="1" si="1"/>
        <v>0.77553987986636708</v>
      </c>
    </row>
    <row r="110" spans="1:4" x14ac:dyDescent="0.25">
      <c r="A110" vm="619">
        <f ca="1"/>
        <v>45818</v>
      </c>
      <c r="B110" vm="832">
        <f ca="1"/>
        <v>6.06</v>
      </c>
      <c r="C110">
        <f ca="1"/>
        <v>5.7818917345179477</v>
      </c>
      <c r="D110">
        <f t="shared" ca="1" si="1"/>
        <v>0.80154374080335611</v>
      </c>
    </row>
    <row r="111" spans="1:4" x14ac:dyDescent="0.25">
      <c r="A111" vm="620">
        <f ca="1"/>
        <v>45819</v>
      </c>
      <c r="B111" vm="1732">
        <f ca="1"/>
        <v>6.02</v>
      </c>
      <c r="C111">
        <f ca="1"/>
        <v>5.772141134839039</v>
      </c>
      <c r="D111">
        <f t="shared" ca="1" si="1"/>
        <v>0.81221335024473651</v>
      </c>
    </row>
    <row r="112" spans="1:4" x14ac:dyDescent="0.25">
      <c r="A112" vm="622">
        <f ca="1"/>
        <v>45820</v>
      </c>
      <c r="B112" vm="849">
        <f ca="1"/>
        <v>5.78</v>
      </c>
      <c r="C112">
        <f ca="1"/>
        <v>5.7582051853592651</v>
      </c>
      <c r="D112">
        <f t="shared" ca="1" si="1"/>
        <v>0.88162812902875198</v>
      </c>
    </row>
    <row r="113" spans="1:4" x14ac:dyDescent="0.25">
      <c r="A113" vm="626">
        <f ca="1"/>
        <v>45821</v>
      </c>
      <c r="B113" vm="952">
        <f ca="1"/>
        <v>5.44</v>
      </c>
      <c r="C113">
        <f ca="1"/>
        <v>5.7448641561639642</v>
      </c>
      <c r="D113">
        <f t="shared" ca="1" si="1"/>
        <v>0.92428791937075794</v>
      </c>
    </row>
    <row r="114" spans="1:4" x14ac:dyDescent="0.25">
      <c r="A114" vm="629">
        <f ca="1"/>
        <v>45824</v>
      </c>
      <c r="B114" vm="1661">
        <f ca="1"/>
        <v>5.68</v>
      </c>
      <c r="C114">
        <f ca="1"/>
        <v>5.7363939445807031</v>
      </c>
      <c r="D114">
        <f t="shared" ca="1" si="1"/>
        <v>1.0379396341842437</v>
      </c>
    </row>
    <row r="115" spans="1:4" x14ac:dyDescent="0.25">
      <c r="A115" vm="632">
        <f ca="1"/>
        <v>45825</v>
      </c>
      <c r="B115" vm="959">
        <f ca="1"/>
        <v>5.55</v>
      </c>
      <c r="C115">
        <f ca="1"/>
        <v>5.7416525552363629</v>
      </c>
      <c r="D115">
        <f t="shared" ca="1" si="1"/>
        <v>1.1015544041322511</v>
      </c>
    </row>
    <row r="116" spans="1:4" x14ac:dyDescent="0.25">
      <c r="A116" vm="634">
        <f ca="1"/>
        <v>45826</v>
      </c>
      <c r="B116" vm="952">
        <f ca="1"/>
        <v>5.44</v>
      </c>
      <c r="C116">
        <f ca="1"/>
        <v>5.754542334597109</v>
      </c>
      <c r="D116">
        <f t="shared" ca="1" si="1"/>
        <v>1.1284869936055364</v>
      </c>
    </row>
    <row r="117" spans="1:4" x14ac:dyDescent="0.25">
      <c r="A117" vm="636">
        <f ca="1"/>
        <v>45828</v>
      </c>
      <c r="B117" vm="965">
        <f ca="1"/>
        <v>5.48</v>
      </c>
      <c r="C117">
        <f ca="1"/>
        <v>5.8509880772315475</v>
      </c>
      <c r="D117">
        <f t="shared" ca="1" si="1"/>
        <v>1.1414413787193214</v>
      </c>
    </row>
    <row r="118" spans="1:4" x14ac:dyDescent="0.25">
      <c r="A118" vm="638">
        <f ca="1"/>
        <v>45831</v>
      </c>
      <c r="B118" vm="987">
        <f ca="1"/>
        <v>5.45</v>
      </c>
      <c r="C118">
        <f ca="1"/>
        <v>6.0223348687569915</v>
      </c>
      <c r="D118">
        <f t="shared" ca="1" si="1"/>
        <v>1.092121426640065</v>
      </c>
    </row>
    <row r="119" spans="1:4" x14ac:dyDescent="0.25">
      <c r="A119" vm="640">
        <f ca="1"/>
        <v>45832</v>
      </c>
      <c r="B119" vm="823">
        <f ca="1"/>
        <v>5.84</v>
      </c>
      <c r="C119">
        <f ca="1"/>
        <v>6.0749256167783816</v>
      </c>
      <c r="D119">
        <f t="shared" ca="1" si="1"/>
        <v>1.0019479711253045</v>
      </c>
    </row>
    <row r="120" spans="1:4" x14ac:dyDescent="0.25">
      <c r="A120" vm="643">
        <f ca="1"/>
        <v>45833</v>
      </c>
      <c r="B120" vm="816">
        <f ca="1"/>
        <v>6</v>
      </c>
      <c r="C120">
        <f ca="1"/>
        <v>6.1755226691220955</v>
      </c>
      <c r="D120">
        <f t="shared" ca="1" si="1"/>
        <v>0.95547439305796389</v>
      </c>
    </row>
    <row r="121" spans="1:4" x14ac:dyDescent="0.25">
      <c r="A121" vm="644">
        <f ca="1"/>
        <v>45834</v>
      </c>
      <c r="B121" vm="826">
        <f ca="1"/>
        <v>5.91</v>
      </c>
      <c r="C121">
        <f ca="1"/>
        <v>6.2855368025458205</v>
      </c>
      <c r="D121">
        <f t="shared" ca="1" si="1"/>
        <v>0.88154230874372408</v>
      </c>
    </row>
    <row r="122" spans="1:4" x14ac:dyDescent="0.25">
      <c r="A122" vm="645">
        <f ca="1"/>
        <v>45835</v>
      </c>
      <c r="B122" vm="1268">
        <f ca="1"/>
        <v>6.98</v>
      </c>
      <c r="C122">
        <f ca="1"/>
        <v>6.3971977487386891</v>
      </c>
      <c r="D122">
        <f t="shared" ca="1" si="1"/>
        <v>0.76902860805044149</v>
      </c>
    </row>
    <row r="123" spans="1:4" x14ac:dyDescent="0.25">
      <c r="A123" vm="646">
        <f ca="1"/>
        <v>45838</v>
      </c>
      <c r="B123" vm="1277">
        <f ca="1"/>
        <v>6.9</v>
      </c>
      <c r="C123">
        <f ca="1"/>
        <v>6.6976214450278242</v>
      </c>
      <c r="D123">
        <f t="shared" ca="1" si="1"/>
        <v>0.74361757998527556</v>
      </c>
    </row>
    <row r="124" spans="1:4" x14ac:dyDescent="0.25">
      <c r="A124" vm="648">
        <f ca="1"/>
        <v>45839</v>
      </c>
      <c r="B124" vm="1267">
        <f ca="1"/>
        <v>6.61</v>
      </c>
      <c r="C124">
        <f ca="1"/>
        <v>6.815315730357872</v>
      </c>
      <c r="D124">
        <f t="shared" ca="1" si="1"/>
        <v>0.70274106184283824</v>
      </c>
    </row>
    <row r="125" spans="1:4" x14ac:dyDescent="0.25">
      <c r="A125" vm="649">
        <f ca="1"/>
        <v>45840</v>
      </c>
      <c r="B125" vm="751">
        <f ca="1"/>
        <v>7.08</v>
      </c>
      <c r="C125">
        <f ca="1"/>
        <v>6.9176563359957397</v>
      </c>
      <c r="D125">
        <f t="shared" ca="1" si="1"/>
        <v>0.61827944627345521</v>
      </c>
    </row>
    <row r="126" spans="1:4" x14ac:dyDescent="0.25">
      <c r="A126" vm="651">
        <f ca="1"/>
        <v>45841</v>
      </c>
      <c r="B126" vm="683">
        <f ca="1"/>
        <v>7.75</v>
      </c>
      <c r="C126">
        <f ca="1"/>
        <v>7.0219470950390352</v>
      </c>
      <c r="D126">
        <f t="shared" ca="1" si="1"/>
        <v>0.57060701750070741</v>
      </c>
    </row>
    <row r="127" spans="1:4" x14ac:dyDescent="0.25">
      <c r="A127" vm="653">
        <f ca="1"/>
        <v>45845</v>
      </c>
      <c r="B127" vm="1705">
        <f ca="1"/>
        <v>7.54</v>
      </c>
      <c r="C127">
        <f ca="1"/>
        <v>7.4789777748549424</v>
      </c>
      <c r="D127">
        <f t="shared" ca="1" si="1"/>
        <v>0.5833431327497699</v>
      </c>
    </row>
    <row r="128" spans="1:4" x14ac:dyDescent="0.25">
      <c r="A128" vm="655">
        <f ca="1"/>
        <v>45846</v>
      </c>
      <c r="B128" vm="1733">
        <f ca="1"/>
        <v>7.56</v>
      </c>
      <c r="C128">
        <f ca="1"/>
        <v>7.5912931483614425</v>
      </c>
      <c r="D128">
        <f t="shared" ca="1" si="1"/>
        <v>0.57115280469922358</v>
      </c>
    </row>
    <row r="129" spans="1:4" x14ac:dyDescent="0.25">
      <c r="A129" vm="658">
        <f ca="1"/>
        <v>45847</v>
      </c>
      <c r="B129" vm="1428">
        <f ca="1"/>
        <v>7.18</v>
      </c>
      <c r="C129">
        <f ca="1"/>
        <v>7.699486388987034</v>
      </c>
      <c r="D129">
        <f t="shared" ca="1" si="1"/>
        <v>0.55917796809244902</v>
      </c>
    </row>
    <row r="130" spans="1:4" x14ac:dyDescent="0.25">
      <c r="A130" vm="659">
        <f ca="1"/>
        <v>45848</v>
      </c>
      <c r="B130" vm="1703">
        <f ca="1"/>
        <v>6.97</v>
      </c>
      <c r="C130">
        <f ca="1"/>
        <v>7.801489517107755</v>
      </c>
      <c r="D130">
        <f t="shared" ca="1" si="1"/>
        <v>0.50983459650113339</v>
      </c>
    </row>
    <row r="131" spans="1:4" x14ac:dyDescent="0.25">
      <c r="A131" vm="661">
        <f ca="1"/>
        <v>45849</v>
      </c>
      <c r="B131" vm="531">
        <f ca="1"/>
        <v>7.95</v>
      </c>
      <c r="C131">
        <f ca="1"/>
        <v>7.8953665020877528</v>
      </c>
      <c r="D131">
        <f t="shared" ref="D131:D194" ca="1" si="2">_xlfn.STDEV.S(B131:B150)</f>
        <v>0.41755270704175135</v>
      </c>
    </row>
    <row r="132" spans="1:4" x14ac:dyDescent="0.25">
      <c r="A132" vm="663">
        <f ca="1"/>
        <v>45852</v>
      </c>
      <c r="B132" vm="1682">
        <f ca="1"/>
        <v>7.92</v>
      </c>
      <c r="C132">
        <f ca="1"/>
        <v>8.1214868257129886</v>
      </c>
      <c r="D132">
        <f t="shared" ca="1" si="2"/>
        <v>0.41636269613984622</v>
      </c>
    </row>
    <row r="133" spans="1:4" x14ac:dyDescent="0.25">
      <c r="A133" vm="664">
        <f ca="1"/>
        <v>45853</v>
      </c>
      <c r="B133" vm="363">
        <f ca="1"/>
        <v>9.0399999999999991</v>
      </c>
      <c r="C133">
        <f ca="1"/>
        <v>8.1868984581531983</v>
      </c>
      <c r="D133">
        <f t="shared" ca="1" si="2"/>
        <v>0.41239352692862608</v>
      </c>
    </row>
    <row r="134" spans="1:4" x14ac:dyDescent="0.25">
      <c r="A134" vm="666">
        <f ca="1"/>
        <v>45854</v>
      </c>
      <c r="B134" vm="1734">
        <f ca="1"/>
        <v>8.7899999999999991</v>
      </c>
      <c r="C134">
        <f ca="1"/>
        <v>8.2498438884297975</v>
      </c>
      <c r="D134">
        <f t="shared" ca="1" si="2"/>
        <v>0.3852285719304564</v>
      </c>
    </row>
    <row r="135" spans="1:4" x14ac:dyDescent="0.25">
      <c r="A135" vm="668">
        <f ca="1"/>
        <v>45855</v>
      </c>
      <c r="B135" vm="87">
        <f ca="1"/>
        <v>8.76</v>
      </c>
      <c r="C135">
        <f ca="1"/>
        <v>8.3080908112033782</v>
      </c>
      <c r="D135">
        <f t="shared" ca="1" si="2"/>
        <v>0.36368581003532791</v>
      </c>
    </row>
    <row r="136" spans="1:4" x14ac:dyDescent="0.25">
      <c r="A136" vm="1">
        <f ca="1"/>
        <v>45856</v>
      </c>
      <c r="B136" vm="95">
        <f ca="1"/>
        <v>9.01</v>
      </c>
      <c r="C136">
        <f ca="1"/>
        <v>8.3588922396816745</v>
      </c>
      <c r="D136">
        <f t="shared" ca="1" si="2"/>
        <v>0.34053015941863979</v>
      </c>
    </row>
    <row r="137" spans="1:4" x14ac:dyDescent="0.25">
      <c r="A137" vm="9">
        <f ca="1"/>
        <v>45859</v>
      </c>
      <c r="B137" vm="434">
        <f ca="1"/>
        <v>8.43</v>
      </c>
      <c r="C137">
        <f ca="1"/>
        <v>8.4796650627713799</v>
      </c>
      <c r="D137">
        <f t="shared" ca="1" si="2"/>
        <v>0.28238225305798742</v>
      </c>
    </row>
    <row r="138" spans="1:4" x14ac:dyDescent="0.25">
      <c r="A138" vm="17">
        <f ca="1"/>
        <v>45860</v>
      </c>
      <c r="B138" vm="425">
        <f ca="1"/>
        <v>8.09</v>
      </c>
      <c r="C138">
        <f ca="1"/>
        <v>8.4635070059321293</v>
      </c>
      <c r="D138">
        <f t="shared" ca="1" si="2"/>
        <v>0.27913164221243447</v>
      </c>
    </row>
    <row r="139" spans="1:4" x14ac:dyDescent="0.25">
      <c r="A139" vm="25">
        <f ca="1"/>
        <v>45861</v>
      </c>
      <c r="B139" vm="280">
        <f ca="1"/>
        <v>8.74</v>
      </c>
      <c r="C139">
        <f ca="1"/>
        <v>8.4293798354709626</v>
      </c>
      <c r="D139">
        <f t="shared" ca="1" si="2"/>
        <v>0.28270311747764465</v>
      </c>
    </row>
    <row r="140" spans="1:4" x14ac:dyDescent="0.25">
      <c r="A140" vm="31">
        <f ca="1"/>
        <v>45862</v>
      </c>
      <c r="B140" vm="245">
        <f ca="1"/>
        <v>8.33</v>
      </c>
      <c r="C140">
        <f ca="1"/>
        <v>8.3851428650267401</v>
      </c>
      <c r="D140">
        <f t="shared" ca="1" si="2"/>
        <v>0.22891276205484687</v>
      </c>
    </row>
    <row r="141" spans="1:4" x14ac:dyDescent="0.25">
      <c r="A141" vm="39">
        <f ca="1"/>
        <v>45863</v>
      </c>
      <c r="B141" vm="1735">
        <f ca="1"/>
        <v>8.26</v>
      </c>
      <c r="C141">
        <f ca="1"/>
        <v>8.3360436799048774</v>
      </c>
      <c r="D141">
        <f t="shared" ca="1" si="2"/>
        <v>0.25827107342561817</v>
      </c>
    </row>
    <row r="142" spans="1:4" x14ac:dyDescent="0.25">
      <c r="A142" vm="47">
        <f ca="1"/>
        <v>45866</v>
      </c>
      <c r="B142" vm="243">
        <f ca="1"/>
        <v>8.34</v>
      </c>
      <c r="C142">
        <f ca="1"/>
        <v>8.1913811917210335</v>
      </c>
      <c r="D142">
        <f t="shared" ca="1" si="2"/>
        <v>0.26026100259870699</v>
      </c>
    </row>
    <row r="143" spans="1:4" x14ac:dyDescent="0.25">
      <c r="A143" vm="55">
        <f ca="1"/>
        <v>45867</v>
      </c>
      <c r="B143" vm="313">
        <f ca="1"/>
        <v>8.2799999999999994</v>
      </c>
      <c r="C143">
        <f ca="1"/>
        <v>8.1538154703889969</v>
      </c>
      <c r="D143">
        <f t="shared" ca="1" si="2"/>
        <v>0.24424750173801807</v>
      </c>
    </row>
    <row r="144" spans="1:4" x14ac:dyDescent="0.25">
      <c r="A144" vm="62">
        <f ca="1"/>
        <v>45868</v>
      </c>
      <c r="B144" vm="691">
        <f ca="1"/>
        <v>8.02</v>
      </c>
      <c r="C144">
        <f ca="1"/>
        <v>8.1214767292770293</v>
      </c>
      <c r="D144">
        <f t="shared" ca="1" si="2"/>
        <v>0.23041096008288275</v>
      </c>
    </row>
    <row r="145" spans="1:4" x14ac:dyDescent="0.25">
      <c r="A145" vm="70">
        <f ca="1"/>
        <v>45869</v>
      </c>
      <c r="B145" vm="1316">
        <f ca="1"/>
        <v>8.31</v>
      </c>
      <c r="C145">
        <f ca="1"/>
        <v>8.0932234900219235</v>
      </c>
      <c r="D145">
        <f t="shared" ca="1" si="2"/>
        <v>0.22965592111953737</v>
      </c>
    </row>
    <row r="146" spans="1:4" x14ac:dyDescent="0.25">
      <c r="A146" vm="78">
        <f ca="1"/>
        <v>45870</v>
      </c>
      <c r="B146" vm="1736">
        <f ca="1"/>
        <v>7.49</v>
      </c>
      <c r="C146">
        <f ca="1"/>
        <v>8.067028373720099</v>
      </c>
      <c r="D146">
        <f t="shared" ca="1" si="2"/>
        <v>0.25475426756406894</v>
      </c>
    </row>
    <row r="147" spans="1:4" x14ac:dyDescent="0.25">
      <c r="A147" vm="85">
        <f ca="1"/>
        <v>45873</v>
      </c>
      <c r="B147" vm="419">
        <f ca="1"/>
        <v>7.82</v>
      </c>
      <c r="C147">
        <f ca="1"/>
        <v>7.9986207876050317</v>
      </c>
      <c r="D147">
        <f t="shared" ca="1" si="2"/>
        <v>0.28772977088343077</v>
      </c>
    </row>
    <row r="148" spans="1:4" x14ac:dyDescent="0.25">
      <c r="A148" vm="92">
        <f ca="1"/>
        <v>45874</v>
      </c>
      <c r="B148" vm="687">
        <f ca="1"/>
        <v>7.83</v>
      </c>
      <c r="C148">
        <f ca="1"/>
        <v>7.9806293323855222</v>
      </c>
      <c r="D148">
        <f t="shared" ca="1" si="2"/>
        <v>0.28663014863280373</v>
      </c>
    </row>
    <row r="149" spans="1:4" x14ac:dyDescent="0.25">
      <c r="A149" vm="100">
        <f ca="1"/>
        <v>45875</v>
      </c>
      <c r="B149" vm="1737">
        <f ca="1"/>
        <v>8.01</v>
      </c>
      <c r="C149">
        <f ca="1"/>
        <v>7.9646222153306132</v>
      </c>
      <c r="D149">
        <f t="shared" ca="1" si="2"/>
        <v>0.28474318992826902</v>
      </c>
    </row>
    <row r="150" spans="1:4" x14ac:dyDescent="0.25">
      <c r="A150" vm="108">
        <f ca="1"/>
        <v>45876</v>
      </c>
      <c r="B150" vm="482">
        <f ca="1"/>
        <v>8.15</v>
      </c>
      <c r="C150">
        <f ca="1"/>
        <v>7.9502528365028349</v>
      </c>
      <c r="D150">
        <f t="shared" ca="1" si="2"/>
        <v>0.29450940472875264</v>
      </c>
    </row>
    <row r="151" spans="1:4" x14ac:dyDescent="0.25">
      <c r="A151" vm="115">
        <f ca="1"/>
        <v>45877</v>
      </c>
      <c r="B151" vm="690">
        <f ca="1"/>
        <v>7.98</v>
      </c>
      <c r="C151">
        <f ca="1"/>
        <v>7.9378557868671971</v>
      </c>
      <c r="D151">
        <f t="shared" ca="1" si="2"/>
        <v>0.29135391753528533</v>
      </c>
    </row>
    <row r="152" spans="1:4" x14ac:dyDescent="0.25">
      <c r="A152" vm="122">
        <f ca="1"/>
        <v>45880</v>
      </c>
      <c r="B152" vm="691">
        <f ca="1"/>
        <v>8.02</v>
      </c>
      <c r="C152">
        <f ca="1"/>
        <v>7.9150461413788626</v>
      </c>
      <c r="D152">
        <f t="shared" ca="1" si="2"/>
        <v>0.29730854078053764</v>
      </c>
    </row>
    <row r="153" spans="1:4" x14ac:dyDescent="0.25">
      <c r="A153" vm="128">
        <f ca="1"/>
        <v>45881</v>
      </c>
      <c r="B153" vm="689">
        <f ca="1"/>
        <v>7.8</v>
      </c>
      <c r="C153">
        <f ca="1"/>
        <v>7.910154713564463</v>
      </c>
      <c r="D153">
        <f t="shared" ca="1" si="2"/>
        <v>0.30987094087700451</v>
      </c>
    </row>
    <row r="154" spans="1:4" x14ac:dyDescent="0.25">
      <c r="A154" vm="135">
        <f ca="1"/>
        <v>45882</v>
      </c>
      <c r="B154" vm="1737">
        <f ca="1"/>
        <v>8.01</v>
      </c>
      <c r="C154">
        <f ca="1"/>
        <v>7.9044852617166992</v>
      </c>
      <c r="D154">
        <f t="shared" ca="1" si="2"/>
        <v>0.3079383909673799</v>
      </c>
    </row>
    <row r="155" spans="1:4" x14ac:dyDescent="0.25">
      <c r="A155" vm="142">
        <f ca="1"/>
        <v>45883</v>
      </c>
      <c r="B155" vm="531">
        <f ca="1"/>
        <v>7.95</v>
      </c>
      <c r="C155">
        <f ca="1"/>
        <v>7.8973018336915723</v>
      </c>
      <c r="D155">
        <f t="shared" ca="1" si="2"/>
        <v>0.40204051903678606</v>
      </c>
    </row>
    <row r="156" spans="1:4" x14ac:dyDescent="0.25">
      <c r="A156" vm="146">
        <f ca="1"/>
        <v>45884</v>
      </c>
      <c r="B156" vm="473">
        <f ca="1"/>
        <v>7.77</v>
      </c>
      <c r="C156">
        <f ca="1"/>
        <v>7.8895793294663257</v>
      </c>
      <c r="D156">
        <f t="shared" ca="1" si="2"/>
        <v>0.53154467059891142</v>
      </c>
    </row>
    <row r="157" spans="1:4" x14ac:dyDescent="0.25">
      <c r="A157" vm="154">
        <f ca="1"/>
        <v>45887</v>
      </c>
      <c r="B157" vm="683">
        <f ca="1"/>
        <v>7.75</v>
      </c>
      <c r="C157">
        <f ca="1"/>
        <v>7.8915376879595796</v>
      </c>
      <c r="D157">
        <f t="shared" ca="1" si="2"/>
        <v>0.62174520928042376</v>
      </c>
    </row>
    <row r="158" spans="1:4" x14ac:dyDescent="0.25">
      <c r="A158" vm="161">
        <f ca="1"/>
        <v>45888</v>
      </c>
      <c r="B158" vm="674">
        <f ca="1"/>
        <v>7.84</v>
      </c>
      <c r="C158">
        <f ca="1"/>
        <v>7.9001168134106159</v>
      </c>
      <c r="D158">
        <f t="shared" ca="1" si="2"/>
        <v>0.68707982375450838</v>
      </c>
    </row>
    <row r="159" spans="1:4" x14ac:dyDescent="0.25">
      <c r="A159" vm="168">
        <f ca="1"/>
        <v>45889</v>
      </c>
      <c r="B159" vm="690">
        <f ca="1"/>
        <v>7.98</v>
      </c>
      <c r="C159">
        <f ca="1"/>
        <v>7.9137247662673449</v>
      </c>
      <c r="D159">
        <f t="shared" ca="1" si="2"/>
        <v>0.76298927356742519</v>
      </c>
    </row>
    <row r="160" spans="1:4" x14ac:dyDescent="0.25">
      <c r="A160" vm="174">
        <f ca="1"/>
        <v>45890</v>
      </c>
      <c r="B160" vm="1695">
        <f ca="1"/>
        <v>7.34</v>
      </c>
      <c r="C160">
        <f ca="1"/>
        <v>7.9315235474390668</v>
      </c>
      <c r="D160">
        <f t="shared" ca="1" si="2"/>
        <v>0.83323892447674197</v>
      </c>
    </row>
    <row r="161" spans="1:4" x14ac:dyDescent="0.25">
      <c r="A161" vm="180">
        <f ca="1"/>
        <v>45891</v>
      </c>
      <c r="B161" vm="472">
        <f ca="1"/>
        <v>8.2899999999999991</v>
      </c>
      <c r="C161">
        <f ca="1"/>
        <v>7.9505531783560448</v>
      </c>
      <c r="D161">
        <f t="shared" ca="1" si="2"/>
        <v>0.82659479031047678</v>
      </c>
    </row>
    <row r="162" spans="1:4" x14ac:dyDescent="0.25">
      <c r="A162" vm="186">
        <f ca="1"/>
        <v>45894</v>
      </c>
      <c r="B162" vm="674">
        <f ca="1"/>
        <v>7.84</v>
      </c>
      <c r="C162">
        <f ca="1"/>
        <v>7.98907415676823</v>
      </c>
      <c r="D162">
        <f t="shared" ca="1" si="2"/>
        <v>0.88483361504623537</v>
      </c>
    </row>
    <row r="163" spans="1:4" x14ac:dyDescent="0.25">
      <c r="A163" vm="193">
        <f ca="1"/>
        <v>45895</v>
      </c>
      <c r="B163" vm="1281">
        <f ca="1"/>
        <v>7.81</v>
      </c>
      <c r="C163">
        <f ca="1"/>
        <v>7.9967413121964768</v>
      </c>
      <c r="D163">
        <f t="shared" ca="1" si="2"/>
        <v>0.87410269780832373</v>
      </c>
    </row>
    <row r="164" spans="1:4" x14ac:dyDescent="0.25">
      <c r="A164" vm="199">
        <f ca="1"/>
        <v>45896</v>
      </c>
      <c r="B164" vm="689">
        <f ca="1"/>
        <v>7.8</v>
      </c>
      <c r="C164">
        <f ca="1"/>
        <v>8.0019636250334063</v>
      </c>
      <c r="D164">
        <f t="shared" ca="1" si="2"/>
        <v>0.91543762902317871</v>
      </c>
    </row>
    <row r="165" spans="1:4" x14ac:dyDescent="0.25">
      <c r="A165" vm="206">
        <f ca="1"/>
        <v>45897</v>
      </c>
      <c r="B165" vm="449">
        <f ca="1"/>
        <v>8.5299999999999994</v>
      </c>
      <c r="C165">
        <f ca="1"/>
        <v>8.0055024555039456</v>
      </c>
      <c r="D165">
        <f t="shared" ca="1" si="2"/>
        <v>1.0070143468376589</v>
      </c>
    </row>
    <row r="166" spans="1:4" x14ac:dyDescent="0.25">
      <c r="A166" vm="210">
        <f ca="1"/>
        <v>45898</v>
      </c>
      <c r="B166" vm="545">
        <f ca="1"/>
        <v>8.66</v>
      </c>
      <c r="C166">
        <f ca="1"/>
        <v>8.0098483549847597</v>
      </c>
      <c r="D166">
        <f t="shared" ca="1" si="2"/>
        <v>1.0716464214616541</v>
      </c>
    </row>
    <row r="167" spans="1:4" x14ac:dyDescent="0.25">
      <c r="A167" vm="216">
        <f ca="1"/>
        <v>45902</v>
      </c>
      <c r="B167" vm="397">
        <f ca="1"/>
        <v>8.06</v>
      </c>
      <c r="C167">
        <f ca="1"/>
        <v>8.1020270564082555</v>
      </c>
      <c r="D167">
        <f t="shared" ca="1" si="2"/>
        <v>1.099789932094698</v>
      </c>
    </row>
    <row r="168" spans="1:4" x14ac:dyDescent="0.25">
      <c r="A168" vm="223">
        <f ca="1"/>
        <v>45903</v>
      </c>
      <c r="B168" vm="477">
        <f ca="1"/>
        <v>8</v>
      </c>
      <c r="C168">
        <f ca="1"/>
        <v>8.1412478913053619</v>
      </c>
      <c r="D168">
        <f t="shared" ca="1" si="2"/>
        <v>1.0879119304525788</v>
      </c>
    </row>
    <row r="169" spans="1:4" x14ac:dyDescent="0.25">
      <c r="A169" vm="229">
        <f ca="1"/>
        <v>45904</v>
      </c>
      <c r="B169" vm="1280">
        <f ca="1"/>
        <v>7.64</v>
      </c>
      <c r="C169">
        <f ca="1"/>
        <v>8.1892930420156489</v>
      </c>
      <c r="D169">
        <f t="shared" ca="1" si="2"/>
        <v>1.0812822553752921</v>
      </c>
    </row>
    <row r="170" spans="1:4" x14ac:dyDescent="0.25">
      <c r="A170" vm="235">
        <f ca="1"/>
        <v>45905</v>
      </c>
      <c r="B170" vm="693">
        <f ca="1"/>
        <v>7.9</v>
      </c>
      <c r="C170">
        <f ca="1"/>
        <v>8.2475404355340007</v>
      </c>
      <c r="D170">
        <f t="shared" ca="1" si="2"/>
        <v>1.0549396340923765</v>
      </c>
    </row>
    <row r="171" spans="1:4" x14ac:dyDescent="0.25">
      <c r="A171" vm="242">
        <f ca="1"/>
        <v>45908</v>
      </c>
      <c r="B171" vm="461">
        <f ca="1"/>
        <v>7.68</v>
      </c>
      <c r="C171">
        <f ca="1"/>
        <v>8.4620518474478175</v>
      </c>
      <c r="D171">
        <f t="shared" ca="1" si="2"/>
        <v>0.98503473088649618</v>
      </c>
    </row>
    <row r="172" spans="1:4" x14ac:dyDescent="0.25">
      <c r="A172" vm="250">
        <f ca="1"/>
        <v>45909</v>
      </c>
      <c r="B172" vm="245">
        <f ca="1"/>
        <v>8.33</v>
      </c>
      <c r="C172">
        <f ca="1"/>
        <v>8.5554211742046853</v>
      </c>
      <c r="D172">
        <f t="shared" ca="1" si="2"/>
        <v>0.86129584134360571</v>
      </c>
    </row>
    <row r="173" spans="1:4" x14ac:dyDescent="0.25">
      <c r="A173" vm="257">
        <f ca="1"/>
        <v>45910</v>
      </c>
      <c r="B173" vm="704">
        <f ca="1"/>
        <v>7.93</v>
      </c>
      <c r="C173">
        <f ca="1"/>
        <v>8.6663493874315787</v>
      </c>
      <c r="D173">
        <f t="shared" ca="1" si="2"/>
        <v>0.77166873176185369</v>
      </c>
    </row>
    <row r="174" spans="1:4" x14ac:dyDescent="0.25">
      <c r="A174" vm="264">
        <f ca="1"/>
        <v>45911</v>
      </c>
      <c r="B174" vm="373">
        <f ca="1"/>
        <v>9.11</v>
      </c>
      <c r="C174">
        <f ca="1"/>
        <v>8.7884876462266632</v>
      </c>
      <c r="D174">
        <f t="shared" ca="1" si="2"/>
        <v>0.59366036719571191</v>
      </c>
    </row>
    <row r="175" spans="1:4" x14ac:dyDescent="0.25">
      <c r="A175" vm="271">
        <f ca="1"/>
        <v>45912</v>
      </c>
      <c r="B175" vm="109">
        <f ca="1"/>
        <v>9.57</v>
      </c>
      <c r="C175">
        <f ca="1"/>
        <v>8.9128979469882594</v>
      </c>
      <c r="D175">
        <f t="shared" ca="1" si="2"/>
        <v>0.55916737914039383</v>
      </c>
    </row>
    <row r="176" spans="1:4" x14ac:dyDescent="0.25">
      <c r="A176" vm="279">
        <f ca="1"/>
        <v>45915</v>
      </c>
      <c r="B176" vm="1295">
        <f ca="1"/>
        <v>9.59</v>
      </c>
      <c r="C176">
        <f ca="1"/>
        <v>9.2940638623256682</v>
      </c>
      <c r="D176">
        <f t="shared" ca="1" si="2"/>
        <v>0.65934477044698681</v>
      </c>
    </row>
    <row r="177" spans="1:4" x14ac:dyDescent="0.25">
      <c r="A177" vm="285">
        <f ca="1"/>
        <v>45916</v>
      </c>
      <c r="B177" vm="1295">
        <f ca="1"/>
        <v>9.59</v>
      </c>
      <c r="C177">
        <f ca="1"/>
        <v>9.4427051714512871</v>
      </c>
      <c r="D177">
        <f t="shared" ca="1" si="2"/>
        <v>0.66795268505612315</v>
      </c>
    </row>
    <row r="178" spans="1:4" x14ac:dyDescent="0.25">
      <c r="A178" vm="292">
        <f ca="1"/>
        <v>45917</v>
      </c>
      <c r="B178" vm="1725">
        <f ca="1"/>
        <v>9.85</v>
      </c>
      <c r="C178">
        <f ca="1"/>
        <v>9.57897772005267</v>
      </c>
      <c r="D178">
        <f t="shared" ca="1" si="2"/>
        <v>0.69029818118503583</v>
      </c>
    </row>
    <row r="179" spans="1:4" x14ac:dyDescent="0.25">
      <c r="A179" vm="298">
        <f ca="1"/>
        <v>45918</v>
      </c>
      <c r="B179" vm="1333">
        <f ca="1"/>
        <v>9.9499999999999993</v>
      </c>
      <c r="C179">
        <f ca="1"/>
        <v>9.7104707367197847</v>
      </c>
      <c r="D179">
        <f t="shared" ca="1" si="2"/>
        <v>0.69723136686997134</v>
      </c>
    </row>
    <row r="180" spans="1:4" x14ac:dyDescent="0.25">
      <c r="A180" vm="303">
        <f ca="1"/>
        <v>45919</v>
      </c>
      <c r="B180" vm="576">
        <f ca="1"/>
        <v>9.6300000000000008</v>
      </c>
      <c r="C180">
        <f ca="1"/>
        <v>9.8317565783693528</v>
      </c>
      <c r="D180">
        <f t="shared" ca="1" si="2"/>
        <v>0.73456682545064067</v>
      </c>
    </row>
    <row r="181" spans="1:4" x14ac:dyDescent="0.25">
      <c r="A181" vm="310">
        <f ca="1"/>
        <v>45922</v>
      </c>
      <c r="B181" vm="596">
        <f ca="1"/>
        <v>10.050000000000001</v>
      </c>
      <c r="C181">
        <f ca="1"/>
        <v>10.11023954960427</v>
      </c>
      <c r="D181">
        <f t="shared" ca="1" si="2"/>
        <v>0.78297996882356302</v>
      </c>
    </row>
    <row r="182" spans="1:4" x14ac:dyDescent="0.25">
      <c r="A182" vm="317">
        <f ca="1"/>
        <v>45923</v>
      </c>
      <c r="B182" vm="575">
        <f ca="1"/>
        <v>9.35</v>
      </c>
      <c r="C182">
        <f ca="1"/>
        <v>10.181939366865429</v>
      </c>
      <c r="D182">
        <f t="shared" ca="1" si="2"/>
        <v>0.79425751491566021</v>
      </c>
    </row>
    <row r="183" spans="1:4" x14ac:dyDescent="0.25">
      <c r="A183" vm="323">
        <f ca="1"/>
        <v>45924</v>
      </c>
      <c r="B183" vm="1706">
        <f ca="1"/>
        <v>10.37</v>
      </c>
      <c r="C183">
        <f ca="1"/>
        <v>10.251152245055774</v>
      </c>
      <c r="D183">
        <f t="shared" ca="1" si="2"/>
        <v>0.79386860904122725</v>
      </c>
    </row>
    <row r="184" spans="1:4" x14ac:dyDescent="0.25">
      <c r="A184" vm="328">
        <f ca="1"/>
        <v>45925</v>
      </c>
      <c r="B184" vm="332">
        <f ca="1"/>
        <v>11.13</v>
      </c>
      <c r="C184">
        <f ca="1"/>
        <v>10.318134554359093</v>
      </c>
      <c r="D184">
        <f t="shared" ca="1" si="2"/>
        <v>0.81003638644719</v>
      </c>
    </row>
    <row r="185" spans="1:4" x14ac:dyDescent="0.25">
      <c r="A185" vm="334">
        <f ca="1"/>
        <v>45926</v>
      </c>
      <c r="B185" vm="1738">
        <f ca="1"/>
        <v>10.8</v>
      </c>
      <c r="C185">
        <f ca="1"/>
        <v>10.378228455779974</v>
      </c>
      <c r="D185">
        <f t="shared" ca="1" si="2"/>
        <v>0.76029080308994801</v>
      </c>
    </row>
    <row r="186" spans="1:4" x14ac:dyDescent="0.25">
      <c r="A186" vm="340">
        <f ca="1"/>
        <v>45929</v>
      </c>
      <c r="B186" vm="1680">
        <f ca="1"/>
        <v>10.41</v>
      </c>
      <c r="C186">
        <f ca="1"/>
        <v>10.46233003758973</v>
      </c>
      <c r="D186">
        <f t="shared" ca="1" si="2"/>
        <v>0.72264062554233044</v>
      </c>
    </row>
    <row r="187" spans="1:4" x14ac:dyDescent="0.25">
      <c r="A187" vm="346">
        <f ca="1"/>
        <v>45930</v>
      </c>
      <c r="B187" vm="1309">
        <f ca="1"/>
        <v>10.33</v>
      </c>
      <c r="C187">
        <f ca="1"/>
        <v>10.447968673749536</v>
      </c>
      <c r="D187">
        <f t="shared" ca="1" si="2"/>
        <v>0.70847705456288801</v>
      </c>
    </row>
    <row r="188" spans="1:4" x14ac:dyDescent="0.25">
      <c r="A188" vm="352">
        <f ca="1"/>
        <v>45931</v>
      </c>
      <c r="B188" vm="1739">
        <f ca="1"/>
        <v>10.76</v>
      </c>
      <c r="C188">
        <f ca="1"/>
        <v>10.415283707817597</v>
      </c>
      <c r="D188">
        <f t="shared" ca="1" si="2"/>
        <v>0.70461710393510524</v>
      </c>
    </row>
    <row r="189" spans="1:4" x14ac:dyDescent="0.25">
      <c r="A189" vm="357">
        <f ca="1"/>
        <v>45932</v>
      </c>
      <c r="B189" vm="399">
        <f ca="1"/>
        <v>11.24</v>
      </c>
      <c r="C189">
        <f ca="1"/>
        <v>10.366971095488621</v>
      </c>
      <c r="D189">
        <f t="shared" ca="1" si="2"/>
        <v>0.72900003609847586</v>
      </c>
    </row>
    <row r="190" spans="1:4" x14ac:dyDescent="0.25">
      <c r="A190" vm="362">
        <f ca="1"/>
        <v>45933</v>
      </c>
      <c r="B190" vm="297">
        <f ca="1"/>
        <v>10.58</v>
      </c>
      <c r="C190">
        <f ca="1"/>
        <v>10.30725099895465</v>
      </c>
      <c r="D190">
        <f t="shared" ca="1" si="2"/>
        <v>0.65815911530011617</v>
      </c>
    </row>
    <row r="191" spans="1:4" x14ac:dyDescent="0.25">
      <c r="A191" vm="370">
        <f ca="1"/>
        <v>45936</v>
      </c>
      <c r="B191" vm="1740">
        <f ca="1"/>
        <v>10.61</v>
      </c>
      <c r="C191">
        <f ca="1"/>
        <v>10.062598615982003</v>
      </c>
      <c r="D191">
        <f t="shared" ca="1" si="2"/>
        <v>0.64632137191143058</v>
      </c>
    </row>
    <row r="192" spans="1:4" x14ac:dyDescent="0.25">
      <c r="A192" vm="378">
        <f ca="1"/>
        <v>45937</v>
      </c>
      <c r="B192" vm="1331">
        <f ca="1"/>
        <v>9.93</v>
      </c>
      <c r="C192">
        <f ca="1"/>
        <v>9.9641185228768272</v>
      </c>
      <c r="D192">
        <f t="shared" ca="1" si="2"/>
        <v>0.61830072737599484</v>
      </c>
    </row>
    <row r="193" spans="1:4" x14ac:dyDescent="0.25">
      <c r="A193" vm="383">
        <f ca="1"/>
        <v>45938</v>
      </c>
      <c r="B193" vm="586">
        <f ca="1"/>
        <v>9.89</v>
      </c>
      <c r="C193">
        <f ca="1"/>
        <v>9.8621183761418134</v>
      </c>
      <c r="D193">
        <f t="shared" ca="1" si="2"/>
        <v>0.61972383492887173</v>
      </c>
    </row>
    <row r="194" spans="1:4" x14ac:dyDescent="0.25">
      <c r="A194" vm="389">
        <f ca="1"/>
        <v>45939</v>
      </c>
      <c r="B194" vm="324">
        <f ca="1"/>
        <v>9.58</v>
      </c>
      <c r="C194">
        <f ca="1"/>
        <v>9.7594993737606863</v>
      </c>
      <c r="D194">
        <f t="shared" ca="1" si="2"/>
        <v>0.61846392908475067</v>
      </c>
    </row>
    <row r="195" spans="1:4" x14ac:dyDescent="0.25">
      <c r="A195" vm="395">
        <f ca="1"/>
        <v>45940</v>
      </c>
      <c r="B195" vm="287">
        <f ca="1"/>
        <v>8.51</v>
      </c>
      <c r="C195">
        <f ca="1"/>
        <v>9.6600293673391668</v>
      </c>
      <c r="D195">
        <f t="shared" ref="D195:D234" ca="1" si="3">_xlfn.STDEV.S(B195:B214)</f>
        <v>0.62340380383149652</v>
      </c>
    </row>
    <row r="196" spans="1:4" x14ac:dyDescent="0.25">
      <c r="A196" vm="402">
        <f ca="1"/>
        <v>45943</v>
      </c>
      <c r="B196" vm="551">
        <f ca="1"/>
        <v>9.41</v>
      </c>
      <c r="C196">
        <f ca="1"/>
        <v>9.4090236293667324</v>
      </c>
      <c r="D196">
        <f t="shared" ca="1" si="3"/>
        <v>0.56490911006247635</v>
      </c>
    </row>
    <row r="197" spans="1:4" x14ac:dyDescent="0.25">
      <c r="A197" vm="407">
        <f ca="1"/>
        <v>45944</v>
      </c>
      <c r="B197" vm="568">
        <f ca="1"/>
        <v>9.18</v>
      </c>
      <c r="C197">
        <f ca="1"/>
        <v>9.3542985199988813</v>
      </c>
      <c r="D197">
        <f t="shared" ca="1" si="3"/>
        <v>0.56111373038008316</v>
      </c>
    </row>
    <row r="198" spans="1:4" x14ac:dyDescent="0.25">
      <c r="A198" vm="411">
        <f ca="1"/>
        <v>45945</v>
      </c>
      <c r="B198" vm="1295">
        <f ca="1"/>
        <v>9.59</v>
      </c>
      <c r="C198">
        <f ca="1"/>
        <v>9.3154421209962024</v>
      </c>
      <c r="D198">
        <f t="shared" ca="1" si="3"/>
        <v>0.54764922263491955</v>
      </c>
    </row>
    <row r="199" spans="1:4" x14ac:dyDescent="0.25">
      <c r="A199" vm="416">
        <f ca="1"/>
        <v>45946</v>
      </c>
      <c r="B199" vm="616">
        <f ca="1"/>
        <v>9.0299999999999994</v>
      </c>
      <c r="C199">
        <f ca="1"/>
        <v>9.2920845476556178</v>
      </c>
      <c r="D199">
        <f t="shared" ca="1" si="3"/>
        <v>0.57311079805052123</v>
      </c>
    </row>
    <row r="200" spans="1:4" x14ac:dyDescent="0.25">
      <c r="A200" vm="422">
        <f ca="1"/>
        <v>45947</v>
      </c>
      <c r="B200" vm="87">
        <f ca="1"/>
        <v>8.76</v>
      </c>
      <c r="C200">
        <f ca="1"/>
        <v>9.2864032862994623</v>
      </c>
      <c r="D200">
        <f t="shared" ca="1" si="3"/>
        <v>0.59179449446933063</v>
      </c>
    </row>
    <row r="201" spans="1:4" x14ac:dyDescent="0.25">
      <c r="A201" vm="430">
        <f ca="1"/>
        <v>45950</v>
      </c>
      <c r="B201" vm="130">
        <f ca="1"/>
        <v>9.3699999999999992</v>
      </c>
      <c r="C201">
        <f ca="1"/>
        <v>9.4134806323434788</v>
      </c>
      <c r="D201">
        <f t="shared" ca="1" si="3"/>
        <v>0.58854923104904389</v>
      </c>
    </row>
    <row r="202" spans="1:4" x14ac:dyDescent="0.25">
      <c r="A202" vm="436">
        <f ca="1"/>
        <v>45951</v>
      </c>
      <c r="B202" vm="93">
        <f ca="1"/>
        <v>9.36</v>
      </c>
      <c r="C202">
        <f ca="1"/>
        <v>9.4912422040309217</v>
      </c>
      <c r="D202">
        <f t="shared" ca="1" si="3"/>
        <v>0.63582080188152301</v>
      </c>
    </row>
    <row r="203" spans="1:4" x14ac:dyDescent="0.25">
      <c r="A203" vm="442">
        <f ca="1"/>
        <v>45952</v>
      </c>
      <c r="B203" vm="1435">
        <f ca="1"/>
        <v>9.07</v>
      </c>
      <c r="C203">
        <f ca="1"/>
        <v>9.5745227076229824</v>
      </c>
      <c r="D203">
        <f t="shared" ca="1" si="3"/>
        <v>0.67061656626373933</v>
      </c>
    </row>
    <row r="204" spans="1:4" x14ac:dyDescent="0.25">
      <c r="A204" vm="448">
        <f ca="1"/>
        <v>45953</v>
      </c>
      <c r="B204" vm="169">
        <f ca="1"/>
        <v>9.39</v>
      </c>
      <c r="C204">
        <f ca="1"/>
        <v>9.6563700370996308</v>
      </c>
      <c r="D204">
        <f t="shared" ca="1" si="3"/>
        <v>0.72180074521260618</v>
      </c>
    </row>
    <row r="205" spans="1:4" x14ac:dyDescent="0.25">
      <c r="A205" vm="455">
        <f ca="1"/>
        <v>45954</v>
      </c>
      <c r="B205" vm="207">
        <f ca="1"/>
        <v>9.6199999999999992</v>
      </c>
      <c r="C205">
        <f ca="1"/>
        <v>9.7305486331818969</v>
      </c>
      <c r="D205">
        <f t="shared" ca="1" si="3"/>
        <v>0.78276315568295407</v>
      </c>
    </row>
    <row r="206" spans="1:4" x14ac:dyDescent="0.25">
      <c r="A206" vm="462">
        <f ca="1"/>
        <v>45957</v>
      </c>
      <c r="B206" vm="1334">
        <f ca="1"/>
        <v>10.02</v>
      </c>
      <c r="C206">
        <f ca="1"/>
        <v>9.8952411544247578</v>
      </c>
      <c r="D206">
        <f t="shared" ca="1" si="3"/>
        <v>0.82187622323302989</v>
      </c>
    </row>
    <row r="207" spans="1:4" x14ac:dyDescent="0.25">
      <c r="A207" vm="467">
        <f ca="1"/>
        <v>45958</v>
      </c>
      <c r="B207" vm="1336">
        <f ca="1"/>
        <v>10.24</v>
      </c>
      <c r="C207">
        <f ca="1"/>
        <v>9.9346895107584992</v>
      </c>
      <c r="D207">
        <f t="shared" ca="1" si="3"/>
        <v>0.82011953557489325</v>
      </c>
    </row>
    <row r="208" spans="1:4" x14ac:dyDescent="0.25">
      <c r="A208" vm="474">
        <f ca="1"/>
        <v>45959</v>
      </c>
      <c r="B208" vm="289">
        <f ca="1"/>
        <v>11.04</v>
      </c>
      <c r="C208">
        <f ca="1"/>
        <v>9.9681995776879528</v>
      </c>
      <c r="D208">
        <f t="shared" ca="1" si="3"/>
        <v>0.8015552317050173</v>
      </c>
    </row>
    <row r="209" spans="1:4" x14ac:dyDescent="0.25">
      <c r="A209" vm="481">
        <f ca="1"/>
        <v>45960</v>
      </c>
      <c r="B209" vm="1680">
        <f ca="1"/>
        <v>10.41</v>
      </c>
      <c r="C209">
        <f ca="1"/>
        <v>9.995898864424694</v>
      </c>
      <c r="D209">
        <f t="shared" ca="1" si="3"/>
        <v>0.69829604640227816</v>
      </c>
    </row>
    <row r="210" spans="1:4" x14ac:dyDescent="0.25">
      <c r="A210" vm="487">
        <f ca="1"/>
        <v>45961</v>
      </c>
      <c r="B210" vm="1307">
        <f ca="1"/>
        <v>10.4</v>
      </c>
      <c r="C210">
        <f ca="1"/>
        <v>10.017615538980877</v>
      </c>
      <c r="D210">
        <f t="shared" ca="1" si="3"/>
        <v>0.64282783976656399</v>
      </c>
    </row>
    <row r="211" spans="1:4" x14ac:dyDescent="0.25">
      <c r="A211" vm="490">
        <f ca="1"/>
        <v>45964</v>
      </c>
      <c r="B211" vm="1741">
        <f ca="1"/>
        <v>10.14</v>
      </c>
      <c r="C211">
        <f ca="1"/>
        <v>9.9807984247581665</v>
      </c>
      <c r="D211">
        <f t="shared" ca="1" si="3"/>
        <v>0.57310006474482811</v>
      </c>
    </row>
    <row r="212" spans="1:4" x14ac:dyDescent="0.25">
      <c r="A212" vm="494">
        <f ca="1"/>
        <v>45965</v>
      </c>
      <c r="B212" vm="32">
        <f ca="1"/>
        <v>9.2799999999999994</v>
      </c>
      <c r="C212">
        <f ca="1"/>
        <v>9.9207745895719377</v>
      </c>
      <c r="D212">
        <f t="shared" ca="1" si="3"/>
        <v>0.51989497927339523</v>
      </c>
    </row>
    <row r="213" spans="1:4" x14ac:dyDescent="0.25">
      <c r="A213" vm="500">
        <f ca="1"/>
        <v>45966</v>
      </c>
      <c r="B213" vm="1292">
        <f ca="1"/>
        <v>9.83</v>
      </c>
      <c r="C213">
        <f ca="1"/>
        <v>9.8421233265676573</v>
      </c>
      <c r="D213">
        <f t="shared" ca="1" si="3"/>
        <v>0.51683602204588097</v>
      </c>
    </row>
    <row r="214" spans="1:4" x14ac:dyDescent="0.25">
      <c r="A214" vm="506">
        <f ca="1"/>
        <v>45967</v>
      </c>
      <c r="B214" vm="1742">
        <f ca="1"/>
        <v>9.9649999999999999</v>
      </c>
      <c r="C214">
        <f ca="1"/>
        <v>9.7518078437995666</v>
      </c>
      <c r="D214">
        <f t="shared" ca="1" si="3"/>
        <v>0.47886543544419419</v>
      </c>
    </row>
    <row r="215" spans="1:4" x14ac:dyDescent="0.25">
      <c r="A215" vm="510">
        <f ca="1"/>
        <v>45968</v>
      </c>
      <c r="B215" vm="56">
        <f ca="1"/>
        <v>9.65</v>
      </c>
      <c r="C215">
        <f ca="1"/>
        <v>9.6557473073131295</v>
      </c>
      <c r="D215">
        <f t="shared" ca="1" si="3"/>
        <v>0.41499675014580384</v>
      </c>
    </row>
    <row r="216" spans="1:4" x14ac:dyDescent="0.25">
      <c r="A216" vm="514">
        <f ca="1"/>
        <v>45971</v>
      </c>
      <c r="B216" vm="522">
        <f ca="1"/>
        <v>9.6999999999999993</v>
      </c>
      <c r="C216">
        <f ca="1"/>
        <v>9.3514465518108132</v>
      </c>
      <c r="D216">
        <f t="shared" ca="1" si="3"/>
        <v>0.38987607680281905</v>
      </c>
    </row>
    <row r="217" spans="1:4" x14ac:dyDescent="0.25">
      <c r="A217" vm="518">
        <f ca="1"/>
        <v>45972</v>
      </c>
      <c r="B217" vm="630">
        <f ca="1"/>
        <v>9.7899999999999991</v>
      </c>
      <c r="C217">
        <f ca="1"/>
        <v>9.2535320856815915</v>
      </c>
      <c r="D217">
        <f t="shared" ca="1" si="3"/>
        <v>0.34827288991242639</v>
      </c>
    </row>
    <row r="218" spans="1:4" x14ac:dyDescent="0.25">
      <c r="A218" vm="521">
        <f ca="1"/>
        <v>45973</v>
      </c>
      <c r="B218" vm="385">
        <f ca="1"/>
        <v>8.9700000000000006</v>
      </c>
      <c r="C218">
        <f ca="1"/>
        <v>9.1581058947894025</v>
      </c>
      <c r="D218">
        <f t="shared" ca="1" si="3"/>
        <v>0.26876761228199475</v>
      </c>
    </row>
    <row r="219" spans="1:4" x14ac:dyDescent="0.25">
      <c r="A219" vm="525">
        <f ca="1"/>
        <v>45974</v>
      </c>
      <c r="B219" vm="641">
        <f ca="1"/>
        <v>8.77</v>
      </c>
      <c r="C219">
        <f ca="1"/>
        <v>9.0736033844498358</v>
      </c>
      <c r="D219">
        <f t="shared" ca="1" si="3"/>
        <v>0.27295833015315712</v>
      </c>
    </row>
    <row r="220" spans="1:4" x14ac:dyDescent="0.25">
      <c r="A220" vm="528">
        <f ca="1"/>
        <v>45975</v>
      </c>
      <c r="B220" vm="265">
        <f ca="1"/>
        <v>8.8000000000000007</v>
      </c>
      <c r="C220">
        <f ca="1"/>
        <v>8.9992036576444541</v>
      </c>
      <c r="D220">
        <f t="shared" ca="1" si="3"/>
        <v>0.28190701037753552</v>
      </c>
    </row>
    <row r="221" spans="1:4" x14ac:dyDescent="0.25">
      <c r="A221" vm="533">
        <f ca="1"/>
        <v>45978</v>
      </c>
      <c r="B221" vm="589">
        <f ca="1"/>
        <v>8.58</v>
      </c>
      <c r="C221">
        <f ca="1"/>
        <v>8.8240049001072443</v>
      </c>
      <c r="D221">
        <f t="shared" ca="1" si="3"/>
        <v>0.29172189953218558</v>
      </c>
    </row>
    <row r="222" spans="1:4" x14ac:dyDescent="0.25">
      <c r="A222" vm="540">
        <f ca="1"/>
        <v>45979</v>
      </c>
      <c r="B222" vm="294">
        <f ca="1"/>
        <v>8.6649999999999991</v>
      </c>
      <c r="C222">
        <f ca="1"/>
        <v>8.7803779030909013</v>
      </c>
      <c r="D222">
        <f t="shared" ca="1" si="3"/>
        <v>0.29758482953475751</v>
      </c>
    </row>
    <row r="223" spans="1:4" x14ac:dyDescent="0.25">
      <c r="A223" vm="543">
        <f ca="1"/>
        <v>45980</v>
      </c>
      <c r="B223" vm="414">
        <f ca="1"/>
        <v>8.32</v>
      </c>
      <c r="C223">
        <f ca="1"/>
        <v>8.7481043990670901</v>
      </c>
      <c r="D223">
        <f t="shared" ca="1" si="3"/>
        <v>0.30755445629960149</v>
      </c>
    </row>
    <row r="224" spans="1:4" x14ac:dyDescent="0.25">
      <c r="A224" vm="548">
        <f ca="1"/>
        <v>45981</v>
      </c>
      <c r="B224" vm="251">
        <f ca="1"/>
        <v>8.2200000000000006</v>
      </c>
      <c r="C224">
        <f ca="1"/>
        <v>8.7273098919560148</v>
      </c>
      <c r="D224">
        <f t="shared" ca="1" si="3"/>
        <v>0.28423208613363604</v>
      </c>
    </row>
    <row r="225" spans="1:4" x14ac:dyDescent="0.25">
      <c r="A225" vm="553">
        <f ca="1"/>
        <v>45982</v>
      </c>
      <c r="B225" vm="450">
        <f ca="1"/>
        <v>8.39</v>
      </c>
      <c r="C225">
        <f ca="1"/>
        <v>8.7150247490436943</v>
      </c>
      <c r="D225">
        <f t="shared" ca="1" si="3"/>
        <v>0.21767365063741212</v>
      </c>
    </row>
    <row r="226" spans="1:4" x14ac:dyDescent="0.25">
      <c r="A226" vm="559">
        <f ca="1"/>
        <v>45985</v>
      </c>
      <c r="B226" vm="613">
        <f ca="1"/>
        <v>8.89</v>
      </c>
      <c r="C226">
        <f ca="1"/>
        <v>8.7511071748521232</v>
      </c>
      <c r="D226">
        <f t="shared" ca="1" si="3"/>
        <v>0.14750141242261611</v>
      </c>
    </row>
    <row r="227" spans="1:4" x14ac:dyDescent="0.25">
      <c r="A227" vm="562">
        <f ca="1"/>
        <v>45986</v>
      </c>
      <c r="B227" vm="390">
        <f ca="1"/>
        <v>8.94</v>
      </c>
      <c r="C227">
        <f ca="1"/>
        <v>8.7633295536305056</v>
      </c>
      <c r="D227">
        <f t="shared" ca="1" si="3"/>
        <v>0.15519700741673836</v>
      </c>
    </row>
    <row r="228" spans="1:4" x14ac:dyDescent="0.25">
      <c r="A228" vm="566">
        <f ca="1"/>
        <v>45987</v>
      </c>
      <c r="B228" vm="1315">
        <f ca="1"/>
        <v>8.91</v>
      </c>
      <c r="C228">
        <f ca="1"/>
        <v>8.7768900302854984</v>
      </c>
      <c r="D228">
        <f t="shared" ca="1" si="3"/>
        <v>0.1658743069745455</v>
      </c>
    </row>
    <row r="229" spans="1:4" x14ac:dyDescent="0.25">
      <c r="A229" vm="572">
        <f ca="1"/>
        <v>45989</v>
      </c>
      <c r="B229" vm="390">
        <f ca="1"/>
        <v>8.94</v>
      </c>
      <c r="C229">
        <f ca="1"/>
        <v>8.8078513400165974</v>
      </c>
      <c r="D229">
        <f t="shared" ca="1" si="3"/>
        <v>0.17831219278343849</v>
      </c>
    </row>
    <row r="230" spans="1:4" x14ac:dyDescent="0.25">
      <c r="A230" vm="574">
        <f ca="1"/>
        <v>45992</v>
      </c>
      <c r="B230" vm="385">
        <f ca="1"/>
        <v>8.9700000000000006</v>
      </c>
      <c r="C230">
        <f ca="1"/>
        <v>8.8610985363068213</v>
      </c>
      <c r="D230">
        <f t="shared" ca="1" si="3"/>
        <v>0.19518367418067198</v>
      </c>
    </row>
    <row r="231" spans="1:4" x14ac:dyDescent="0.25">
      <c r="A231" vm="579">
        <f ca="1"/>
        <v>45993</v>
      </c>
      <c r="B231" vm="641">
        <f ca="1"/>
        <v>8.77</v>
      </c>
      <c r="C231">
        <f ca="1"/>
        <v>8.8798851775617944</v>
      </c>
      <c r="D231">
        <f t="shared" ca="1" si="3"/>
        <v>0.21812840255225832</v>
      </c>
    </row>
    <row r="232" spans="1:4" x14ac:dyDescent="0.25">
      <c r="A232" vm="581">
        <f ca="1"/>
        <v>45994</v>
      </c>
      <c r="B232" vm="613">
        <f ca="1"/>
        <v>8.89</v>
      </c>
      <c r="C232">
        <f ca="1"/>
        <v>8.8989072510819867</v>
      </c>
      <c r="D232">
        <f t="shared" ca="1" si="3"/>
        <v>0.22141589825484537</v>
      </c>
    </row>
    <row r="233" spans="1:4" x14ac:dyDescent="0.25">
      <c r="A233" vm="585">
        <f ca="1"/>
        <v>45995</v>
      </c>
      <c r="B233" vm="1743">
        <f ca="1"/>
        <v>8.85</v>
      </c>
      <c r="C233">
        <f ca="1"/>
        <v>8.9180454353298106</v>
      </c>
      <c r="D233">
        <f t="shared" ca="1" si="3"/>
        <v>0.25514701644346172</v>
      </c>
    </row>
    <row r="234" spans="1:4" x14ac:dyDescent="0.25">
      <c r="A234" vm="590">
        <f ca="1"/>
        <v>45996</v>
      </c>
      <c r="B234" vm="390">
        <f ca="1"/>
        <v>8.94</v>
      </c>
      <c r="C234">
        <f ca="1"/>
        <v>8.9372138400568115</v>
      </c>
      <c r="D234">
        <f t="shared" ca="1" si="3"/>
        <v>0.27577164466275395</v>
      </c>
    </row>
    <row r="235" spans="1:4" x14ac:dyDescent="0.25">
      <c r="A235" vm="595">
        <f ca="1"/>
        <v>45999</v>
      </c>
      <c r="B235" vm="33">
        <f ca="1"/>
        <v>9.33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35"/>
  <sheetViews>
    <sheetView topLeftCell="A217" workbookViewId="0">
      <selection sqref="A1:B234"/>
    </sheetView>
  </sheetViews>
  <sheetFormatPr defaultRowHeight="15" x14ac:dyDescent="0.25"/>
  <cols>
    <col min="1" max="1" width="9.42578125" bestFit="1" customWidth="1"/>
    <col min="13" max="13" width="0.140625" customWidth="1"/>
    <col min="14" max="14" width="9.140625" hidden="1" customWidth="1"/>
  </cols>
  <sheetData>
    <row r="1" spans="1:2" x14ac:dyDescent="0.25">
      <c r="A1" t="str" cm="1">
        <f t="array" aca="1" ref="A1:B235" ca="1">_xlfn.STOCKHISTORY("IBRX", DATE(YEAR(TODAY()),1,1), TODAY())</f>
        <v>Date</v>
      </c>
      <c r="B1" t="str">
        <f ca="1"/>
        <v>Close</v>
      </c>
    </row>
    <row r="2" spans="1:2" x14ac:dyDescent="0.25">
      <c r="A2" vm="5">
        <f ca="1"/>
        <v>45659</v>
      </c>
      <c r="B2" vm="1744">
        <f ca="1"/>
        <v>2.57</v>
      </c>
    </row>
    <row r="3" spans="1:2" x14ac:dyDescent="0.25">
      <c r="A3" vm="13">
        <f ca="1"/>
        <v>45660</v>
      </c>
      <c r="B3" vm="1152">
        <f ca="1"/>
        <v>2.81</v>
      </c>
    </row>
    <row r="4" spans="1:2" x14ac:dyDescent="0.25">
      <c r="A4" vm="21">
        <f ca="1"/>
        <v>45663</v>
      </c>
      <c r="B4" vm="1143">
        <f ca="1"/>
        <v>2.76</v>
      </c>
    </row>
    <row r="5" spans="1:2" x14ac:dyDescent="0.25">
      <c r="A5" vm="29">
        <f ca="1"/>
        <v>45664</v>
      </c>
      <c r="B5" vm="1444">
        <f ca="1"/>
        <v>2.73</v>
      </c>
    </row>
    <row r="6" spans="1:2" x14ac:dyDescent="0.25">
      <c r="A6" vm="35">
        <f ca="1"/>
        <v>45665</v>
      </c>
      <c r="B6" vm="1745">
        <f ca="1"/>
        <v>2.56</v>
      </c>
    </row>
    <row r="7" spans="1:2" x14ac:dyDescent="0.25">
      <c r="A7" vm="43">
        <f ca="1"/>
        <v>45667</v>
      </c>
      <c r="B7" vm="1746">
        <f ca="1"/>
        <v>2.42</v>
      </c>
    </row>
    <row r="8" spans="1:2" x14ac:dyDescent="0.25">
      <c r="A8" vm="51">
        <f ca="1"/>
        <v>45670</v>
      </c>
      <c r="B8" vm="1144">
        <f ca="1"/>
        <v>2.48</v>
      </c>
    </row>
    <row r="9" spans="1:2" x14ac:dyDescent="0.25">
      <c r="A9" vm="58">
        <f ca="1"/>
        <v>45671</v>
      </c>
      <c r="B9" vm="1747">
        <f ca="1"/>
        <v>2.3199999999999998</v>
      </c>
    </row>
    <row r="10" spans="1:2" x14ac:dyDescent="0.25">
      <c r="A10" vm="66">
        <f ca="1"/>
        <v>45672</v>
      </c>
      <c r="B10" vm="1748">
        <f ca="1"/>
        <v>2.39</v>
      </c>
    </row>
    <row r="11" spans="1:2" x14ac:dyDescent="0.25">
      <c r="A11" vm="74">
        <f ca="1"/>
        <v>45673</v>
      </c>
      <c r="B11" vm="1105">
        <f ca="1"/>
        <v>3.04</v>
      </c>
    </row>
    <row r="12" spans="1:2" x14ac:dyDescent="0.25">
      <c r="A12" vm="81">
        <f ca="1"/>
        <v>45674</v>
      </c>
      <c r="B12" vm="1113">
        <f ca="1"/>
        <v>2.94</v>
      </c>
    </row>
    <row r="13" spans="1:2" x14ac:dyDescent="0.25">
      <c r="A13" vm="88">
        <f ca="1"/>
        <v>45678</v>
      </c>
      <c r="B13" vm="1075">
        <f ca="1"/>
        <v>3.22</v>
      </c>
    </row>
    <row r="14" spans="1:2" x14ac:dyDescent="0.25">
      <c r="A14" vm="96">
        <f ca="1"/>
        <v>45679</v>
      </c>
      <c r="B14" vm="1075">
        <f ca="1"/>
        <v>3.22</v>
      </c>
    </row>
    <row r="15" spans="1:2" x14ac:dyDescent="0.25">
      <c r="A15" vm="104">
        <f ca="1"/>
        <v>45680</v>
      </c>
      <c r="B15" vm="1101">
        <f ca="1"/>
        <v>3.12</v>
      </c>
    </row>
    <row r="16" spans="1:2" x14ac:dyDescent="0.25">
      <c r="A16" vm="111">
        <f ca="1"/>
        <v>45681</v>
      </c>
      <c r="B16" vm="1096">
        <f ca="1"/>
        <v>3.17</v>
      </c>
    </row>
    <row r="17" spans="1:2" x14ac:dyDescent="0.25">
      <c r="A17" vm="118">
        <f ca="1"/>
        <v>45684</v>
      </c>
      <c r="B17" vm="1090">
        <f ca="1"/>
        <v>3.13</v>
      </c>
    </row>
    <row r="18" spans="1:2" x14ac:dyDescent="0.25">
      <c r="A18" vm="124">
        <f ca="1"/>
        <v>45685</v>
      </c>
      <c r="B18" vm="1087">
        <f ca="1"/>
        <v>3.08</v>
      </c>
    </row>
    <row r="19" spans="1:2" x14ac:dyDescent="0.25">
      <c r="A19" vm="131">
        <f ca="1"/>
        <v>45686</v>
      </c>
      <c r="B19" vm="1100">
        <f ca="1"/>
        <v>3.16</v>
      </c>
    </row>
    <row r="20" spans="1:2" x14ac:dyDescent="0.25">
      <c r="A20" vm="138">
        <f ca="1"/>
        <v>45687</v>
      </c>
      <c r="B20" vm="1061">
        <f ca="1"/>
        <v>3.47</v>
      </c>
    </row>
    <row r="21" spans="1:2" x14ac:dyDescent="0.25">
      <c r="A21" vm="143">
        <f ca="1"/>
        <v>45688</v>
      </c>
      <c r="B21" vm="1123">
        <f ca="1"/>
        <v>3.45</v>
      </c>
    </row>
    <row r="22" spans="1:2" x14ac:dyDescent="0.25">
      <c r="A22" vm="150">
        <f ca="1"/>
        <v>45691</v>
      </c>
      <c r="B22" vm="1076">
        <f ca="1"/>
        <v>3.2</v>
      </c>
    </row>
    <row r="23" spans="1:2" x14ac:dyDescent="0.25">
      <c r="A23" vm="158">
        <f ca="1"/>
        <v>45692</v>
      </c>
      <c r="B23" vm="1066">
        <f ca="1"/>
        <v>3.19</v>
      </c>
    </row>
    <row r="24" spans="1:2" x14ac:dyDescent="0.25">
      <c r="A24" vm="165">
        <f ca="1"/>
        <v>45693</v>
      </c>
      <c r="B24" vm="1066">
        <f ca="1"/>
        <v>3.19</v>
      </c>
    </row>
    <row r="25" spans="1:2" x14ac:dyDescent="0.25">
      <c r="A25" vm="170">
        <f ca="1"/>
        <v>45694</v>
      </c>
      <c r="B25" vm="1067">
        <f ca="1"/>
        <v>3.31</v>
      </c>
    </row>
    <row r="26" spans="1:2" x14ac:dyDescent="0.25">
      <c r="A26" vm="177">
        <f ca="1"/>
        <v>45695</v>
      </c>
      <c r="B26" vm="1102">
        <f ca="1"/>
        <v>3.36</v>
      </c>
    </row>
    <row r="27" spans="1:2" x14ac:dyDescent="0.25">
      <c r="A27" vm="183">
        <f ca="1"/>
        <v>45698</v>
      </c>
      <c r="B27" vm="1129">
        <f ca="1"/>
        <v>3.39</v>
      </c>
    </row>
    <row r="28" spans="1:2" x14ac:dyDescent="0.25">
      <c r="A28" vm="190">
        <f ca="1"/>
        <v>45699</v>
      </c>
      <c r="B28" vm="1096">
        <f ca="1"/>
        <v>3.17</v>
      </c>
    </row>
    <row r="29" spans="1:2" x14ac:dyDescent="0.25">
      <c r="A29" vm="195">
        <f ca="1"/>
        <v>45700</v>
      </c>
      <c r="B29" vm="1065">
        <f ca="1"/>
        <v>3.24</v>
      </c>
    </row>
    <row r="30" spans="1:2" x14ac:dyDescent="0.25">
      <c r="A30" vm="202">
        <f ca="1"/>
        <v>45701</v>
      </c>
      <c r="B30" vm="1058">
        <f ca="1"/>
        <v>3.32</v>
      </c>
    </row>
    <row r="31" spans="1:2" x14ac:dyDescent="0.25">
      <c r="A31" vm="208">
        <f ca="1"/>
        <v>45702</v>
      </c>
      <c r="B31" vm="1749">
        <f ca="1"/>
        <v>3.62</v>
      </c>
    </row>
    <row r="32" spans="1:2" x14ac:dyDescent="0.25">
      <c r="A32" vm="212">
        <f ca="1"/>
        <v>45706</v>
      </c>
      <c r="B32" vm="1073">
        <f ca="1"/>
        <v>3.35</v>
      </c>
    </row>
    <row r="33" spans="1:2" x14ac:dyDescent="0.25">
      <c r="A33" vm="219">
        <f ca="1"/>
        <v>45707</v>
      </c>
      <c r="B33" vm="934">
        <f ca="1"/>
        <v>3.9</v>
      </c>
    </row>
    <row r="34" spans="1:2" x14ac:dyDescent="0.25">
      <c r="A34" vm="225">
        <f ca="1"/>
        <v>45708</v>
      </c>
      <c r="B34" vm="1186">
        <f ca="1"/>
        <v>3.64</v>
      </c>
    </row>
    <row r="35" spans="1:2" x14ac:dyDescent="0.25">
      <c r="A35" vm="231">
        <f ca="1"/>
        <v>45709</v>
      </c>
      <c r="B35" vm="1128">
        <f ca="1"/>
        <v>3.42</v>
      </c>
    </row>
    <row r="36" spans="1:2" x14ac:dyDescent="0.25">
      <c r="A36" vm="238">
        <f ca="1"/>
        <v>45712</v>
      </c>
      <c r="B36" vm="1075">
        <f ca="1"/>
        <v>3.22</v>
      </c>
    </row>
    <row r="37" spans="1:2" x14ac:dyDescent="0.25">
      <c r="A37" vm="246">
        <f ca="1"/>
        <v>45713</v>
      </c>
      <c r="B37" vm="1111">
        <f ca="1"/>
        <v>3.03</v>
      </c>
    </row>
    <row r="38" spans="1:2" x14ac:dyDescent="0.25">
      <c r="A38" vm="253">
        <f ca="1"/>
        <v>45714</v>
      </c>
      <c r="B38" vm="1080">
        <f ca="1"/>
        <v>3</v>
      </c>
    </row>
    <row r="39" spans="1:2" x14ac:dyDescent="0.25">
      <c r="A39" vm="260">
        <f ca="1"/>
        <v>45715</v>
      </c>
      <c r="B39" vm="1750">
        <f ca="1"/>
        <v>2.86</v>
      </c>
    </row>
    <row r="40" spans="1:2" x14ac:dyDescent="0.25">
      <c r="A40" vm="267">
        <f ca="1"/>
        <v>45716</v>
      </c>
      <c r="B40" vm="1056">
        <f ca="1"/>
        <v>3.29</v>
      </c>
    </row>
    <row r="41" spans="1:2" x14ac:dyDescent="0.25">
      <c r="A41" vm="275">
        <f ca="1"/>
        <v>45719</v>
      </c>
      <c r="B41" vm="1135">
        <f ca="1"/>
        <v>2.85</v>
      </c>
    </row>
    <row r="42" spans="1:2" x14ac:dyDescent="0.25">
      <c r="A42" vm="281">
        <f ca="1"/>
        <v>45720</v>
      </c>
      <c r="B42" vm="1083">
        <f ca="1"/>
        <v>3.02</v>
      </c>
    </row>
    <row r="43" spans="1:2" x14ac:dyDescent="0.25">
      <c r="A43" vm="288">
        <f ca="1"/>
        <v>45721</v>
      </c>
      <c r="B43" vm="1085">
        <f ca="1"/>
        <v>3.06</v>
      </c>
    </row>
    <row r="44" spans="1:2" x14ac:dyDescent="0.25">
      <c r="A44" vm="295">
        <f ca="1"/>
        <v>45722</v>
      </c>
      <c r="B44" vm="1106">
        <f ca="1"/>
        <v>2.99</v>
      </c>
    </row>
    <row r="45" spans="1:2" x14ac:dyDescent="0.25">
      <c r="A45" vm="300">
        <f ca="1"/>
        <v>45723</v>
      </c>
      <c r="B45" vm="1080">
        <f ca="1"/>
        <v>3</v>
      </c>
    </row>
    <row r="46" spans="1:2" x14ac:dyDescent="0.25">
      <c r="A46" vm="306">
        <f ca="1"/>
        <v>45726</v>
      </c>
      <c r="B46" vm="1115">
        <f ca="1"/>
        <v>2.91</v>
      </c>
    </row>
    <row r="47" spans="1:2" x14ac:dyDescent="0.25">
      <c r="A47" vm="314">
        <f ca="1"/>
        <v>45727</v>
      </c>
      <c r="B47" vm="1751">
        <f ca="1"/>
        <v>2.82</v>
      </c>
    </row>
    <row r="48" spans="1:2" x14ac:dyDescent="0.25">
      <c r="A48" vm="319">
        <f ca="1"/>
        <v>45728</v>
      </c>
      <c r="B48" vm="1084">
        <f ca="1"/>
        <v>2.87</v>
      </c>
    </row>
    <row r="49" spans="1:2" x14ac:dyDescent="0.25">
      <c r="A49" vm="326">
        <f ca="1"/>
        <v>45729</v>
      </c>
      <c r="B49" vm="1153">
        <f ca="1"/>
        <v>2.9</v>
      </c>
    </row>
    <row r="50" spans="1:2" x14ac:dyDescent="0.25">
      <c r="A50" vm="330">
        <f ca="1"/>
        <v>45730</v>
      </c>
      <c r="B50" vm="1084">
        <f ca="1"/>
        <v>2.87</v>
      </c>
    </row>
    <row r="51" spans="1:2" x14ac:dyDescent="0.25">
      <c r="A51" vm="337">
        <f ca="1"/>
        <v>45733</v>
      </c>
      <c r="B51" vm="1115">
        <f ca="1"/>
        <v>2.91</v>
      </c>
    </row>
    <row r="52" spans="1:2" x14ac:dyDescent="0.25">
      <c r="A52" vm="342">
        <f ca="1"/>
        <v>45734</v>
      </c>
      <c r="B52" vm="1152">
        <f ca="1"/>
        <v>2.81</v>
      </c>
    </row>
    <row r="53" spans="1:2" x14ac:dyDescent="0.25">
      <c r="A53" vm="348">
        <f ca="1"/>
        <v>45735</v>
      </c>
      <c r="B53" vm="1143">
        <f ca="1"/>
        <v>2.76</v>
      </c>
    </row>
    <row r="54" spans="1:2" x14ac:dyDescent="0.25">
      <c r="A54" vm="353">
        <f ca="1"/>
        <v>45736</v>
      </c>
      <c r="B54" vm="1155">
        <f ca="1"/>
        <v>2.75</v>
      </c>
    </row>
    <row r="55" spans="1:2" x14ac:dyDescent="0.25">
      <c r="A55" vm="360">
        <f ca="1"/>
        <v>45737</v>
      </c>
      <c r="B55" vm="1752">
        <f ca="1"/>
        <v>2.71</v>
      </c>
    </row>
    <row r="56" spans="1:2" x14ac:dyDescent="0.25">
      <c r="A56" vm="366">
        <f ca="1"/>
        <v>45740</v>
      </c>
      <c r="B56" vm="1135">
        <f ca="1"/>
        <v>2.85</v>
      </c>
    </row>
    <row r="57" spans="1:2" x14ac:dyDescent="0.25">
      <c r="A57" vm="374">
        <f ca="1"/>
        <v>45741</v>
      </c>
      <c r="B57" vm="1753">
        <f ca="1"/>
        <v>2.74</v>
      </c>
    </row>
    <row r="58" spans="1:2" x14ac:dyDescent="0.25">
      <c r="A58" vm="381">
        <f ca="1"/>
        <v>45742</v>
      </c>
      <c r="B58" vm="1754">
        <f ca="1"/>
        <v>2.78</v>
      </c>
    </row>
    <row r="59" spans="1:2" x14ac:dyDescent="0.25">
      <c r="A59" vm="386">
        <f ca="1"/>
        <v>45743</v>
      </c>
      <c r="B59" vm="1102">
        <f ca="1"/>
        <v>3.36</v>
      </c>
    </row>
    <row r="60" spans="1:2" x14ac:dyDescent="0.25">
      <c r="A60" vm="391">
        <f ca="1"/>
        <v>45744</v>
      </c>
      <c r="B60" vm="1098">
        <f ca="1"/>
        <v>3.14</v>
      </c>
    </row>
    <row r="61" spans="1:2" x14ac:dyDescent="0.25">
      <c r="A61" vm="398">
        <f ca="1"/>
        <v>45747</v>
      </c>
      <c r="B61" vm="1082">
        <f ca="1"/>
        <v>3.01</v>
      </c>
    </row>
    <row r="62" spans="1:2" x14ac:dyDescent="0.25">
      <c r="A62" vm="404">
        <f ca="1"/>
        <v>45748</v>
      </c>
      <c r="B62" vm="1755">
        <f ca="1"/>
        <v>2.96</v>
      </c>
    </row>
    <row r="63" spans="1:2" x14ac:dyDescent="0.25">
      <c r="A63" vm="410">
        <f ca="1"/>
        <v>45749</v>
      </c>
      <c r="B63" vm="1156">
        <f ca="1"/>
        <v>3.05</v>
      </c>
    </row>
    <row r="64" spans="1:2" x14ac:dyDescent="0.25">
      <c r="A64" vm="415">
        <f ca="1"/>
        <v>45750</v>
      </c>
      <c r="B64" vm="1109">
        <f ca="1"/>
        <v>2.97</v>
      </c>
    </row>
    <row r="65" spans="1:2" x14ac:dyDescent="0.25">
      <c r="A65" vm="418">
        <f ca="1"/>
        <v>45751</v>
      </c>
      <c r="B65" vm="1756">
        <f ca="1"/>
        <v>2.83</v>
      </c>
    </row>
    <row r="66" spans="1:2" x14ac:dyDescent="0.25">
      <c r="A66" vm="426">
        <f ca="1"/>
        <v>45754</v>
      </c>
      <c r="B66" vm="1757">
        <f ca="1"/>
        <v>2.72</v>
      </c>
    </row>
    <row r="67" spans="1:2" x14ac:dyDescent="0.25">
      <c r="A67" vm="432">
        <f ca="1"/>
        <v>45755</v>
      </c>
      <c r="B67" vm="1746">
        <f ca="1"/>
        <v>2.42</v>
      </c>
    </row>
    <row r="68" spans="1:2" x14ac:dyDescent="0.25">
      <c r="A68" vm="439">
        <f ca="1"/>
        <v>45756</v>
      </c>
      <c r="B68" vm="1154">
        <f ca="1"/>
        <v>2.6</v>
      </c>
    </row>
    <row r="69" spans="1:2" x14ac:dyDescent="0.25">
      <c r="A69" vm="444">
        <f ca="1"/>
        <v>45757</v>
      </c>
      <c r="B69" vm="1346">
        <f ca="1"/>
        <v>2.46</v>
      </c>
    </row>
    <row r="70" spans="1:2" x14ac:dyDescent="0.25">
      <c r="A70" vm="451">
        <f ca="1"/>
        <v>45758</v>
      </c>
      <c r="B70" vm="1437">
        <f ca="1"/>
        <v>2.63</v>
      </c>
    </row>
    <row r="71" spans="1:2" x14ac:dyDescent="0.25">
      <c r="A71" vm="458">
        <f ca="1"/>
        <v>45761</v>
      </c>
      <c r="B71" vm="1157">
        <f ca="1"/>
        <v>2.89</v>
      </c>
    </row>
    <row r="72" spans="1:2" x14ac:dyDescent="0.25">
      <c r="A72" vm="463">
        <f ca="1"/>
        <v>45762</v>
      </c>
      <c r="B72" vm="1754">
        <f ca="1"/>
        <v>2.78</v>
      </c>
    </row>
    <row r="73" spans="1:2" x14ac:dyDescent="0.25">
      <c r="A73" vm="470">
        <f ca="1"/>
        <v>45763</v>
      </c>
      <c r="B73" vm="1144">
        <f ca="1"/>
        <v>2.48</v>
      </c>
    </row>
    <row r="74" spans="1:2" x14ac:dyDescent="0.25">
      <c r="A74" vm="478">
        <f ca="1"/>
        <v>45764</v>
      </c>
      <c r="B74" vm="1151">
        <f ca="1"/>
        <v>2.4700000000000002</v>
      </c>
    </row>
    <row r="75" spans="1:2" x14ac:dyDescent="0.25">
      <c r="A75" vm="484">
        <f ca="1"/>
        <v>45768</v>
      </c>
      <c r="B75" vm="1148">
        <f ca="1"/>
        <v>2.5099999999999998</v>
      </c>
    </row>
    <row r="76" spans="1:2" x14ac:dyDescent="0.25">
      <c r="A76" vm="488">
        <f ca="1"/>
        <v>45769</v>
      </c>
      <c r="B76" vm="1440">
        <f ca="1"/>
        <v>2.69</v>
      </c>
    </row>
    <row r="77" spans="1:2" x14ac:dyDescent="0.25">
      <c r="A77" vm="491">
        <f ca="1"/>
        <v>45770</v>
      </c>
      <c r="B77" vm="1440">
        <f ca="1"/>
        <v>2.69</v>
      </c>
    </row>
    <row r="78" spans="1:2" x14ac:dyDescent="0.25">
      <c r="A78" vm="497">
        <f ca="1"/>
        <v>45771</v>
      </c>
      <c r="B78" vm="1440">
        <f ca="1"/>
        <v>2.69</v>
      </c>
    </row>
    <row r="79" spans="1:2" x14ac:dyDescent="0.25">
      <c r="A79" vm="503">
        <f ca="1"/>
        <v>45772</v>
      </c>
      <c r="B79" vm="1139">
        <f ca="1"/>
        <v>2.61</v>
      </c>
    </row>
    <row r="80" spans="1:2" x14ac:dyDescent="0.25">
      <c r="A80" vm="508">
        <f ca="1"/>
        <v>45775</v>
      </c>
      <c r="B80" vm="1437">
        <f ca="1"/>
        <v>2.63</v>
      </c>
    </row>
    <row r="81" spans="1:2" x14ac:dyDescent="0.25">
      <c r="A81" vm="512">
        <f ca="1"/>
        <v>45776</v>
      </c>
      <c r="B81" vm="1758">
        <f ca="1"/>
        <v>2.4900000000000002</v>
      </c>
    </row>
    <row r="82" spans="1:2" x14ac:dyDescent="0.25">
      <c r="A82" vm="516">
        <f ca="1"/>
        <v>45777</v>
      </c>
      <c r="B82" vm="1148">
        <f ca="1"/>
        <v>2.5099999999999998</v>
      </c>
    </row>
    <row r="83" spans="1:2" x14ac:dyDescent="0.25">
      <c r="A83" vm="520">
        <f ca="1"/>
        <v>45778</v>
      </c>
      <c r="B83" vm="1758">
        <f ca="1"/>
        <v>2.4900000000000002</v>
      </c>
    </row>
    <row r="84" spans="1:2" x14ac:dyDescent="0.25">
      <c r="A84" vm="523">
        <f ca="1"/>
        <v>45779</v>
      </c>
      <c r="B84" vm="1149">
        <f ca="1"/>
        <v>2.54</v>
      </c>
    </row>
    <row r="85" spans="1:2" x14ac:dyDescent="0.25">
      <c r="A85" vm="526">
        <f ca="1"/>
        <v>45782</v>
      </c>
      <c r="B85" vm="1457">
        <f ca="1"/>
        <v>2.1</v>
      </c>
    </row>
    <row r="86" spans="1:2" x14ac:dyDescent="0.25">
      <c r="A86" vm="530">
        <f ca="1"/>
        <v>45783</v>
      </c>
      <c r="B86" vm="1452">
        <f ca="1"/>
        <v>2.0099999999999998</v>
      </c>
    </row>
    <row r="87" spans="1:2" x14ac:dyDescent="0.25">
      <c r="A87" vm="537">
        <f ca="1"/>
        <v>45784</v>
      </c>
      <c r="B87" vm="1759">
        <f ca="1"/>
        <v>1.89</v>
      </c>
    </row>
    <row r="88" spans="1:2" x14ac:dyDescent="0.25">
      <c r="A88" vm="541">
        <f ca="1"/>
        <v>45785</v>
      </c>
      <c r="B88" vm="1341">
        <f ca="1"/>
        <v>2.09</v>
      </c>
    </row>
    <row r="89" spans="1:2" x14ac:dyDescent="0.25">
      <c r="A89" vm="546">
        <f ca="1"/>
        <v>45786</v>
      </c>
      <c r="B89" vm="1342">
        <f ca="1"/>
        <v>2.0699999999999998</v>
      </c>
    </row>
    <row r="90" spans="1:2" x14ac:dyDescent="0.25">
      <c r="A90" vm="550">
        <f ca="1"/>
        <v>45789</v>
      </c>
      <c r="B90" vm="1760">
        <f ca="1"/>
        <v>2.36</v>
      </c>
    </row>
    <row r="91" spans="1:2" x14ac:dyDescent="0.25">
      <c r="A91" vm="556">
        <f ca="1"/>
        <v>45790</v>
      </c>
      <c r="B91" vm="1148">
        <f ca="1"/>
        <v>2.5099999999999998</v>
      </c>
    </row>
    <row r="92" spans="1:2" x14ac:dyDescent="0.25">
      <c r="A92" vm="560">
        <f ca="1"/>
        <v>45791</v>
      </c>
      <c r="B92" vm="1758">
        <f ca="1"/>
        <v>2.4900000000000002</v>
      </c>
    </row>
    <row r="93" spans="1:2" x14ac:dyDescent="0.25">
      <c r="A93" vm="564">
        <f ca="1"/>
        <v>45792</v>
      </c>
      <c r="B93" vm="1646">
        <f ca="1"/>
        <v>2.67</v>
      </c>
    </row>
    <row r="94" spans="1:2" x14ac:dyDescent="0.25">
      <c r="A94" vm="569">
        <f ca="1"/>
        <v>45793</v>
      </c>
      <c r="B94" vm="1136">
        <f ca="1"/>
        <v>2.84</v>
      </c>
    </row>
    <row r="95" spans="1:2" x14ac:dyDescent="0.25">
      <c r="A95" vm="573">
        <f ca="1"/>
        <v>45796</v>
      </c>
      <c r="B95" vm="1133">
        <f ca="1"/>
        <v>2.8</v>
      </c>
    </row>
    <row r="96" spans="1:2" x14ac:dyDescent="0.25">
      <c r="A96" vm="577">
        <f ca="1"/>
        <v>45797</v>
      </c>
      <c r="B96" vm="1153">
        <f ca="1"/>
        <v>2.9</v>
      </c>
    </row>
    <row r="97" spans="1:2" x14ac:dyDescent="0.25">
      <c r="A97" vm="580">
        <f ca="1"/>
        <v>45798</v>
      </c>
      <c r="B97" vm="1441">
        <f ca="1"/>
        <v>2.65</v>
      </c>
    </row>
    <row r="98" spans="1:2" x14ac:dyDescent="0.25">
      <c r="A98" vm="583">
        <f ca="1"/>
        <v>45799</v>
      </c>
      <c r="B98" vm="1761">
        <f ca="1"/>
        <v>2.68</v>
      </c>
    </row>
    <row r="99" spans="1:2" x14ac:dyDescent="0.25">
      <c r="A99" vm="588">
        <f ca="1"/>
        <v>45800</v>
      </c>
      <c r="B99" vm="1762">
        <f ca="1"/>
        <v>2.5299999999999998</v>
      </c>
    </row>
    <row r="100" spans="1:2" x14ac:dyDescent="0.25">
      <c r="A100" vm="593">
        <f ca="1"/>
        <v>45804</v>
      </c>
      <c r="B100" vm="1762">
        <f ca="1"/>
        <v>2.5299999999999998</v>
      </c>
    </row>
    <row r="101" spans="1:2" x14ac:dyDescent="0.25">
      <c r="A101" vm="598">
        <f ca="1"/>
        <v>45805</v>
      </c>
      <c r="B101" vm="1346">
        <f ca="1"/>
        <v>2.46</v>
      </c>
    </row>
    <row r="102" spans="1:2" x14ac:dyDescent="0.25">
      <c r="A102" vm="601">
        <f ca="1"/>
        <v>45806</v>
      </c>
      <c r="B102" vm="1154">
        <f ca="1"/>
        <v>2.6</v>
      </c>
    </row>
    <row r="103" spans="1:2" x14ac:dyDescent="0.25">
      <c r="A103" vm="604">
        <f ca="1"/>
        <v>45807</v>
      </c>
      <c r="B103" vm="1647">
        <f ca="1"/>
        <v>2.66</v>
      </c>
    </row>
    <row r="104" spans="1:2" x14ac:dyDescent="0.25">
      <c r="A104" vm="606">
        <f ca="1"/>
        <v>45810</v>
      </c>
      <c r="B104" vm="1646">
        <f ca="1"/>
        <v>2.67</v>
      </c>
    </row>
    <row r="105" spans="1:2" x14ac:dyDescent="0.25">
      <c r="A105" vm="608">
        <f ca="1"/>
        <v>45811</v>
      </c>
      <c r="B105" vm="1752">
        <f ca="1"/>
        <v>2.71</v>
      </c>
    </row>
    <row r="106" spans="1:2" x14ac:dyDescent="0.25">
      <c r="A106" vm="610">
        <f ca="1"/>
        <v>45812</v>
      </c>
      <c r="B106" vm="1763">
        <f ca="1"/>
        <v>2.93</v>
      </c>
    </row>
    <row r="107" spans="1:2" x14ac:dyDescent="0.25">
      <c r="A107" vm="612">
        <f ca="1"/>
        <v>45813</v>
      </c>
      <c r="B107" vm="1153">
        <f ca="1"/>
        <v>2.9</v>
      </c>
    </row>
    <row r="108" spans="1:2" x14ac:dyDescent="0.25">
      <c r="A108" vm="615">
        <f ca="1"/>
        <v>45814</v>
      </c>
      <c r="B108" vm="1077">
        <f ca="1"/>
        <v>3.15</v>
      </c>
    </row>
    <row r="109" spans="1:2" x14ac:dyDescent="0.25">
      <c r="A109" vm="617">
        <f ca="1"/>
        <v>45817</v>
      </c>
      <c r="B109" vm="1650">
        <f ca="1"/>
        <v>3.44</v>
      </c>
    </row>
    <row r="110" spans="1:2" x14ac:dyDescent="0.25">
      <c r="A110" vm="619">
        <f ca="1"/>
        <v>45818</v>
      </c>
      <c r="B110" vm="1051">
        <f ca="1"/>
        <v>3.34</v>
      </c>
    </row>
    <row r="111" spans="1:2" x14ac:dyDescent="0.25">
      <c r="A111" vm="620">
        <f ca="1"/>
        <v>45819</v>
      </c>
      <c r="B111" vm="1065">
        <f ca="1"/>
        <v>3.24</v>
      </c>
    </row>
    <row r="112" spans="1:2" x14ac:dyDescent="0.25">
      <c r="A112" vm="622">
        <f ca="1"/>
        <v>45820</v>
      </c>
      <c r="B112" vm="1066">
        <f ca="1"/>
        <v>3.19</v>
      </c>
    </row>
    <row r="113" spans="1:2" x14ac:dyDescent="0.25">
      <c r="A113" vm="626">
        <f ca="1"/>
        <v>45821</v>
      </c>
      <c r="B113" vm="1093">
        <f ca="1"/>
        <v>3.07</v>
      </c>
    </row>
    <row r="114" spans="1:2" x14ac:dyDescent="0.25">
      <c r="A114" vm="629">
        <f ca="1"/>
        <v>45824</v>
      </c>
      <c r="B114" vm="1090">
        <f ca="1"/>
        <v>3.13</v>
      </c>
    </row>
    <row r="115" spans="1:2" x14ac:dyDescent="0.25">
      <c r="A115" vm="632">
        <f ca="1"/>
        <v>45825</v>
      </c>
      <c r="B115" vm="1136">
        <f ca="1"/>
        <v>2.84</v>
      </c>
    </row>
    <row r="116" spans="1:2" x14ac:dyDescent="0.25">
      <c r="A116" vm="634">
        <f ca="1"/>
        <v>45826</v>
      </c>
      <c r="B116" vm="1136">
        <f ca="1"/>
        <v>2.84</v>
      </c>
    </row>
    <row r="117" spans="1:2" x14ac:dyDescent="0.25">
      <c r="A117" vm="636">
        <f ca="1"/>
        <v>45828</v>
      </c>
      <c r="B117" vm="1084">
        <f ca="1"/>
        <v>2.87</v>
      </c>
    </row>
    <row r="118" spans="1:2" x14ac:dyDescent="0.25">
      <c r="A118" vm="638">
        <f ca="1"/>
        <v>45831</v>
      </c>
      <c r="B118" vm="1143">
        <f ca="1"/>
        <v>2.76</v>
      </c>
    </row>
    <row r="119" spans="1:2" x14ac:dyDescent="0.25">
      <c r="A119" vm="640">
        <f ca="1"/>
        <v>45832</v>
      </c>
      <c r="B119" vm="1438">
        <f ca="1"/>
        <v>2.79</v>
      </c>
    </row>
    <row r="120" spans="1:2" x14ac:dyDescent="0.25">
      <c r="A120" vm="643">
        <f ca="1"/>
        <v>45833</v>
      </c>
      <c r="B120" vm="1143">
        <f ca="1"/>
        <v>2.76</v>
      </c>
    </row>
    <row r="121" spans="1:2" x14ac:dyDescent="0.25">
      <c r="A121" vm="644">
        <f ca="1"/>
        <v>45834</v>
      </c>
      <c r="B121" vm="1438">
        <f ca="1"/>
        <v>2.79</v>
      </c>
    </row>
    <row r="122" spans="1:2" x14ac:dyDescent="0.25">
      <c r="A122" vm="645">
        <f ca="1"/>
        <v>45835</v>
      </c>
      <c r="B122" vm="1416">
        <f ca="1"/>
        <v>2.7</v>
      </c>
    </row>
    <row r="123" spans="1:2" x14ac:dyDescent="0.25">
      <c r="A123" vm="646">
        <f ca="1"/>
        <v>45838</v>
      </c>
      <c r="B123" vm="1764">
        <f ca="1"/>
        <v>2.64</v>
      </c>
    </row>
    <row r="124" spans="1:2" x14ac:dyDescent="0.25">
      <c r="A124" vm="648">
        <f ca="1"/>
        <v>45839</v>
      </c>
      <c r="B124" vm="1744">
        <f ca="1"/>
        <v>2.57</v>
      </c>
    </row>
    <row r="125" spans="1:2" x14ac:dyDescent="0.25">
      <c r="A125" vm="649">
        <f ca="1"/>
        <v>45840</v>
      </c>
      <c r="B125" vm="1764">
        <f ca="1"/>
        <v>2.64</v>
      </c>
    </row>
    <row r="126" spans="1:2" x14ac:dyDescent="0.25">
      <c r="A126" vm="651">
        <f ca="1"/>
        <v>45841</v>
      </c>
      <c r="B126" vm="1757">
        <f ca="1"/>
        <v>2.72</v>
      </c>
    </row>
    <row r="127" spans="1:2" x14ac:dyDescent="0.25">
      <c r="A127" vm="653">
        <f ca="1"/>
        <v>45845</v>
      </c>
      <c r="B127" vm="1757">
        <f ca="1"/>
        <v>2.72</v>
      </c>
    </row>
    <row r="128" spans="1:2" x14ac:dyDescent="0.25">
      <c r="A128" vm="655">
        <f ca="1"/>
        <v>45846</v>
      </c>
      <c r="B128" vm="1752">
        <f ca="1"/>
        <v>2.71</v>
      </c>
    </row>
    <row r="129" spans="1:2" x14ac:dyDescent="0.25">
      <c r="A129" vm="658">
        <f ca="1"/>
        <v>45847</v>
      </c>
      <c r="B129" vm="1438">
        <f ca="1"/>
        <v>2.79</v>
      </c>
    </row>
    <row r="130" spans="1:2" x14ac:dyDescent="0.25">
      <c r="A130" vm="659">
        <f ca="1"/>
        <v>45848</v>
      </c>
      <c r="B130" vm="1084">
        <f ca="1"/>
        <v>2.87</v>
      </c>
    </row>
    <row r="131" spans="1:2" x14ac:dyDescent="0.25">
      <c r="A131" vm="661">
        <f ca="1"/>
        <v>45849</v>
      </c>
      <c r="B131" vm="1152">
        <f ca="1"/>
        <v>2.81</v>
      </c>
    </row>
    <row r="132" spans="1:2" x14ac:dyDescent="0.25">
      <c r="A132" vm="663">
        <f ca="1"/>
        <v>45852</v>
      </c>
      <c r="B132" vm="1153">
        <f ca="1"/>
        <v>2.9</v>
      </c>
    </row>
    <row r="133" spans="1:2" x14ac:dyDescent="0.25">
      <c r="A133" vm="664">
        <f ca="1"/>
        <v>45853</v>
      </c>
      <c r="B133" vm="1753">
        <f ca="1"/>
        <v>2.74</v>
      </c>
    </row>
    <row r="134" spans="1:2" x14ac:dyDescent="0.25">
      <c r="A134" vm="666">
        <f ca="1"/>
        <v>45854</v>
      </c>
      <c r="B134" vm="1155">
        <f ca="1"/>
        <v>2.75</v>
      </c>
    </row>
    <row r="135" spans="1:2" x14ac:dyDescent="0.25">
      <c r="A135" vm="668">
        <f ca="1"/>
        <v>45855</v>
      </c>
      <c r="B135" vm="1756">
        <f ca="1"/>
        <v>2.83</v>
      </c>
    </row>
    <row r="136" spans="1:2" x14ac:dyDescent="0.25">
      <c r="A136" vm="1">
        <f ca="1"/>
        <v>45856</v>
      </c>
      <c r="B136" vm="1155">
        <f ca="1"/>
        <v>2.75</v>
      </c>
    </row>
    <row r="137" spans="1:2" x14ac:dyDescent="0.25">
      <c r="A137" vm="9">
        <f ca="1"/>
        <v>45859</v>
      </c>
      <c r="B137" vm="1761">
        <f ca="1"/>
        <v>2.68</v>
      </c>
    </row>
    <row r="138" spans="1:2" x14ac:dyDescent="0.25">
      <c r="A138" vm="17">
        <f ca="1"/>
        <v>45860</v>
      </c>
      <c r="B138" vm="1752">
        <f ca="1"/>
        <v>2.71</v>
      </c>
    </row>
    <row r="139" spans="1:2" x14ac:dyDescent="0.25">
      <c r="A139" vm="25">
        <f ca="1"/>
        <v>45861</v>
      </c>
      <c r="B139" vm="1106">
        <f ca="1"/>
        <v>2.99</v>
      </c>
    </row>
    <row r="140" spans="1:2" x14ac:dyDescent="0.25">
      <c r="A140" vm="31">
        <f ca="1"/>
        <v>45862</v>
      </c>
      <c r="B140" vm="1082">
        <f ca="1"/>
        <v>3.01</v>
      </c>
    </row>
    <row r="141" spans="1:2" x14ac:dyDescent="0.25">
      <c r="A141" vm="39">
        <f ca="1"/>
        <v>45863</v>
      </c>
      <c r="B141" vm="1750">
        <f ca="1"/>
        <v>2.86</v>
      </c>
    </row>
    <row r="142" spans="1:2" x14ac:dyDescent="0.25">
      <c r="A142" vm="47">
        <f ca="1"/>
        <v>45866</v>
      </c>
      <c r="B142" vm="1441">
        <f ca="1"/>
        <v>2.65</v>
      </c>
    </row>
    <row r="143" spans="1:2" x14ac:dyDescent="0.25">
      <c r="A143" vm="55">
        <f ca="1"/>
        <v>45867</v>
      </c>
      <c r="B143" vm="1149">
        <f ca="1"/>
        <v>2.54</v>
      </c>
    </row>
    <row r="144" spans="1:2" x14ac:dyDescent="0.25">
      <c r="A144" vm="62">
        <f ca="1"/>
        <v>45868</v>
      </c>
      <c r="B144" vm="1745">
        <f ca="1"/>
        <v>2.56</v>
      </c>
    </row>
    <row r="145" spans="1:2" x14ac:dyDescent="0.25">
      <c r="A145" vm="70">
        <f ca="1"/>
        <v>45869</v>
      </c>
      <c r="B145" vm="1346">
        <f ca="1"/>
        <v>2.46</v>
      </c>
    </row>
    <row r="146" spans="1:2" x14ac:dyDescent="0.25">
      <c r="A146" vm="78">
        <f ca="1"/>
        <v>45870</v>
      </c>
      <c r="B146" vm="1454">
        <f ca="1"/>
        <v>2.37</v>
      </c>
    </row>
    <row r="147" spans="1:2" x14ac:dyDescent="0.25">
      <c r="A147" vm="85">
        <f ca="1"/>
        <v>45873</v>
      </c>
      <c r="B147" vm="1765">
        <f ca="1"/>
        <v>2.41</v>
      </c>
    </row>
    <row r="148" spans="1:2" x14ac:dyDescent="0.25">
      <c r="A148" vm="92">
        <f ca="1"/>
        <v>45874</v>
      </c>
      <c r="B148" vm="1765">
        <f ca="1"/>
        <v>2.41</v>
      </c>
    </row>
    <row r="149" spans="1:2" x14ac:dyDescent="0.25">
      <c r="A149" vm="100">
        <f ca="1"/>
        <v>45875</v>
      </c>
      <c r="B149" vm="1766">
        <f ca="1"/>
        <v>2.38</v>
      </c>
    </row>
    <row r="150" spans="1:2" x14ac:dyDescent="0.25">
      <c r="A150" vm="108">
        <f ca="1"/>
        <v>45876</v>
      </c>
      <c r="B150" vm="1767">
        <f ca="1"/>
        <v>2.4049999999999998</v>
      </c>
    </row>
    <row r="151" spans="1:2" x14ac:dyDescent="0.25">
      <c r="A151" vm="115">
        <f ca="1"/>
        <v>45877</v>
      </c>
      <c r="B151" vm="1640">
        <f ca="1"/>
        <v>2.44</v>
      </c>
    </row>
    <row r="152" spans="1:2" x14ac:dyDescent="0.25">
      <c r="A152" vm="122">
        <f ca="1"/>
        <v>45880</v>
      </c>
      <c r="B152" vm="1151">
        <f ca="1"/>
        <v>2.4700000000000002</v>
      </c>
    </row>
    <row r="153" spans="1:2" x14ac:dyDescent="0.25">
      <c r="A153" vm="128">
        <f ca="1"/>
        <v>45881</v>
      </c>
      <c r="B153" vm="1151">
        <f ca="1"/>
        <v>2.4700000000000002</v>
      </c>
    </row>
    <row r="154" spans="1:2" x14ac:dyDescent="0.25">
      <c r="A154" vm="135">
        <f ca="1"/>
        <v>45882</v>
      </c>
      <c r="B154" vm="1751">
        <f ca="1"/>
        <v>2.82</v>
      </c>
    </row>
    <row r="155" spans="1:2" x14ac:dyDescent="0.25">
      <c r="A155" vm="142">
        <f ca="1"/>
        <v>45883</v>
      </c>
      <c r="B155" vm="1752">
        <f ca="1"/>
        <v>2.71</v>
      </c>
    </row>
    <row r="156" spans="1:2" x14ac:dyDescent="0.25">
      <c r="A156" vm="146">
        <f ca="1"/>
        <v>45884</v>
      </c>
      <c r="B156" vm="1141">
        <f ca="1"/>
        <v>2.5499999999999998</v>
      </c>
    </row>
    <row r="157" spans="1:2" x14ac:dyDescent="0.25">
      <c r="A157" vm="154">
        <f ca="1"/>
        <v>45887</v>
      </c>
      <c r="B157" vm="1768">
        <f ca="1"/>
        <v>2.4300000000000002</v>
      </c>
    </row>
    <row r="158" spans="1:2" x14ac:dyDescent="0.25">
      <c r="A158" vm="161">
        <f ca="1"/>
        <v>45888</v>
      </c>
      <c r="B158" vm="1145">
        <f ca="1"/>
        <v>2.2799999999999998</v>
      </c>
    </row>
    <row r="159" spans="1:2" x14ac:dyDescent="0.25">
      <c r="A159" vm="168">
        <f ca="1"/>
        <v>45889</v>
      </c>
      <c r="B159" vm="1147">
        <f ca="1"/>
        <v>2.2599999999999998</v>
      </c>
    </row>
    <row r="160" spans="1:2" x14ac:dyDescent="0.25">
      <c r="A160" vm="174">
        <f ca="1"/>
        <v>45890</v>
      </c>
      <c r="B160" vm="1340">
        <f ca="1"/>
        <v>2.2400000000000002</v>
      </c>
    </row>
    <row r="161" spans="1:2" x14ac:dyDescent="0.25">
      <c r="A161" vm="180">
        <f ca="1"/>
        <v>45891</v>
      </c>
      <c r="B161" vm="1638">
        <f ca="1"/>
        <v>2.31</v>
      </c>
    </row>
    <row r="162" spans="1:2" x14ac:dyDescent="0.25">
      <c r="A162" vm="186">
        <f ca="1"/>
        <v>45894</v>
      </c>
      <c r="B162" vm="1420">
        <f ca="1"/>
        <v>2.25</v>
      </c>
    </row>
    <row r="163" spans="1:2" x14ac:dyDescent="0.25">
      <c r="A163" vm="193">
        <f ca="1"/>
        <v>45895</v>
      </c>
      <c r="B163" vm="1766">
        <f ca="1"/>
        <v>2.38</v>
      </c>
    </row>
    <row r="164" spans="1:2" x14ac:dyDescent="0.25">
      <c r="A164" vm="199">
        <f ca="1"/>
        <v>45896</v>
      </c>
      <c r="B164" vm="1769">
        <f ca="1"/>
        <v>2.34</v>
      </c>
    </row>
    <row r="165" spans="1:2" x14ac:dyDescent="0.25">
      <c r="A165" vm="206">
        <f ca="1"/>
        <v>45897</v>
      </c>
      <c r="B165" vm="1642">
        <f ca="1"/>
        <v>2.33</v>
      </c>
    </row>
    <row r="166" spans="1:2" x14ac:dyDescent="0.25">
      <c r="A166" vm="210">
        <f ca="1"/>
        <v>45898</v>
      </c>
      <c r="B166" vm="1769">
        <f ca="1"/>
        <v>2.34</v>
      </c>
    </row>
    <row r="167" spans="1:2" x14ac:dyDescent="0.25">
      <c r="A167" vm="216">
        <f ca="1"/>
        <v>45902</v>
      </c>
      <c r="B167" vm="1766">
        <f ca="1"/>
        <v>2.38</v>
      </c>
    </row>
    <row r="168" spans="1:2" x14ac:dyDescent="0.25">
      <c r="A168" vm="223">
        <f ca="1"/>
        <v>45903</v>
      </c>
      <c r="B168" vm="1454">
        <f ca="1"/>
        <v>2.37</v>
      </c>
    </row>
    <row r="169" spans="1:2" x14ac:dyDescent="0.25">
      <c r="A169" vm="229">
        <f ca="1"/>
        <v>45904</v>
      </c>
      <c r="B169" vm="1748">
        <f ca="1"/>
        <v>2.39</v>
      </c>
    </row>
    <row r="170" spans="1:2" x14ac:dyDescent="0.25">
      <c r="A170" vm="235">
        <f ca="1"/>
        <v>45905</v>
      </c>
      <c r="B170" vm="1443">
        <f ca="1"/>
        <v>2.4</v>
      </c>
    </row>
    <row r="171" spans="1:2" x14ac:dyDescent="0.25">
      <c r="A171" vm="242">
        <f ca="1"/>
        <v>45908</v>
      </c>
      <c r="B171" vm="1765">
        <f ca="1"/>
        <v>2.41</v>
      </c>
    </row>
    <row r="172" spans="1:2" x14ac:dyDescent="0.25">
      <c r="A172" vm="250">
        <f ca="1"/>
        <v>45909</v>
      </c>
      <c r="B172" vm="1744">
        <f ca="1"/>
        <v>2.57</v>
      </c>
    </row>
    <row r="173" spans="1:2" x14ac:dyDescent="0.25">
      <c r="A173" vm="257">
        <f ca="1"/>
        <v>45910</v>
      </c>
      <c r="B173" vm="1744">
        <f ca="1"/>
        <v>2.57</v>
      </c>
    </row>
    <row r="174" spans="1:2" x14ac:dyDescent="0.25">
      <c r="A174" vm="264">
        <f ca="1"/>
        <v>45911</v>
      </c>
      <c r="B174" vm="1770">
        <f ca="1"/>
        <v>2.59</v>
      </c>
    </row>
    <row r="175" spans="1:2" x14ac:dyDescent="0.25">
      <c r="A175" vm="271">
        <f ca="1"/>
        <v>45912</v>
      </c>
      <c r="B175" vm="1154">
        <f ca="1"/>
        <v>2.6</v>
      </c>
    </row>
    <row r="176" spans="1:2" x14ac:dyDescent="0.25">
      <c r="A176" vm="279">
        <f ca="1"/>
        <v>45915</v>
      </c>
      <c r="B176" vm="1753">
        <f ca="1"/>
        <v>2.74</v>
      </c>
    </row>
    <row r="177" spans="1:2" x14ac:dyDescent="0.25">
      <c r="A177" vm="285">
        <f ca="1"/>
        <v>45916</v>
      </c>
      <c r="B177" vm="1152">
        <f ca="1"/>
        <v>2.81</v>
      </c>
    </row>
    <row r="178" spans="1:2" x14ac:dyDescent="0.25">
      <c r="A178" vm="292">
        <f ca="1"/>
        <v>45917</v>
      </c>
      <c r="B178" vm="1143">
        <f ca="1"/>
        <v>2.76</v>
      </c>
    </row>
    <row r="179" spans="1:2" x14ac:dyDescent="0.25">
      <c r="A179" vm="298">
        <f ca="1"/>
        <v>45918</v>
      </c>
      <c r="B179" vm="1135">
        <f ca="1"/>
        <v>2.85</v>
      </c>
    </row>
    <row r="180" spans="1:2" x14ac:dyDescent="0.25">
      <c r="A180" vm="303">
        <f ca="1"/>
        <v>45919</v>
      </c>
      <c r="B180" vm="1444">
        <f ca="1"/>
        <v>2.73</v>
      </c>
    </row>
    <row r="181" spans="1:2" x14ac:dyDescent="0.25">
      <c r="A181" vm="310">
        <f ca="1"/>
        <v>45922</v>
      </c>
      <c r="B181" vm="1646">
        <f ca="1"/>
        <v>2.67</v>
      </c>
    </row>
    <row r="182" spans="1:2" x14ac:dyDescent="0.25">
      <c r="A182" vm="317">
        <f ca="1"/>
        <v>45923</v>
      </c>
      <c r="B182" vm="1770">
        <f ca="1"/>
        <v>2.59</v>
      </c>
    </row>
    <row r="183" spans="1:2" x14ac:dyDescent="0.25">
      <c r="A183" vm="323">
        <f ca="1"/>
        <v>45924</v>
      </c>
      <c r="B183" vm="1771">
        <f ca="1"/>
        <v>2.5</v>
      </c>
    </row>
    <row r="184" spans="1:2" x14ac:dyDescent="0.25">
      <c r="A184" vm="328">
        <f ca="1"/>
        <v>45925</v>
      </c>
      <c r="B184" vm="1346">
        <f ca="1"/>
        <v>2.46</v>
      </c>
    </row>
    <row r="185" spans="1:2" x14ac:dyDescent="0.25">
      <c r="A185" vm="334">
        <f ca="1"/>
        <v>45926</v>
      </c>
      <c r="B185" vm="1149">
        <f ca="1"/>
        <v>2.54</v>
      </c>
    </row>
    <row r="186" spans="1:2" x14ac:dyDescent="0.25">
      <c r="A186" vm="340">
        <f ca="1"/>
        <v>45929</v>
      </c>
      <c r="B186" vm="1744">
        <f ca="1"/>
        <v>2.57</v>
      </c>
    </row>
    <row r="187" spans="1:2" x14ac:dyDescent="0.25">
      <c r="A187" vm="346">
        <f ca="1"/>
        <v>45930</v>
      </c>
      <c r="B187" vm="1346">
        <f ca="1"/>
        <v>2.46</v>
      </c>
    </row>
    <row r="188" spans="1:2" x14ac:dyDescent="0.25">
      <c r="A188" vm="352">
        <f ca="1"/>
        <v>45931</v>
      </c>
      <c r="B188" vm="1144">
        <f ca="1"/>
        <v>2.48</v>
      </c>
    </row>
    <row r="189" spans="1:2" x14ac:dyDescent="0.25">
      <c r="A189" vm="357">
        <f ca="1"/>
        <v>45932</v>
      </c>
      <c r="B189" vm="1771">
        <f ca="1"/>
        <v>2.5</v>
      </c>
    </row>
    <row r="190" spans="1:2" x14ac:dyDescent="0.25">
      <c r="A190" vm="362">
        <f ca="1"/>
        <v>45933</v>
      </c>
      <c r="B190" vm="1149">
        <f ca="1"/>
        <v>2.54</v>
      </c>
    </row>
    <row r="191" spans="1:2" x14ac:dyDescent="0.25">
      <c r="A191" vm="370">
        <f ca="1"/>
        <v>45936</v>
      </c>
      <c r="B191" vm="1762">
        <f ca="1"/>
        <v>2.5299999999999998</v>
      </c>
    </row>
    <row r="192" spans="1:2" x14ac:dyDescent="0.25">
      <c r="A192" vm="378">
        <f ca="1"/>
        <v>45937</v>
      </c>
      <c r="B192" vm="1771">
        <f ca="1"/>
        <v>2.5</v>
      </c>
    </row>
    <row r="193" spans="1:2" x14ac:dyDescent="0.25">
      <c r="A193" vm="383">
        <f ca="1"/>
        <v>45938</v>
      </c>
      <c r="B193" vm="1762">
        <f ca="1"/>
        <v>2.5299999999999998</v>
      </c>
    </row>
    <row r="194" spans="1:2" x14ac:dyDescent="0.25">
      <c r="A194" vm="389">
        <f ca="1"/>
        <v>45939</v>
      </c>
      <c r="B194" vm="1640">
        <f ca="1"/>
        <v>2.44</v>
      </c>
    </row>
    <row r="195" spans="1:2" x14ac:dyDescent="0.25">
      <c r="A195" vm="395">
        <f ca="1"/>
        <v>45940</v>
      </c>
      <c r="B195" vm="1760">
        <f ca="1"/>
        <v>2.36</v>
      </c>
    </row>
    <row r="196" spans="1:2" x14ac:dyDescent="0.25">
      <c r="A196" vm="402">
        <f ca="1"/>
        <v>45943</v>
      </c>
      <c r="B196" vm="1144">
        <f ca="1"/>
        <v>2.48</v>
      </c>
    </row>
    <row r="197" spans="1:2" x14ac:dyDescent="0.25">
      <c r="A197" vm="407">
        <f ca="1"/>
        <v>45944</v>
      </c>
      <c r="B197" vm="1148">
        <f ca="1"/>
        <v>2.5099999999999998</v>
      </c>
    </row>
    <row r="198" spans="1:2" x14ac:dyDescent="0.25">
      <c r="A198" vm="411">
        <f ca="1"/>
        <v>45945</v>
      </c>
      <c r="B198" vm="1142">
        <f ca="1"/>
        <v>2.58</v>
      </c>
    </row>
    <row r="199" spans="1:2" x14ac:dyDescent="0.25">
      <c r="A199" vm="416">
        <f ca="1"/>
        <v>45946</v>
      </c>
      <c r="B199" vm="1762">
        <f ca="1"/>
        <v>2.5299999999999998</v>
      </c>
    </row>
    <row r="200" spans="1:2" x14ac:dyDescent="0.25">
      <c r="A200" vm="422">
        <f ca="1"/>
        <v>45947</v>
      </c>
      <c r="B200" vm="1443">
        <f ca="1"/>
        <v>2.4</v>
      </c>
    </row>
    <row r="201" spans="1:2" x14ac:dyDescent="0.25">
      <c r="A201" vm="430">
        <f ca="1"/>
        <v>45950</v>
      </c>
      <c r="B201" vm="1439">
        <f ca="1"/>
        <v>2.4500000000000002</v>
      </c>
    </row>
    <row r="202" spans="1:2" x14ac:dyDescent="0.25">
      <c r="A202" vm="436">
        <f ca="1"/>
        <v>45951</v>
      </c>
      <c r="B202" vm="1640">
        <f ca="1"/>
        <v>2.44</v>
      </c>
    </row>
    <row r="203" spans="1:2" x14ac:dyDescent="0.25">
      <c r="A203" vm="442">
        <f ca="1"/>
        <v>45952</v>
      </c>
      <c r="B203" vm="1760">
        <f ca="1"/>
        <v>2.36</v>
      </c>
    </row>
    <row r="204" spans="1:2" x14ac:dyDescent="0.25">
      <c r="A204" vm="448">
        <f ca="1"/>
        <v>45953</v>
      </c>
      <c r="B204" vm="1748">
        <f ca="1"/>
        <v>2.39</v>
      </c>
    </row>
    <row r="205" spans="1:2" x14ac:dyDescent="0.25">
      <c r="A205" vm="455">
        <f ca="1"/>
        <v>45954</v>
      </c>
      <c r="B205" vm="1151">
        <f ca="1"/>
        <v>2.4700000000000002</v>
      </c>
    </row>
    <row r="206" spans="1:2" x14ac:dyDescent="0.25">
      <c r="A206" vm="462">
        <f ca="1"/>
        <v>45957</v>
      </c>
      <c r="B206" vm="1647">
        <f ca="1"/>
        <v>2.66</v>
      </c>
    </row>
    <row r="207" spans="1:2" x14ac:dyDescent="0.25">
      <c r="A207" vm="467">
        <f ca="1"/>
        <v>45958</v>
      </c>
      <c r="B207" vm="1142">
        <f ca="1"/>
        <v>2.58</v>
      </c>
    </row>
    <row r="208" spans="1:2" x14ac:dyDescent="0.25">
      <c r="A208" vm="474">
        <f ca="1"/>
        <v>45959</v>
      </c>
      <c r="B208" vm="1746">
        <f ca="1"/>
        <v>2.42</v>
      </c>
    </row>
    <row r="209" spans="1:2" x14ac:dyDescent="0.25">
      <c r="A209" vm="481">
        <f ca="1"/>
        <v>45960</v>
      </c>
      <c r="B209" vm="1760">
        <f ca="1"/>
        <v>2.36</v>
      </c>
    </row>
    <row r="210" spans="1:2" x14ac:dyDescent="0.25">
      <c r="A210" vm="487">
        <f ca="1"/>
        <v>45961</v>
      </c>
      <c r="B210" vm="1443">
        <f ca="1"/>
        <v>2.4</v>
      </c>
    </row>
    <row r="211" spans="1:2" x14ac:dyDescent="0.25">
      <c r="A211" vm="490">
        <f ca="1"/>
        <v>45964</v>
      </c>
      <c r="B211" vm="1147">
        <f ca="1"/>
        <v>2.2599999999999998</v>
      </c>
    </row>
    <row r="212" spans="1:2" x14ac:dyDescent="0.25">
      <c r="A212" vm="494">
        <f ca="1"/>
        <v>45965</v>
      </c>
      <c r="B212" vm="1772">
        <f ca="1"/>
        <v>2.08</v>
      </c>
    </row>
    <row r="213" spans="1:2" x14ac:dyDescent="0.25">
      <c r="A213" vm="500">
        <f ca="1"/>
        <v>45966</v>
      </c>
      <c r="B213" vm="1773">
        <f ca="1"/>
        <v>2.15</v>
      </c>
    </row>
    <row r="214" spans="1:2" x14ac:dyDescent="0.25">
      <c r="A214" vm="506">
        <f ca="1"/>
        <v>45967</v>
      </c>
      <c r="B214" vm="1412">
        <f ca="1"/>
        <v>2.12</v>
      </c>
    </row>
    <row r="215" spans="1:2" x14ac:dyDescent="0.25">
      <c r="A215" vm="510">
        <f ca="1"/>
        <v>45968</v>
      </c>
      <c r="B215" vm="1415">
        <f ca="1"/>
        <v>2.13</v>
      </c>
    </row>
    <row r="216" spans="1:2" x14ac:dyDescent="0.25">
      <c r="A216" vm="514">
        <f ca="1"/>
        <v>45971</v>
      </c>
      <c r="B216" vm="1774">
        <f ca="1"/>
        <v>2.16</v>
      </c>
    </row>
    <row r="217" spans="1:2" x14ac:dyDescent="0.25">
      <c r="A217" vm="518">
        <f ca="1"/>
        <v>45972</v>
      </c>
      <c r="B217" vm="1472">
        <f ca="1"/>
        <v>2.14</v>
      </c>
    </row>
    <row r="218" spans="1:2" x14ac:dyDescent="0.25">
      <c r="A218" vm="521">
        <f ca="1"/>
        <v>45973</v>
      </c>
      <c r="B218" vm="1643">
        <f ca="1"/>
        <v>2.06</v>
      </c>
    </row>
    <row r="219" spans="1:2" x14ac:dyDescent="0.25">
      <c r="A219" vm="525">
        <f ca="1"/>
        <v>45974</v>
      </c>
      <c r="B219" vm="1349">
        <f ca="1"/>
        <v>2</v>
      </c>
    </row>
    <row r="220" spans="1:2" x14ac:dyDescent="0.25">
      <c r="A220" vm="528">
        <f ca="1"/>
        <v>45975</v>
      </c>
      <c r="B220" vm="1772">
        <f ca="1"/>
        <v>2.08</v>
      </c>
    </row>
    <row r="221" spans="1:2" x14ac:dyDescent="0.25">
      <c r="A221" vm="533">
        <f ca="1"/>
        <v>45978</v>
      </c>
      <c r="B221" vm="1645">
        <f ca="1"/>
        <v>2.0299999999999998</v>
      </c>
    </row>
    <row r="222" spans="1:2" x14ac:dyDescent="0.25">
      <c r="A222" vm="540">
        <f ca="1"/>
        <v>45979</v>
      </c>
      <c r="B222" vm="1457">
        <f ca="1"/>
        <v>2.1</v>
      </c>
    </row>
    <row r="223" spans="1:2" x14ac:dyDescent="0.25">
      <c r="A223" vm="543">
        <f ca="1"/>
        <v>45980</v>
      </c>
      <c r="B223" vm="1472">
        <f ca="1"/>
        <v>2.14</v>
      </c>
    </row>
    <row r="224" spans="1:2" x14ac:dyDescent="0.25">
      <c r="A224" vm="548">
        <f ca="1"/>
        <v>45981</v>
      </c>
      <c r="B224" vm="1417">
        <f ca="1"/>
        <v>2.02</v>
      </c>
    </row>
    <row r="225" spans="1:2" x14ac:dyDescent="0.25">
      <c r="A225" vm="553">
        <f ca="1"/>
        <v>45982</v>
      </c>
      <c r="B225" vm="1772">
        <f ca="1"/>
        <v>2.08</v>
      </c>
    </row>
    <row r="226" spans="1:2" x14ac:dyDescent="0.25">
      <c r="A226" vm="559">
        <f ca="1"/>
        <v>45985</v>
      </c>
      <c r="B226" vm="1773">
        <f ca="1"/>
        <v>2.15</v>
      </c>
    </row>
    <row r="227" spans="1:2" x14ac:dyDescent="0.25">
      <c r="A227" vm="562">
        <f ca="1"/>
        <v>45986</v>
      </c>
      <c r="B227" vm="1772">
        <f ca="1"/>
        <v>2.08</v>
      </c>
    </row>
    <row r="228" spans="1:2" x14ac:dyDescent="0.25">
      <c r="A228" vm="566">
        <f ca="1"/>
        <v>45987</v>
      </c>
      <c r="B228" vm="1415">
        <f ca="1"/>
        <v>2.13</v>
      </c>
    </row>
    <row r="229" spans="1:2" x14ac:dyDescent="0.25">
      <c r="A229" vm="572">
        <f ca="1"/>
        <v>45989</v>
      </c>
      <c r="B229" vm="1760">
        <f ca="1"/>
        <v>2.36</v>
      </c>
    </row>
    <row r="230" spans="1:2" x14ac:dyDescent="0.25">
      <c r="A230" vm="574">
        <f ca="1"/>
        <v>45992</v>
      </c>
      <c r="B230" vm="1456">
        <f ca="1"/>
        <v>2.2999999999999998</v>
      </c>
    </row>
    <row r="231" spans="1:2" x14ac:dyDescent="0.25">
      <c r="A231" vm="579">
        <f ca="1"/>
        <v>45993</v>
      </c>
      <c r="B231" vm="1341">
        <f ca="1"/>
        <v>2.09</v>
      </c>
    </row>
    <row r="232" spans="1:2" x14ac:dyDescent="0.25">
      <c r="A232" vm="581">
        <f ca="1"/>
        <v>45994</v>
      </c>
      <c r="B232" vm="1418">
        <f ca="1"/>
        <v>2.2000000000000002</v>
      </c>
    </row>
    <row r="233" spans="1:2" x14ac:dyDescent="0.25">
      <c r="A233" vm="585">
        <f ca="1"/>
        <v>45995</v>
      </c>
      <c r="B233" vm="1456">
        <f ca="1"/>
        <v>2.2999999999999998</v>
      </c>
    </row>
    <row r="234" spans="1:2" x14ac:dyDescent="0.25">
      <c r="A234" vm="590">
        <f ca="1"/>
        <v>45996</v>
      </c>
      <c r="B234" vm="1410">
        <f ca="1"/>
        <v>2.29</v>
      </c>
    </row>
    <row r="235" spans="1:2" x14ac:dyDescent="0.25">
      <c r="A235" vm="595">
        <f ca="1"/>
        <v>45999</v>
      </c>
      <c r="B235" vm="1147">
        <f ca="1"/>
        <v>2.2599999999999998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35"/>
  <sheetViews>
    <sheetView topLeftCell="A217" workbookViewId="0">
      <selection sqref="A1:B234"/>
    </sheetView>
  </sheetViews>
  <sheetFormatPr defaultRowHeight="15" x14ac:dyDescent="0.25"/>
  <cols>
    <col min="1" max="1" width="9.42578125" bestFit="1" customWidth="1"/>
  </cols>
  <sheetData>
    <row r="1" spans="1:2" x14ac:dyDescent="0.25">
      <c r="A1" t="str" cm="1">
        <f t="array" aca="1" ref="A1:B235" ca="1">_xlfn.STOCKHISTORY("PAYO", DATE(YEAR(TODAY()),1,1), TODAY())</f>
        <v>Date</v>
      </c>
      <c r="B1" t="str">
        <f ca="1"/>
        <v>Close</v>
      </c>
    </row>
    <row r="2" spans="1:2" x14ac:dyDescent="0.25">
      <c r="A2" vm="5">
        <f ca="1"/>
        <v>45659</v>
      </c>
      <c r="B2" vm="1329">
        <f ca="1"/>
        <v>10.15</v>
      </c>
    </row>
    <row r="3" spans="1:2" x14ac:dyDescent="0.25">
      <c r="A3" vm="13">
        <f ca="1"/>
        <v>45660</v>
      </c>
      <c r="B3" vm="1775">
        <f ca="1"/>
        <v>10.48</v>
      </c>
    </row>
    <row r="4" spans="1:2" x14ac:dyDescent="0.25">
      <c r="A4" vm="21">
        <f ca="1"/>
        <v>45663</v>
      </c>
      <c r="B4" vm="307">
        <f ca="1"/>
        <v>10.3</v>
      </c>
    </row>
    <row r="5" spans="1:2" x14ac:dyDescent="0.25">
      <c r="A5" vm="29">
        <f ca="1"/>
        <v>45664</v>
      </c>
      <c r="B5" vm="1776">
        <f ca="1"/>
        <v>10.38</v>
      </c>
    </row>
    <row r="6" spans="1:2" x14ac:dyDescent="0.25">
      <c r="A6" vm="35">
        <f ca="1"/>
        <v>45665</v>
      </c>
      <c r="B6" vm="1294">
        <f ca="1"/>
        <v>10.07</v>
      </c>
    </row>
    <row r="7" spans="1:2" x14ac:dyDescent="0.25">
      <c r="A7" vm="43">
        <f ca="1"/>
        <v>45667</v>
      </c>
      <c r="B7" vm="1777">
        <f ca="1"/>
        <v>9.8699999999999992</v>
      </c>
    </row>
    <row r="8" spans="1:2" x14ac:dyDescent="0.25">
      <c r="A8" vm="51">
        <f ca="1"/>
        <v>45670</v>
      </c>
      <c r="B8" vm="218">
        <f ca="1"/>
        <v>9.91</v>
      </c>
    </row>
    <row r="9" spans="1:2" x14ac:dyDescent="0.25">
      <c r="A9" vm="58">
        <f ca="1"/>
        <v>45671</v>
      </c>
      <c r="B9" vm="218">
        <f ca="1"/>
        <v>9.91</v>
      </c>
    </row>
    <row r="10" spans="1:2" x14ac:dyDescent="0.25">
      <c r="A10" vm="66">
        <f ca="1"/>
        <v>45672</v>
      </c>
      <c r="B10" vm="1778">
        <f ca="1"/>
        <v>10.5</v>
      </c>
    </row>
    <row r="11" spans="1:2" x14ac:dyDescent="0.25">
      <c r="A11" vm="74">
        <f ca="1"/>
        <v>45673</v>
      </c>
      <c r="B11" vm="1779">
        <f ca="1"/>
        <v>10.73</v>
      </c>
    </row>
    <row r="12" spans="1:2" x14ac:dyDescent="0.25">
      <c r="A12" vm="81">
        <f ca="1"/>
        <v>45674</v>
      </c>
      <c r="B12" vm="296">
        <f ca="1"/>
        <v>10.82</v>
      </c>
    </row>
    <row r="13" spans="1:2" x14ac:dyDescent="0.25">
      <c r="A13" vm="88">
        <f ca="1"/>
        <v>45678</v>
      </c>
      <c r="B13" vm="1780">
        <f ca="1"/>
        <v>10.34</v>
      </c>
    </row>
    <row r="14" spans="1:2" x14ac:dyDescent="0.25">
      <c r="A14" vm="96">
        <f ca="1"/>
        <v>45679</v>
      </c>
      <c r="B14" vm="1427">
        <f ca="1"/>
        <v>10.28</v>
      </c>
    </row>
    <row r="15" spans="1:2" x14ac:dyDescent="0.25">
      <c r="A15" vm="104">
        <f ca="1"/>
        <v>45680</v>
      </c>
      <c r="B15" vm="1324">
        <f ca="1"/>
        <v>10.19</v>
      </c>
    </row>
    <row r="16" spans="1:2" x14ac:dyDescent="0.25">
      <c r="A16" vm="111">
        <f ca="1"/>
        <v>45681</v>
      </c>
      <c r="B16" vm="1324">
        <f ca="1"/>
        <v>10.19</v>
      </c>
    </row>
    <row r="17" spans="1:2" x14ac:dyDescent="0.25">
      <c r="A17" vm="118">
        <f ca="1"/>
        <v>45684</v>
      </c>
      <c r="B17" vm="1781">
        <f ca="1"/>
        <v>10.210000000000001</v>
      </c>
    </row>
    <row r="18" spans="1:2" x14ac:dyDescent="0.25">
      <c r="A18" vm="124">
        <f ca="1"/>
        <v>45685</v>
      </c>
      <c r="B18" vm="315">
        <f ca="1"/>
        <v>10.51</v>
      </c>
    </row>
    <row r="19" spans="1:2" x14ac:dyDescent="0.25">
      <c r="A19" vm="131">
        <f ca="1"/>
        <v>45686</v>
      </c>
      <c r="B19" vm="1782">
        <f ca="1"/>
        <v>10.67</v>
      </c>
    </row>
    <row r="20" spans="1:2" x14ac:dyDescent="0.25">
      <c r="A20" vm="138">
        <f ca="1"/>
        <v>45687</v>
      </c>
      <c r="B20" vm="331">
        <f ca="1"/>
        <v>10.91</v>
      </c>
    </row>
    <row r="21" spans="1:2" x14ac:dyDescent="0.25">
      <c r="A21" vm="143">
        <f ca="1"/>
        <v>45688</v>
      </c>
      <c r="B21" vm="316">
        <f ca="1"/>
        <v>10.6</v>
      </c>
    </row>
    <row r="22" spans="1:2" x14ac:dyDescent="0.25">
      <c r="A22" vm="150">
        <f ca="1"/>
        <v>45691</v>
      </c>
      <c r="B22" vm="1783">
        <f ca="1"/>
        <v>10.68</v>
      </c>
    </row>
    <row r="23" spans="1:2" x14ac:dyDescent="0.25">
      <c r="A23" vm="158">
        <f ca="1"/>
        <v>45692</v>
      </c>
      <c r="B23" vm="1784">
        <f ca="1"/>
        <v>10.83</v>
      </c>
    </row>
    <row r="24" spans="1:2" x14ac:dyDescent="0.25">
      <c r="A24" vm="165">
        <f ca="1"/>
        <v>45693</v>
      </c>
      <c r="B24" vm="289">
        <f ca="1"/>
        <v>11.04</v>
      </c>
    </row>
    <row r="25" spans="1:2" x14ac:dyDescent="0.25">
      <c r="A25" vm="170">
        <f ca="1"/>
        <v>45694</v>
      </c>
      <c r="B25" vm="1738">
        <f ca="1"/>
        <v>10.8</v>
      </c>
    </row>
    <row r="26" spans="1:2" x14ac:dyDescent="0.25">
      <c r="A26" vm="177">
        <f ca="1"/>
        <v>45695</v>
      </c>
      <c r="B26" vm="1785">
        <f ca="1"/>
        <v>10.59</v>
      </c>
    </row>
    <row r="27" spans="1:2" x14ac:dyDescent="0.25">
      <c r="A27" vm="183">
        <f ca="1"/>
        <v>45698</v>
      </c>
      <c r="B27" vm="1778">
        <f ca="1"/>
        <v>10.5</v>
      </c>
    </row>
    <row r="28" spans="1:2" x14ac:dyDescent="0.25">
      <c r="A28" vm="190">
        <f ca="1"/>
        <v>45699</v>
      </c>
      <c r="B28" vm="1302">
        <f ca="1"/>
        <v>10.01</v>
      </c>
    </row>
    <row r="29" spans="1:2" x14ac:dyDescent="0.25">
      <c r="A29" vm="195">
        <f ca="1"/>
        <v>45700</v>
      </c>
      <c r="B29" vm="1786">
        <f ca="1"/>
        <v>10.09</v>
      </c>
    </row>
    <row r="30" spans="1:2" x14ac:dyDescent="0.25">
      <c r="A30" vm="202">
        <f ca="1"/>
        <v>45701</v>
      </c>
      <c r="B30" vm="1775">
        <f ca="1"/>
        <v>10.48</v>
      </c>
    </row>
    <row r="31" spans="1:2" x14ac:dyDescent="0.25">
      <c r="A31" vm="208">
        <f ca="1"/>
        <v>45702</v>
      </c>
      <c r="B31" vm="1681">
        <f ca="1"/>
        <v>10.56</v>
      </c>
    </row>
    <row r="32" spans="1:2" x14ac:dyDescent="0.25">
      <c r="A32" vm="212">
        <f ca="1"/>
        <v>45706</v>
      </c>
      <c r="B32" vm="1720">
        <f ca="1"/>
        <v>10.71</v>
      </c>
    </row>
    <row r="33" spans="1:2" x14ac:dyDescent="0.25">
      <c r="A33" vm="219">
        <f ca="1"/>
        <v>45707</v>
      </c>
      <c r="B33" vm="1787">
        <f ca="1"/>
        <v>10.65</v>
      </c>
    </row>
    <row r="34" spans="1:2" x14ac:dyDescent="0.25">
      <c r="A34" vm="225">
        <f ca="1"/>
        <v>45708</v>
      </c>
      <c r="B34" vm="1788">
        <f ca="1"/>
        <v>10.43</v>
      </c>
    </row>
    <row r="35" spans="1:2" x14ac:dyDescent="0.25">
      <c r="A35" vm="231">
        <f ca="1"/>
        <v>45709</v>
      </c>
      <c r="B35" vm="1725">
        <f ca="1"/>
        <v>9.85</v>
      </c>
    </row>
    <row r="36" spans="1:2" x14ac:dyDescent="0.25">
      <c r="A36" vm="238">
        <f ca="1"/>
        <v>45712</v>
      </c>
      <c r="B36" vm="633">
        <f ca="1"/>
        <v>9.8800000000000008</v>
      </c>
    </row>
    <row r="37" spans="1:2" x14ac:dyDescent="0.25">
      <c r="A37" vm="246">
        <f ca="1"/>
        <v>45713</v>
      </c>
      <c r="B37" vm="1333">
        <f ca="1"/>
        <v>9.9499999999999993</v>
      </c>
    </row>
    <row r="38" spans="1:2" x14ac:dyDescent="0.25">
      <c r="A38" vm="253">
        <f ca="1"/>
        <v>45714</v>
      </c>
      <c r="B38" vm="1327">
        <f ca="1"/>
        <v>10.18</v>
      </c>
    </row>
    <row r="39" spans="1:2" x14ac:dyDescent="0.25">
      <c r="A39" vm="260">
        <f ca="1"/>
        <v>45715</v>
      </c>
      <c r="B39" vm="358">
        <f ca="1"/>
        <v>8.68</v>
      </c>
    </row>
    <row r="40" spans="1:2" x14ac:dyDescent="0.25">
      <c r="A40" vm="267">
        <f ca="1"/>
        <v>45716</v>
      </c>
      <c r="B40" vm="603">
        <f ca="1"/>
        <v>8.5500000000000007</v>
      </c>
    </row>
    <row r="41" spans="1:2" x14ac:dyDescent="0.25">
      <c r="A41" vm="275">
        <f ca="1"/>
        <v>45719</v>
      </c>
      <c r="B41" vm="305">
        <f ca="1"/>
        <v>8.35</v>
      </c>
    </row>
    <row r="42" spans="1:2" x14ac:dyDescent="0.25">
      <c r="A42" vm="281">
        <f ca="1"/>
        <v>45720</v>
      </c>
      <c r="B42" vm="477">
        <f ca="1"/>
        <v>8</v>
      </c>
    </row>
    <row r="43" spans="1:2" x14ac:dyDescent="0.25">
      <c r="A43" vm="288">
        <f ca="1"/>
        <v>45721</v>
      </c>
      <c r="B43" vm="243">
        <f ca="1"/>
        <v>8.34</v>
      </c>
    </row>
    <row r="44" spans="1:2" x14ac:dyDescent="0.25">
      <c r="A44" vm="295">
        <f ca="1"/>
        <v>45722</v>
      </c>
      <c r="B44" vm="1281">
        <f ca="1"/>
        <v>7.81</v>
      </c>
    </row>
    <row r="45" spans="1:2" x14ac:dyDescent="0.25">
      <c r="A45" vm="300">
        <f ca="1"/>
        <v>45723</v>
      </c>
      <c r="B45" vm="718">
        <f ca="1"/>
        <v>7.48</v>
      </c>
    </row>
    <row r="46" spans="1:2" x14ac:dyDescent="0.25">
      <c r="A46" vm="306">
        <f ca="1"/>
        <v>45726</v>
      </c>
      <c r="B46" vm="1274">
        <f ca="1"/>
        <v>7.04</v>
      </c>
    </row>
    <row r="47" spans="1:2" x14ac:dyDescent="0.25">
      <c r="A47" vm="314">
        <f ca="1"/>
        <v>45727</v>
      </c>
      <c r="B47" vm="1685">
        <f ca="1"/>
        <v>7.06</v>
      </c>
    </row>
    <row r="48" spans="1:2" x14ac:dyDescent="0.25">
      <c r="A48" vm="319">
        <f ca="1"/>
        <v>45728</v>
      </c>
      <c r="B48" vm="1665">
        <f ca="1"/>
        <v>7.23</v>
      </c>
    </row>
    <row r="49" spans="1:2" x14ac:dyDescent="0.25">
      <c r="A49" vm="326">
        <f ca="1"/>
        <v>45729</v>
      </c>
      <c r="B49" vm="1789">
        <f ca="1"/>
        <v>7.1</v>
      </c>
    </row>
    <row r="50" spans="1:2" x14ac:dyDescent="0.25">
      <c r="A50" vm="330">
        <f ca="1"/>
        <v>45730</v>
      </c>
      <c r="B50" vm="447">
        <f ca="1"/>
        <v>7.2</v>
      </c>
    </row>
    <row r="51" spans="1:2" x14ac:dyDescent="0.25">
      <c r="A51" vm="337">
        <f ca="1"/>
        <v>45733</v>
      </c>
      <c r="B51" vm="1272">
        <f ca="1"/>
        <v>7.31</v>
      </c>
    </row>
    <row r="52" spans="1:2" x14ac:dyDescent="0.25">
      <c r="A52" vm="342">
        <f ca="1"/>
        <v>45734</v>
      </c>
      <c r="B52" vm="1270">
        <f ca="1"/>
        <v>7.3</v>
      </c>
    </row>
    <row r="53" spans="1:2" x14ac:dyDescent="0.25">
      <c r="A53" vm="348">
        <f ca="1"/>
        <v>45735</v>
      </c>
      <c r="B53" vm="1280">
        <f ca="1"/>
        <v>7.64</v>
      </c>
    </row>
    <row r="54" spans="1:2" x14ac:dyDescent="0.25">
      <c r="A54" vm="353">
        <f ca="1"/>
        <v>45736</v>
      </c>
      <c r="B54" vm="1733">
        <f ca="1"/>
        <v>7.56</v>
      </c>
    </row>
    <row r="55" spans="1:2" x14ac:dyDescent="0.25">
      <c r="A55" vm="360">
        <f ca="1"/>
        <v>45737</v>
      </c>
      <c r="B55" vm="1433">
        <f ca="1"/>
        <v>7.46</v>
      </c>
    </row>
    <row r="56" spans="1:2" x14ac:dyDescent="0.25">
      <c r="A56" vm="366">
        <f ca="1"/>
        <v>45740</v>
      </c>
      <c r="B56" vm="687">
        <f ca="1"/>
        <v>7.83</v>
      </c>
    </row>
    <row r="57" spans="1:2" x14ac:dyDescent="0.25">
      <c r="A57" vm="374">
        <f ca="1"/>
        <v>45741</v>
      </c>
      <c r="B57" vm="709">
        <f ca="1"/>
        <v>7.78</v>
      </c>
    </row>
    <row r="58" spans="1:2" x14ac:dyDescent="0.25">
      <c r="A58" vm="381">
        <f ca="1"/>
        <v>45742</v>
      </c>
      <c r="B58" vm="672">
        <f ca="1"/>
        <v>7.58</v>
      </c>
    </row>
    <row r="59" spans="1:2" x14ac:dyDescent="0.25">
      <c r="A59" vm="386">
        <f ca="1"/>
        <v>45743</v>
      </c>
      <c r="B59" vm="445">
        <f ca="1"/>
        <v>7.43</v>
      </c>
    </row>
    <row r="60" spans="1:2" x14ac:dyDescent="0.25">
      <c r="A60" vm="391">
        <f ca="1"/>
        <v>45744</v>
      </c>
      <c r="B60" vm="1275">
        <f ca="1"/>
        <v>7.25</v>
      </c>
    </row>
    <row r="61" spans="1:2" x14ac:dyDescent="0.25">
      <c r="A61" vm="398">
        <f ca="1"/>
        <v>45747</v>
      </c>
      <c r="B61" vm="1272">
        <f ca="1"/>
        <v>7.31</v>
      </c>
    </row>
    <row r="62" spans="1:2" x14ac:dyDescent="0.25">
      <c r="A62" vm="404">
        <f ca="1"/>
        <v>45748</v>
      </c>
      <c r="B62" vm="1700">
        <f ca="1"/>
        <v>7.47</v>
      </c>
    </row>
    <row r="63" spans="1:2" x14ac:dyDescent="0.25">
      <c r="A63" vm="410">
        <f ca="1"/>
        <v>45749</v>
      </c>
      <c r="B63" vm="671">
        <f ca="1"/>
        <v>7.55</v>
      </c>
    </row>
    <row r="64" spans="1:2" x14ac:dyDescent="0.25">
      <c r="A64" vm="415">
        <f ca="1"/>
        <v>45750</v>
      </c>
      <c r="B64" vm="772">
        <f ca="1"/>
        <v>6.73</v>
      </c>
    </row>
    <row r="65" spans="1:2" x14ac:dyDescent="0.25">
      <c r="A65" vm="418">
        <f ca="1"/>
        <v>45751</v>
      </c>
      <c r="B65" vm="790">
        <f ca="1"/>
        <v>6.21</v>
      </c>
    </row>
    <row r="66" spans="1:2" x14ac:dyDescent="0.25">
      <c r="A66" vm="426">
        <f ca="1"/>
        <v>45754</v>
      </c>
      <c r="B66" vm="836">
        <f ca="1"/>
        <v>6.18</v>
      </c>
    </row>
    <row r="67" spans="1:2" x14ac:dyDescent="0.25">
      <c r="A67" vm="432">
        <f ca="1"/>
        <v>45755</v>
      </c>
      <c r="B67" vm="813">
        <f ca="1"/>
        <v>5.9</v>
      </c>
    </row>
    <row r="68" spans="1:2" x14ac:dyDescent="0.25">
      <c r="A68" vm="439">
        <f ca="1"/>
        <v>45756</v>
      </c>
      <c r="B68" vm="1258">
        <f ca="1"/>
        <v>6.59</v>
      </c>
    </row>
    <row r="69" spans="1:2" x14ac:dyDescent="0.25">
      <c r="A69" vm="444">
        <f ca="1"/>
        <v>45757</v>
      </c>
      <c r="B69" vm="1019">
        <f ca="1"/>
        <v>6.25</v>
      </c>
    </row>
    <row r="70" spans="1:2" x14ac:dyDescent="0.25">
      <c r="A70" vm="451">
        <f ca="1"/>
        <v>45758</v>
      </c>
      <c r="B70" vm="1025">
        <f ca="1"/>
        <v>6.33</v>
      </c>
    </row>
    <row r="71" spans="1:2" x14ac:dyDescent="0.25">
      <c r="A71" vm="458">
        <f ca="1"/>
        <v>45761</v>
      </c>
      <c r="B71" vm="1042">
        <f ca="1"/>
        <v>6.41</v>
      </c>
    </row>
    <row r="72" spans="1:2" x14ac:dyDescent="0.25">
      <c r="A72" vm="463">
        <f ca="1"/>
        <v>45762</v>
      </c>
      <c r="B72" vm="797">
        <f ca="1"/>
        <v>6.43</v>
      </c>
    </row>
    <row r="73" spans="1:2" x14ac:dyDescent="0.25">
      <c r="A73" vm="470">
        <f ca="1"/>
        <v>45763</v>
      </c>
      <c r="B73" vm="1042">
        <f ca="1"/>
        <v>6.41</v>
      </c>
    </row>
    <row r="74" spans="1:2" x14ac:dyDescent="0.25">
      <c r="A74" vm="478">
        <f ca="1"/>
        <v>45764</v>
      </c>
      <c r="B74" vm="1035">
        <f ca="1"/>
        <v>6.36</v>
      </c>
    </row>
    <row r="75" spans="1:2" x14ac:dyDescent="0.25">
      <c r="A75" vm="484">
        <f ca="1"/>
        <v>45768</v>
      </c>
      <c r="B75" vm="1256">
        <f ca="1"/>
        <v>6.15</v>
      </c>
    </row>
    <row r="76" spans="1:2" x14ac:dyDescent="0.25">
      <c r="A76" vm="488">
        <f ca="1"/>
        <v>45769</v>
      </c>
      <c r="B76" vm="1021">
        <f ca="1"/>
        <v>6.29</v>
      </c>
    </row>
    <row r="77" spans="1:2" x14ac:dyDescent="0.25">
      <c r="A77" vm="491">
        <f ca="1"/>
        <v>45770</v>
      </c>
      <c r="B77" vm="1686">
        <f ca="1"/>
        <v>6.65</v>
      </c>
    </row>
    <row r="78" spans="1:2" x14ac:dyDescent="0.25">
      <c r="A78" vm="497">
        <f ca="1"/>
        <v>45771</v>
      </c>
      <c r="B78" vm="741">
        <f ca="1"/>
        <v>6.89</v>
      </c>
    </row>
    <row r="79" spans="1:2" x14ac:dyDescent="0.25">
      <c r="A79" vm="503">
        <f ca="1"/>
        <v>45772</v>
      </c>
      <c r="B79" vm="1703">
        <f ca="1"/>
        <v>6.97</v>
      </c>
    </row>
    <row r="80" spans="1:2" x14ac:dyDescent="0.25">
      <c r="A80" vm="508">
        <f ca="1"/>
        <v>45775</v>
      </c>
      <c r="B80" vm="729">
        <f ca="1"/>
        <v>6.95</v>
      </c>
    </row>
    <row r="81" spans="1:2" x14ac:dyDescent="0.25">
      <c r="A81" vm="512">
        <f ca="1"/>
        <v>45776</v>
      </c>
      <c r="B81" vm="1790">
        <f ca="1"/>
        <v>7.07</v>
      </c>
    </row>
    <row r="82" spans="1:2" x14ac:dyDescent="0.25">
      <c r="A82" vm="516">
        <f ca="1"/>
        <v>45777</v>
      </c>
      <c r="B82" vm="733">
        <f ca="1"/>
        <v>7.03</v>
      </c>
    </row>
    <row r="83" spans="1:2" x14ac:dyDescent="0.25">
      <c r="A83" vm="520">
        <f ca="1"/>
        <v>45778</v>
      </c>
      <c r="B83" vm="1791">
        <f ca="1"/>
        <v>7.09</v>
      </c>
    </row>
    <row r="84" spans="1:2" x14ac:dyDescent="0.25">
      <c r="A84" vm="523">
        <f ca="1"/>
        <v>45779</v>
      </c>
      <c r="B84" vm="1792">
        <f ca="1"/>
        <v>7.21</v>
      </c>
    </row>
    <row r="85" spans="1:2" x14ac:dyDescent="0.25">
      <c r="A85" vm="526">
        <f ca="1"/>
        <v>45782</v>
      </c>
      <c r="B85" vm="727">
        <f ca="1"/>
        <v>7.11</v>
      </c>
    </row>
    <row r="86" spans="1:2" x14ac:dyDescent="0.25">
      <c r="A86" vm="530">
        <f ca="1"/>
        <v>45783</v>
      </c>
      <c r="B86" vm="435">
        <f ca="1"/>
        <v>7.13</v>
      </c>
    </row>
    <row r="87" spans="1:2" x14ac:dyDescent="0.25">
      <c r="A87" vm="537">
        <f ca="1"/>
        <v>45784</v>
      </c>
      <c r="B87" vm="783">
        <f ca="1"/>
        <v>6.16</v>
      </c>
    </row>
    <row r="88" spans="1:2" x14ac:dyDescent="0.25">
      <c r="A88" vm="541">
        <f ca="1"/>
        <v>45785</v>
      </c>
      <c r="B88" vm="1025">
        <f ca="1"/>
        <v>6.33</v>
      </c>
    </row>
    <row r="89" spans="1:2" x14ac:dyDescent="0.25">
      <c r="A89" vm="546">
        <f ca="1"/>
        <v>45786</v>
      </c>
      <c r="B89" vm="764">
        <f ca="1"/>
        <v>6.63</v>
      </c>
    </row>
    <row r="90" spans="1:2" x14ac:dyDescent="0.25">
      <c r="A90" vm="550">
        <f ca="1"/>
        <v>45789</v>
      </c>
      <c r="B90" vm="1428">
        <f ca="1"/>
        <v>7.18</v>
      </c>
    </row>
    <row r="91" spans="1:2" x14ac:dyDescent="0.25">
      <c r="A91" vm="556">
        <f ca="1"/>
        <v>45790</v>
      </c>
      <c r="B91" vm="1433">
        <f ca="1"/>
        <v>7.46</v>
      </c>
    </row>
    <row r="92" spans="1:2" x14ac:dyDescent="0.25">
      <c r="A92" vm="560">
        <f ca="1"/>
        <v>45791</v>
      </c>
      <c r="B92" vm="720">
        <f ca="1"/>
        <v>7.28</v>
      </c>
    </row>
    <row r="93" spans="1:2" x14ac:dyDescent="0.25">
      <c r="A93" vm="564">
        <f ca="1"/>
        <v>45792</v>
      </c>
      <c r="B93" vm="1789">
        <f ca="1"/>
        <v>7.1</v>
      </c>
    </row>
    <row r="94" spans="1:2" x14ac:dyDescent="0.25">
      <c r="A94" vm="569">
        <f ca="1"/>
        <v>45793</v>
      </c>
      <c r="B94" vm="1792">
        <f ca="1"/>
        <v>7.21</v>
      </c>
    </row>
    <row r="95" spans="1:2" x14ac:dyDescent="0.25">
      <c r="A95" vm="573">
        <f ca="1"/>
        <v>45796</v>
      </c>
      <c r="B95" vm="429">
        <f ca="1"/>
        <v>7.14</v>
      </c>
    </row>
    <row r="96" spans="1:2" x14ac:dyDescent="0.25">
      <c r="A96" vm="577">
        <f ca="1"/>
        <v>45797</v>
      </c>
      <c r="B96" vm="1683">
        <f ca="1"/>
        <v>7.19</v>
      </c>
    </row>
    <row r="97" spans="1:2" x14ac:dyDescent="0.25">
      <c r="A97" vm="580">
        <f ca="1"/>
        <v>45798</v>
      </c>
      <c r="B97" vm="1277">
        <f ca="1"/>
        <v>6.9</v>
      </c>
    </row>
    <row r="98" spans="1:2" x14ac:dyDescent="0.25">
      <c r="A98" vm="583">
        <f ca="1"/>
        <v>45799</v>
      </c>
      <c r="B98" vm="731">
        <f ca="1"/>
        <v>6.87</v>
      </c>
    </row>
    <row r="99" spans="1:2" x14ac:dyDescent="0.25">
      <c r="A99" vm="588">
        <f ca="1"/>
        <v>45800</v>
      </c>
      <c r="B99" vm="746">
        <f ca="1"/>
        <v>6.81</v>
      </c>
    </row>
    <row r="100" spans="1:2" x14ac:dyDescent="0.25">
      <c r="A100" vm="593">
        <f ca="1"/>
        <v>45804</v>
      </c>
      <c r="B100" vm="780">
        <f ca="1"/>
        <v>6.86</v>
      </c>
    </row>
    <row r="101" spans="1:2" x14ac:dyDescent="0.25">
      <c r="A101" vm="598">
        <f ca="1"/>
        <v>45805</v>
      </c>
      <c r="B101" vm="746">
        <f ca="1"/>
        <v>6.81</v>
      </c>
    </row>
    <row r="102" spans="1:2" x14ac:dyDescent="0.25">
      <c r="A102" vm="601">
        <f ca="1"/>
        <v>45806</v>
      </c>
      <c r="B102" vm="441">
        <f ca="1"/>
        <v>6.83</v>
      </c>
    </row>
    <row r="103" spans="1:2" x14ac:dyDescent="0.25">
      <c r="A103" vm="604">
        <f ca="1"/>
        <v>45807</v>
      </c>
      <c r="B103" vm="746">
        <f ca="1"/>
        <v>6.81</v>
      </c>
    </row>
    <row r="104" spans="1:2" x14ac:dyDescent="0.25">
      <c r="A104" vm="606">
        <f ca="1"/>
        <v>45810</v>
      </c>
      <c r="B104" vm="737">
        <f ca="1"/>
        <v>6.78</v>
      </c>
    </row>
    <row r="105" spans="1:2" x14ac:dyDescent="0.25">
      <c r="A105" vm="608">
        <f ca="1"/>
        <v>45811</v>
      </c>
      <c r="B105" vm="745">
        <f ca="1"/>
        <v>6.71</v>
      </c>
    </row>
    <row r="106" spans="1:2" x14ac:dyDescent="0.25">
      <c r="A106" vm="610">
        <f ca="1"/>
        <v>45812</v>
      </c>
      <c r="B106" vm="753">
        <f ca="1"/>
        <v>6.77</v>
      </c>
    </row>
    <row r="107" spans="1:2" x14ac:dyDescent="0.25">
      <c r="A107" vm="612">
        <f ca="1"/>
        <v>45813</v>
      </c>
      <c r="B107" vm="1793">
        <f ca="1"/>
        <v>6.88</v>
      </c>
    </row>
    <row r="108" spans="1:2" x14ac:dyDescent="0.25">
      <c r="A108" vm="615">
        <f ca="1"/>
        <v>45814</v>
      </c>
      <c r="B108" vm="733">
        <f ca="1"/>
        <v>7.03</v>
      </c>
    </row>
    <row r="109" spans="1:2" x14ac:dyDescent="0.25">
      <c r="A109" vm="617">
        <f ca="1"/>
        <v>45817</v>
      </c>
      <c r="B109" vm="1268">
        <f ca="1"/>
        <v>6.98</v>
      </c>
    </row>
    <row r="110" spans="1:2" x14ac:dyDescent="0.25">
      <c r="A110" vm="619">
        <f ca="1"/>
        <v>45818</v>
      </c>
      <c r="B110" vm="780">
        <f ca="1"/>
        <v>6.86</v>
      </c>
    </row>
    <row r="111" spans="1:2" x14ac:dyDescent="0.25">
      <c r="A111" vm="620">
        <f ca="1"/>
        <v>45819</v>
      </c>
      <c r="B111" vm="1727">
        <f ca="1"/>
        <v>6.96</v>
      </c>
    </row>
    <row r="112" spans="1:2" x14ac:dyDescent="0.25">
      <c r="A112" vm="622">
        <f ca="1"/>
        <v>45820</v>
      </c>
      <c r="B112" vm="1277">
        <f ca="1"/>
        <v>6.9</v>
      </c>
    </row>
    <row r="113" spans="1:2" x14ac:dyDescent="0.25">
      <c r="A113" vm="626">
        <f ca="1"/>
        <v>45821</v>
      </c>
      <c r="B113" vm="771">
        <f ca="1"/>
        <v>6.51</v>
      </c>
    </row>
    <row r="114" spans="1:2" x14ac:dyDescent="0.25">
      <c r="A114" vm="629">
        <f ca="1"/>
        <v>45824</v>
      </c>
      <c r="B114" vm="761">
        <f ca="1"/>
        <v>6.66</v>
      </c>
    </row>
    <row r="115" spans="1:2" x14ac:dyDescent="0.25">
      <c r="A115" vm="632">
        <f ca="1"/>
        <v>45825</v>
      </c>
      <c r="B115" vm="1258">
        <f ca="1"/>
        <v>6.59</v>
      </c>
    </row>
    <row r="116" spans="1:2" x14ac:dyDescent="0.25">
      <c r="A116" vm="634">
        <f ca="1"/>
        <v>45826</v>
      </c>
      <c r="B116" vm="767">
        <f ca="1"/>
        <v>6.53</v>
      </c>
    </row>
    <row r="117" spans="1:2" x14ac:dyDescent="0.25">
      <c r="A117" vm="636">
        <f ca="1"/>
        <v>45828</v>
      </c>
      <c r="B117" vm="791">
        <f ca="1"/>
        <v>6.49</v>
      </c>
    </row>
    <row r="118" spans="1:2" x14ac:dyDescent="0.25">
      <c r="A118" vm="638">
        <f ca="1"/>
        <v>45831</v>
      </c>
      <c r="B118" vm="761">
        <f ca="1"/>
        <v>6.66</v>
      </c>
    </row>
    <row r="119" spans="1:2" x14ac:dyDescent="0.25">
      <c r="A119" vm="640">
        <f ca="1"/>
        <v>45832</v>
      </c>
      <c r="B119" vm="740">
        <f ca="1"/>
        <v>6.91</v>
      </c>
    </row>
    <row r="120" spans="1:2" x14ac:dyDescent="0.25">
      <c r="A120" vm="643">
        <f ca="1"/>
        <v>45833</v>
      </c>
      <c r="B120" vm="742">
        <f ca="1"/>
        <v>6.76</v>
      </c>
    </row>
    <row r="121" spans="1:2" x14ac:dyDescent="0.25">
      <c r="A121" vm="644">
        <f ca="1"/>
        <v>45834</v>
      </c>
      <c r="B121" vm="749">
        <f ca="1"/>
        <v>6.82</v>
      </c>
    </row>
    <row r="122" spans="1:2" x14ac:dyDescent="0.25">
      <c r="A122" vm="645">
        <f ca="1"/>
        <v>45835</v>
      </c>
      <c r="B122" vm="764">
        <f ca="1"/>
        <v>6.63</v>
      </c>
    </row>
    <row r="123" spans="1:2" x14ac:dyDescent="0.25">
      <c r="A123" vm="646">
        <f ca="1"/>
        <v>45838</v>
      </c>
      <c r="B123" vm="732">
        <f ca="1"/>
        <v>6.85</v>
      </c>
    </row>
    <row r="124" spans="1:2" x14ac:dyDescent="0.25">
      <c r="A124" vm="648">
        <f ca="1"/>
        <v>45839</v>
      </c>
      <c r="B124" vm="741">
        <f ca="1"/>
        <v>6.89</v>
      </c>
    </row>
    <row r="125" spans="1:2" x14ac:dyDescent="0.25">
      <c r="A125" vm="649">
        <f ca="1"/>
        <v>45840</v>
      </c>
      <c r="B125" vm="776">
        <f ca="1"/>
        <v>6.93</v>
      </c>
    </row>
    <row r="126" spans="1:2" x14ac:dyDescent="0.25">
      <c r="A126" vm="651">
        <f ca="1"/>
        <v>45841</v>
      </c>
      <c r="B126" vm="1268">
        <f ca="1"/>
        <v>6.98</v>
      </c>
    </row>
    <row r="127" spans="1:2" x14ac:dyDescent="0.25">
      <c r="A127" vm="653">
        <f ca="1"/>
        <v>45845</v>
      </c>
      <c r="B127" vm="762">
        <f ca="1"/>
        <v>6.68</v>
      </c>
    </row>
    <row r="128" spans="1:2" x14ac:dyDescent="0.25">
      <c r="A128" vm="655">
        <f ca="1"/>
        <v>45846</v>
      </c>
      <c r="B128" vm="1264">
        <f ca="1"/>
        <v>6.75</v>
      </c>
    </row>
    <row r="129" spans="1:2" x14ac:dyDescent="0.25">
      <c r="A129" vm="658">
        <f ca="1"/>
        <v>45847</v>
      </c>
      <c r="B129" vm="741">
        <f ca="1"/>
        <v>6.89</v>
      </c>
    </row>
    <row r="130" spans="1:2" x14ac:dyDescent="0.25">
      <c r="A130" vm="659">
        <f ca="1"/>
        <v>45848</v>
      </c>
      <c r="B130" vm="441">
        <f ca="1"/>
        <v>6.83</v>
      </c>
    </row>
    <row r="131" spans="1:2" x14ac:dyDescent="0.25">
      <c r="A131" vm="661">
        <f ca="1"/>
        <v>45849</v>
      </c>
      <c r="B131" vm="768">
        <f ca="1"/>
        <v>6.48</v>
      </c>
    </row>
    <row r="132" spans="1:2" x14ac:dyDescent="0.25">
      <c r="A132" vm="663">
        <f ca="1"/>
        <v>45852</v>
      </c>
      <c r="B132" vm="1794">
        <f ca="1"/>
        <v>6.94</v>
      </c>
    </row>
    <row r="133" spans="1:2" x14ac:dyDescent="0.25">
      <c r="A133" vm="664">
        <f ca="1"/>
        <v>45853</v>
      </c>
      <c r="B133" vm="761">
        <f ca="1"/>
        <v>6.66</v>
      </c>
    </row>
    <row r="134" spans="1:2" x14ac:dyDescent="0.25">
      <c r="A134" vm="666">
        <f ca="1"/>
        <v>45854</v>
      </c>
      <c r="B134" vm="778">
        <f ca="1"/>
        <v>6.84</v>
      </c>
    </row>
    <row r="135" spans="1:2" x14ac:dyDescent="0.25">
      <c r="A135" vm="668">
        <f ca="1"/>
        <v>45855</v>
      </c>
      <c r="B135" vm="1277">
        <f ca="1"/>
        <v>6.9</v>
      </c>
    </row>
    <row r="136" spans="1:2" x14ac:dyDescent="0.25">
      <c r="A136" vm="1">
        <f ca="1"/>
        <v>45856</v>
      </c>
      <c r="B136" vm="746">
        <f ca="1"/>
        <v>6.81</v>
      </c>
    </row>
    <row r="137" spans="1:2" x14ac:dyDescent="0.25">
      <c r="A137" vm="9">
        <f ca="1"/>
        <v>45859</v>
      </c>
      <c r="B137" vm="441">
        <f ca="1"/>
        <v>6.83</v>
      </c>
    </row>
    <row r="138" spans="1:2" x14ac:dyDescent="0.25">
      <c r="A138" vm="17">
        <f ca="1"/>
        <v>45860</v>
      </c>
      <c r="B138" vm="778">
        <f ca="1"/>
        <v>6.84</v>
      </c>
    </row>
    <row r="139" spans="1:2" x14ac:dyDescent="0.25">
      <c r="A139" vm="25">
        <f ca="1"/>
        <v>45861</v>
      </c>
      <c r="B139" vm="746">
        <f ca="1"/>
        <v>6.81</v>
      </c>
    </row>
    <row r="140" spans="1:2" x14ac:dyDescent="0.25">
      <c r="A140" vm="31">
        <f ca="1"/>
        <v>45862</v>
      </c>
      <c r="B140" vm="1423">
        <f ca="1"/>
        <v>6.72</v>
      </c>
    </row>
    <row r="141" spans="1:2" x14ac:dyDescent="0.25">
      <c r="A141" vm="39">
        <f ca="1"/>
        <v>45863</v>
      </c>
      <c r="B141" vm="746">
        <f ca="1"/>
        <v>6.81</v>
      </c>
    </row>
    <row r="142" spans="1:2" x14ac:dyDescent="0.25">
      <c r="A142" vm="47">
        <f ca="1"/>
        <v>45866</v>
      </c>
      <c r="B142" vm="1423">
        <f ca="1"/>
        <v>6.72</v>
      </c>
    </row>
    <row r="143" spans="1:2" x14ac:dyDescent="0.25">
      <c r="A143" vm="55">
        <f ca="1"/>
        <v>45867</v>
      </c>
      <c r="B143" vm="1267">
        <f ca="1"/>
        <v>6.61</v>
      </c>
    </row>
    <row r="144" spans="1:2" x14ac:dyDescent="0.25">
      <c r="A144" vm="62">
        <f ca="1"/>
        <v>45868</v>
      </c>
      <c r="B144" vm="761">
        <f ca="1"/>
        <v>6.66</v>
      </c>
    </row>
    <row r="145" spans="1:2" x14ac:dyDescent="0.25">
      <c r="A145" vm="70">
        <f ca="1"/>
        <v>45869</v>
      </c>
      <c r="B145" vm="763">
        <f ca="1"/>
        <v>6.57</v>
      </c>
    </row>
    <row r="146" spans="1:2" x14ac:dyDescent="0.25">
      <c r="A146" vm="78">
        <f ca="1"/>
        <v>45870</v>
      </c>
      <c r="B146" vm="1034">
        <f ca="1"/>
        <v>6.28</v>
      </c>
    </row>
    <row r="147" spans="1:2" x14ac:dyDescent="0.25">
      <c r="A147" vm="85">
        <f ca="1"/>
        <v>45873</v>
      </c>
      <c r="B147" vm="1047">
        <f ca="1"/>
        <v>6.35</v>
      </c>
    </row>
    <row r="148" spans="1:2" x14ac:dyDescent="0.25">
      <c r="A148" vm="92">
        <f ca="1"/>
        <v>45874</v>
      </c>
      <c r="B148" vm="792">
        <f ca="1"/>
        <v>6.5</v>
      </c>
    </row>
    <row r="149" spans="1:2" x14ac:dyDescent="0.25">
      <c r="A149" vm="100">
        <f ca="1"/>
        <v>45875</v>
      </c>
      <c r="B149" vm="1702">
        <f ca="1"/>
        <v>7.42</v>
      </c>
    </row>
    <row r="150" spans="1:2" x14ac:dyDescent="0.25">
      <c r="A150" vm="108">
        <f ca="1"/>
        <v>45876</v>
      </c>
      <c r="B150" vm="735">
        <f ca="1"/>
        <v>6.99</v>
      </c>
    </row>
    <row r="151" spans="1:2" x14ac:dyDescent="0.25">
      <c r="A151" vm="115">
        <f ca="1"/>
        <v>45877</v>
      </c>
      <c r="B151" vm="769">
        <f ca="1"/>
        <v>6.64</v>
      </c>
    </row>
    <row r="152" spans="1:2" x14ac:dyDescent="0.25">
      <c r="A152" vm="122">
        <f ca="1"/>
        <v>45880</v>
      </c>
      <c r="B152" vm="764">
        <f ca="1"/>
        <v>6.63</v>
      </c>
    </row>
    <row r="153" spans="1:2" x14ac:dyDescent="0.25">
      <c r="A153" vm="128">
        <f ca="1"/>
        <v>45881</v>
      </c>
      <c r="B153" vm="737">
        <f ca="1"/>
        <v>6.78</v>
      </c>
    </row>
    <row r="154" spans="1:2" x14ac:dyDescent="0.25">
      <c r="A154" vm="135">
        <f ca="1"/>
        <v>45882</v>
      </c>
      <c r="B154" vm="746">
        <f ca="1"/>
        <v>6.81</v>
      </c>
    </row>
    <row r="155" spans="1:2" x14ac:dyDescent="0.25">
      <c r="A155" vm="142">
        <f ca="1"/>
        <v>45883</v>
      </c>
      <c r="B155" vm="1262">
        <f ca="1"/>
        <v>6.69</v>
      </c>
    </row>
    <row r="156" spans="1:2" x14ac:dyDescent="0.25">
      <c r="A156" vm="146">
        <f ca="1"/>
        <v>45884</v>
      </c>
      <c r="B156" vm="772">
        <f ca="1"/>
        <v>6.73</v>
      </c>
    </row>
    <row r="157" spans="1:2" x14ac:dyDescent="0.25">
      <c r="A157" vm="154">
        <f ca="1"/>
        <v>45887</v>
      </c>
      <c r="B157" vm="780">
        <f ca="1"/>
        <v>6.86</v>
      </c>
    </row>
    <row r="158" spans="1:2" x14ac:dyDescent="0.25">
      <c r="A158" vm="161">
        <f ca="1"/>
        <v>45888</v>
      </c>
      <c r="B158" vm="745">
        <f ca="1"/>
        <v>6.71</v>
      </c>
    </row>
    <row r="159" spans="1:2" x14ac:dyDescent="0.25">
      <c r="A159" vm="168">
        <f ca="1"/>
        <v>45889</v>
      </c>
      <c r="B159" vm="1686">
        <f ca="1"/>
        <v>6.65</v>
      </c>
    </row>
    <row r="160" spans="1:2" x14ac:dyDescent="0.25">
      <c r="A160" vm="174">
        <f ca="1"/>
        <v>45890</v>
      </c>
      <c r="B160" vm="1686">
        <f ca="1"/>
        <v>6.65</v>
      </c>
    </row>
    <row r="161" spans="1:2" x14ac:dyDescent="0.25">
      <c r="A161" vm="180">
        <f ca="1"/>
        <v>45891</v>
      </c>
      <c r="B161" vm="736">
        <f ca="1"/>
        <v>7.01</v>
      </c>
    </row>
    <row r="162" spans="1:2" x14ac:dyDescent="0.25">
      <c r="A162" vm="186">
        <f ca="1"/>
        <v>45894</v>
      </c>
      <c r="B162" vm="737">
        <f ca="1"/>
        <v>6.78</v>
      </c>
    </row>
    <row r="163" spans="1:2" x14ac:dyDescent="0.25">
      <c r="A163" vm="193">
        <f ca="1"/>
        <v>45895</v>
      </c>
      <c r="B163" vm="742">
        <f ca="1"/>
        <v>6.76</v>
      </c>
    </row>
    <row r="164" spans="1:2" x14ac:dyDescent="0.25">
      <c r="A164" vm="199">
        <f ca="1"/>
        <v>45896</v>
      </c>
      <c r="B164" vm="1667">
        <f ca="1"/>
        <v>6.79</v>
      </c>
    </row>
    <row r="165" spans="1:2" x14ac:dyDescent="0.25">
      <c r="A165" vm="206">
        <f ca="1"/>
        <v>45897</v>
      </c>
      <c r="B165" vm="1793">
        <f ca="1"/>
        <v>6.88</v>
      </c>
    </row>
    <row r="166" spans="1:2" x14ac:dyDescent="0.25">
      <c r="A166" vm="210">
        <f ca="1"/>
        <v>45898</v>
      </c>
      <c r="B166" vm="729">
        <f ca="1"/>
        <v>6.95</v>
      </c>
    </row>
    <row r="167" spans="1:2" x14ac:dyDescent="0.25">
      <c r="A167" vm="216">
        <f ca="1"/>
        <v>45902</v>
      </c>
      <c r="B167" vm="743">
        <f ca="1"/>
        <v>6.74</v>
      </c>
    </row>
    <row r="168" spans="1:2" x14ac:dyDescent="0.25">
      <c r="A168" vm="223">
        <f ca="1"/>
        <v>45903</v>
      </c>
      <c r="B168" vm="742">
        <f ca="1"/>
        <v>6.76</v>
      </c>
    </row>
    <row r="169" spans="1:2" x14ac:dyDescent="0.25">
      <c r="A169" vm="229">
        <f ca="1"/>
        <v>45904</v>
      </c>
      <c r="B169" vm="755">
        <f ca="1"/>
        <v>6.7</v>
      </c>
    </row>
    <row r="170" spans="1:2" x14ac:dyDescent="0.25">
      <c r="A170" vm="235">
        <f ca="1"/>
        <v>45905</v>
      </c>
      <c r="B170" vm="1686">
        <f ca="1"/>
        <v>6.65</v>
      </c>
    </row>
    <row r="171" spans="1:2" x14ac:dyDescent="0.25">
      <c r="A171" vm="242">
        <f ca="1"/>
        <v>45908</v>
      </c>
      <c r="B171" vm="742">
        <f ca="1"/>
        <v>6.76</v>
      </c>
    </row>
    <row r="172" spans="1:2" x14ac:dyDescent="0.25">
      <c r="A172" vm="250">
        <f ca="1"/>
        <v>45909</v>
      </c>
      <c r="B172" vm="746">
        <f ca="1"/>
        <v>6.81</v>
      </c>
    </row>
    <row r="173" spans="1:2" x14ac:dyDescent="0.25">
      <c r="A173" vm="257">
        <f ca="1"/>
        <v>45910</v>
      </c>
      <c r="B173" vm="1023">
        <f ca="1"/>
        <v>6.47</v>
      </c>
    </row>
    <row r="174" spans="1:2" x14ac:dyDescent="0.25">
      <c r="A174" vm="264">
        <f ca="1"/>
        <v>45911</v>
      </c>
      <c r="B174" vm="769">
        <f ca="1"/>
        <v>6.64</v>
      </c>
    </row>
    <row r="175" spans="1:2" x14ac:dyDescent="0.25">
      <c r="A175" vm="271">
        <f ca="1"/>
        <v>45912</v>
      </c>
      <c r="B175" vm="792">
        <f ca="1"/>
        <v>6.5</v>
      </c>
    </row>
    <row r="176" spans="1:2" x14ac:dyDescent="0.25">
      <c r="A176" vm="279">
        <f ca="1"/>
        <v>45915</v>
      </c>
      <c r="B176" vm="768">
        <f ca="1"/>
        <v>6.48</v>
      </c>
    </row>
    <row r="177" spans="1:2" x14ac:dyDescent="0.25">
      <c r="A177" vm="285">
        <f ca="1"/>
        <v>45916</v>
      </c>
      <c r="B177" vm="763">
        <f ca="1"/>
        <v>6.57</v>
      </c>
    </row>
    <row r="178" spans="1:2" x14ac:dyDescent="0.25">
      <c r="A178" vm="292">
        <f ca="1"/>
        <v>45917</v>
      </c>
      <c r="B178" vm="737">
        <f ca="1"/>
        <v>6.78</v>
      </c>
    </row>
    <row r="179" spans="1:2" x14ac:dyDescent="0.25">
      <c r="A179" vm="298">
        <f ca="1"/>
        <v>45918</v>
      </c>
      <c r="B179" vm="769">
        <f ca="1"/>
        <v>6.64</v>
      </c>
    </row>
    <row r="180" spans="1:2" x14ac:dyDescent="0.25">
      <c r="A180" vm="303">
        <f ca="1"/>
        <v>45919</v>
      </c>
      <c r="B180" vm="1258">
        <f ca="1"/>
        <v>6.59</v>
      </c>
    </row>
    <row r="181" spans="1:2" x14ac:dyDescent="0.25">
      <c r="A181" vm="310">
        <f ca="1"/>
        <v>45922</v>
      </c>
      <c r="B181" vm="1423">
        <f ca="1"/>
        <v>6.72</v>
      </c>
    </row>
    <row r="182" spans="1:2" x14ac:dyDescent="0.25">
      <c r="A182" vm="317">
        <f ca="1"/>
        <v>45923</v>
      </c>
      <c r="B182" vm="763">
        <f ca="1"/>
        <v>6.57</v>
      </c>
    </row>
    <row r="183" spans="1:2" x14ac:dyDescent="0.25">
      <c r="A183" vm="323">
        <f ca="1"/>
        <v>45924</v>
      </c>
      <c r="B183" vm="1023">
        <f ca="1"/>
        <v>6.47</v>
      </c>
    </row>
    <row r="184" spans="1:2" x14ac:dyDescent="0.25">
      <c r="A184" vm="328">
        <f ca="1"/>
        <v>45925</v>
      </c>
      <c r="B184" vm="794">
        <f ca="1"/>
        <v>6.39</v>
      </c>
    </row>
    <row r="185" spans="1:2" x14ac:dyDescent="0.25">
      <c r="A185" vm="334">
        <f ca="1"/>
        <v>45926</v>
      </c>
      <c r="B185" vm="1025">
        <f ca="1"/>
        <v>6.33</v>
      </c>
    </row>
    <row r="186" spans="1:2" x14ac:dyDescent="0.25">
      <c r="A186" vm="340">
        <f ca="1"/>
        <v>45929</v>
      </c>
      <c r="B186" vm="1021">
        <f ca="1"/>
        <v>6.29</v>
      </c>
    </row>
    <row r="187" spans="1:2" x14ac:dyDescent="0.25">
      <c r="A187" vm="346">
        <f ca="1"/>
        <v>45930</v>
      </c>
      <c r="B187" vm="843">
        <f ca="1"/>
        <v>6.05</v>
      </c>
    </row>
    <row r="188" spans="1:2" x14ac:dyDescent="0.25">
      <c r="A188" vm="352">
        <f ca="1"/>
        <v>45931</v>
      </c>
      <c r="B188" vm="787">
        <f ca="1"/>
        <v>6.03</v>
      </c>
    </row>
    <row r="189" spans="1:2" x14ac:dyDescent="0.25">
      <c r="A189" vm="357">
        <f ca="1"/>
        <v>45932</v>
      </c>
      <c r="B189" vm="1795">
        <f ca="1"/>
        <v>6.07</v>
      </c>
    </row>
    <row r="190" spans="1:2" x14ac:dyDescent="0.25">
      <c r="A190" vm="362">
        <f ca="1"/>
        <v>45933</v>
      </c>
      <c r="B190" vm="785">
        <f ca="1"/>
        <v>6.13</v>
      </c>
    </row>
    <row r="191" spans="1:2" x14ac:dyDescent="0.25">
      <c r="A191" vm="370">
        <f ca="1"/>
        <v>45936</v>
      </c>
      <c r="B191" vm="1031">
        <f ca="1"/>
        <v>6.2</v>
      </c>
    </row>
    <row r="192" spans="1:2" x14ac:dyDescent="0.25">
      <c r="A192" vm="378">
        <f ca="1"/>
        <v>45937</v>
      </c>
      <c r="B192" vm="833">
        <f ca="1"/>
        <v>6.11</v>
      </c>
    </row>
    <row r="193" spans="1:2" x14ac:dyDescent="0.25">
      <c r="A193" vm="383">
        <f ca="1"/>
        <v>45938</v>
      </c>
      <c r="B193" vm="1256">
        <f ca="1"/>
        <v>6.15</v>
      </c>
    </row>
    <row r="194" spans="1:2" x14ac:dyDescent="0.25">
      <c r="A194" vm="389">
        <f ca="1"/>
        <v>45939</v>
      </c>
      <c r="B194" vm="832">
        <f ca="1"/>
        <v>6.06</v>
      </c>
    </row>
    <row r="195" spans="1:2" x14ac:dyDescent="0.25">
      <c r="A195" vm="395">
        <f ca="1"/>
        <v>45940</v>
      </c>
      <c r="B195" vm="812">
        <f ca="1"/>
        <v>5.85</v>
      </c>
    </row>
    <row r="196" spans="1:2" x14ac:dyDescent="0.25">
      <c r="A196" vm="402">
        <f ca="1"/>
        <v>45943</v>
      </c>
      <c r="B196" vm="823">
        <f ca="1"/>
        <v>5.84</v>
      </c>
    </row>
    <row r="197" spans="1:2" x14ac:dyDescent="0.25">
      <c r="A197" vm="407">
        <f ca="1"/>
        <v>45944</v>
      </c>
      <c r="B197" vm="837">
        <f ca="1"/>
        <v>5.94</v>
      </c>
    </row>
    <row r="198" spans="1:2" x14ac:dyDescent="0.25">
      <c r="A198" vm="411">
        <f ca="1"/>
        <v>45945</v>
      </c>
      <c r="B198" vm="826">
        <f ca="1"/>
        <v>5.91</v>
      </c>
    </row>
    <row r="199" spans="1:2" x14ac:dyDescent="0.25">
      <c r="A199" vm="416">
        <f ca="1"/>
        <v>45946</v>
      </c>
      <c r="B199" vm="850">
        <f ca="1"/>
        <v>5.72</v>
      </c>
    </row>
    <row r="200" spans="1:2" x14ac:dyDescent="0.25">
      <c r="A200" vm="422">
        <f ca="1"/>
        <v>45947</v>
      </c>
      <c r="B200" vm="810">
        <f ca="1"/>
        <v>5.8</v>
      </c>
    </row>
    <row r="201" spans="1:2" x14ac:dyDescent="0.25">
      <c r="A201" vm="430">
        <f ca="1"/>
        <v>45950</v>
      </c>
      <c r="B201" vm="842">
        <f ca="1"/>
        <v>5.96</v>
      </c>
    </row>
    <row r="202" spans="1:2" x14ac:dyDescent="0.25">
      <c r="A202" vm="436">
        <f ca="1"/>
        <v>45951</v>
      </c>
      <c r="B202" vm="787">
        <f ca="1"/>
        <v>6.03</v>
      </c>
    </row>
    <row r="203" spans="1:2" x14ac:dyDescent="0.25">
      <c r="A203" vm="442">
        <f ca="1"/>
        <v>45952</v>
      </c>
      <c r="B203" vm="816">
        <f ca="1"/>
        <v>6</v>
      </c>
    </row>
    <row r="204" spans="1:2" x14ac:dyDescent="0.25">
      <c r="A204" vm="448">
        <f ca="1"/>
        <v>45953</v>
      </c>
      <c r="B204" vm="787">
        <f ca="1"/>
        <v>6.03</v>
      </c>
    </row>
    <row r="205" spans="1:2" x14ac:dyDescent="0.25">
      <c r="A205" vm="455">
        <f ca="1"/>
        <v>45954</v>
      </c>
      <c r="B205" vm="1795">
        <f ca="1"/>
        <v>6.07</v>
      </c>
    </row>
    <row r="206" spans="1:2" x14ac:dyDescent="0.25">
      <c r="A206" vm="462">
        <f ca="1"/>
        <v>45957</v>
      </c>
      <c r="B206" vm="1796">
        <f ca="1"/>
        <v>6.19</v>
      </c>
    </row>
    <row r="207" spans="1:2" x14ac:dyDescent="0.25">
      <c r="A207" vm="467">
        <f ca="1"/>
        <v>45958</v>
      </c>
      <c r="B207" vm="838">
        <f ca="1"/>
        <v>6.12</v>
      </c>
    </row>
    <row r="208" spans="1:2" x14ac:dyDescent="0.25">
      <c r="A208" vm="474">
        <f ca="1"/>
        <v>45959</v>
      </c>
      <c r="B208" vm="815">
        <f ca="1"/>
        <v>5.87</v>
      </c>
    </row>
    <row r="209" spans="1:2" x14ac:dyDescent="0.25">
      <c r="A209" vm="481">
        <f ca="1"/>
        <v>45960</v>
      </c>
      <c r="B209" vm="824">
        <f ca="1"/>
        <v>5.75</v>
      </c>
    </row>
    <row r="210" spans="1:2" x14ac:dyDescent="0.25">
      <c r="A210" vm="487">
        <f ca="1"/>
        <v>45961</v>
      </c>
      <c r="B210" vm="821">
        <f ca="1"/>
        <v>5.79</v>
      </c>
    </row>
    <row r="211" spans="1:2" x14ac:dyDescent="0.25">
      <c r="A211" vm="490">
        <f ca="1"/>
        <v>45964</v>
      </c>
      <c r="B211" vm="809">
        <f ca="1"/>
        <v>5.73</v>
      </c>
    </row>
    <row r="212" spans="1:2" x14ac:dyDescent="0.25">
      <c r="A212" vm="494">
        <f ca="1"/>
        <v>45965</v>
      </c>
      <c r="B212" vm="821">
        <f ca="1"/>
        <v>5.79</v>
      </c>
    </row>
    <row r="213" spans="1:2" x14ac:dyDescent="0.25">
      <c r="A213" vm="500">
        <f ca="1"/>
        <v>45966</v>
      </c>
      <c r="B213" vm="831">
        <f ca="1"/>
        <v>5.47</v>
      </c>
    </row>
    <row r="214" spans="1:2" x14ac:dyDescent="0.25">
      <c r="A214" vm="506">
        <f ca="1"/>
        <v>45967</v>
      </c>
      <c r="B214" vm="989">
        <f ca="1"/>
        <v>5.27</v>
      </c>
    </row>
    <row r="215" spans="1:2" x14ac:dyDescent="0.25">
      <c r="A215" vm="510">
        <f ca="1"/>
        <v>45968</v>
      </c>
      <c r="B215" vm="969">
        <f ca="1"/>
        <v>5.37</v>
      </c>
    </row>
    <row r="216" spans="1:2" x14ac:dyDescent="0.25">
      <c r="A216" vm="514">
        <f ca="1"/>
        <v>45971</v>
      </c>
      <c r="B216" vm="827">
        <f ca="1"/>
        <v>5.67</v>
      </c>
    </row>
    <row r="217" spans="1:2" x14ac:dyDescent="0.25">
      <c r="A217" vm="518">
        <f ca="1"/>
        <v>45972</v>
      </c>
      <c r="B217" vm="828">
        <f ca="1"/>
        <v>5.63</v>
      </c>
    </row>
    <row r="218" spans="1:2" x14ac:dyDescent="0.25">
      <c r="A218" vm="521">
        <f ca="1"/>
        <v>45973</v>
      </c>
      <c r="B218" vm="824">
        <f ca="1"/>
        <v>5.75</v>
      </c>
    </row>
    <row r="219" spans="1:2" x14ac:dyDescent="0.25">
      <c r="A219" vm="525">
        <f ca="1"/>
        <v>45974</v>
      </c>
      <c r="B219" vm="851">
        <f ca="1"/>
        <v>5.57</v>
      </c>
    </row>
    <row r="220" spans="1:2" x14ac:dyDescent="0.25">
      <c r="A220" vm="528">
        <f ca="1"/>
        <v>45975</v>
      </c>
      <c r="B220" vm="960">
        <f ca="1"/>
        <v>5.54</v>
      </c>
    </row>
    <row r="221" spans="1:2" x14ac:dyDescent="0.25">
      <c r="A221" vm="533">
        <f ca="1"/>
        <v>45978</v>
      </c>
      <c r="B221" vm="853">
        <f ca="1"/>
        <v>5.4</v>
      </c>
    </row>
    <row r="222" spans="1:2" x14ac:dyDescent="0.25">
      <c r="A222" vm="540">
        <f ca="1"/>
        <v>45979</v>
      </c>
      <c r="B222" vm="955">
        <f ca="1"/>
        <v>5.35</v>
      </c>
    </row>
    <row r="223" spans="1:2" x14ac:dyDescent="0.25">
      <c r="A223" vm="543">
        <f ca="1"/>
        <v>45980</v>
      </c>
      <c r="B223" vm="987">
        <f ca="1"/>
        <v>5.45</v>
      </c>
    </row>
    <row r="224" spans="1:2" x14ac:dyDescent="0.25">
      <c r="A224" vm="548">
        <f ca="1"/>
        <v>45981</v>
      </c>
      <c r="B224" vm="972">
        <f ca="1"/>
        <v>5.38</v>
      </c>
    </row>
    <row r="225" spans="1:2" x14ac:dyDescent="0.25">
      <c r="A225" vm="553">
        <f ca="1"/>
        <v>45982</v>
      </c>
      <c r="B225" vm="960">
        <f ca="1"/>
        <v>5.54</v>
      </c>
    </row>
    <row r="226" spans="1:2" x14ac:dyDescent="0.25">
      <c r="A226" vm="559">
        <f ca="1"/>
        <v>45985</v>
      </c>
      <c r="B226" vm="803">
        <f ca="1"/>
        <v>5.51</v>
      </c>
    </row>
    <row r="227" spans="1:2" x14ac:dyDescent="0.25">
      <c r="A227" vm="562">
        <f ca="1"/>
        <v>45986</v>
      </c>
      <c r="B227" vm="1658">
        <f ca="1"/>
        <v>5.7</v>
      </c>
    </row>
    <row r="228" spans="1:2" x14ac:dyDescent="0.25">
      <c r="A228" vm="566">
        <f ca="1"/>
        <v>45987</v>
      </c>
      <c r="B228" vm="818">
        <f ca="1"/>
        <v>5.74</v>
      </c>
    </row>
    <row r="229" spans="1:2" x14ac:dyDescent="0.25">
      <c r="A229" vm="572">
        <f ca="1"/>
        <v>45989</v>
      </c>
      <c r="B229" vm="849">
        <f ca="1"/>
        <v>5.78</v>
      </c>
    </row>
    <row r="230" spans="1:2" x14ac:dyDescent="0.25">
      <c r="A230" vm="574">
        <f ca="1"/>
        <v>45992</v>
      </c>
      <c r="B230" vm="850">
        <f ca="1"/>
        <v>5.72</v>
      </c>
    </row>
    <row r="231" spans="1:2" x14ac:dyDescent="0.25">
      <c r="A231" vm="579">
        <f ca="1"/>
        <v>45993</v>
      </c>
      <c r="B231" vm="824">
        <f ca="1"/>
        <v>5.75</v>
      </c>
    </row>
    <row r="232" spans="1:2" x14ac:dyDescent="0.25">
      <c r="A232" vm="581">
        <f ca="1"/>
        <v>45994</v>
      </c>
      <c r="B232" vm="850">
        <f ca="1"/>
        <v>5.72</v>
      </c>
    </row>
    <row r="233" spans="1:2" x14ac:dyDescent="0.25">
      <c r="A233" vm="585">
        <f ca="1"/>
        <v>45995</v>
      </c>
      <c r="B233" vm="850">
        <f ca="1"/>
        <v>5.72</v>
      </c>
    </row>
    <row r="234" spans="1:2" x14ac:dyDescent="0.25">
      <c r="A234" vm="590">
        <f ca="1"/>
        <v>45996</v>
      </c>
      <c r="B234" vm="1661">
        <f ca="1"/>
        <v>5.68</v>
      </c>
    </row>
    <row r="235" spans="1:2" x14ac:dyDescent="0.25">
      <c r="A235" vm="595">
        <f ca="1"/>
        <v>45999</v>
      </c>
      <c r="B235" vm="1797">
        <f ca="1"/>
        <v>5.65</v>
      </c>
    </row>
  </sheetData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35"/>
  <sheetViews>
    <sheetView workbookViewId="0">
      <selection activeCell="A2" sqref="A2"/>
    </sheetView>
  </sheetViews>
  <sheetFormatPr defaultRowHeight="15" x14ac:dyDescent="0.25"/>
  <cols>
    <col min="1" max="1" width="9.42578125" bestFit="1" customWidth="1"/>
  </cols>
  <sheetData>
    <row r="1" spans="1:2" x14ac:dyDescent="0.25">
      <c r="A1" t="str" cm="1">
        <f t="array" aca="1" ref="A1:B235" ca="1">_xlfn.STOCKHISTORY("BULL", DATE(YEAR(TODAY()),1,1), TODAY())</f>
        <v>Date</v>
      </c>
      <c r="B1" t="str">
        <f ca="1"/>
        <v>Close</v>
      </c>
    </row>
    <row r="2" spans="1:2" x14ac:dyDescent="0.25">
      <c r="A2" vm="5">
        <f ca="1"/>
        <v>45659</v>
      </c>
      <c r="B2" vm="283">
        <f ca="1"/>
        <v>11.62</v>
      </c>
    </row>
    <row r="3" spans="1:2" x14ac:dyDescent="0.25">
      <c r="A3" vm="13">
        <f ca="1"/>
        <v>45660</v>
      </c>
      <c r="B3" vm="1671">
        <f ca="1"/>
        <v>11.63</v>
      </c>
    </row>
    <row r="4" spans="1:2" x14ac:dyDescent="0.25">
      <c r="A4" vm="21">
        <f ca="1"/>
        <v>45663</v>
      </c>
      <c r="B4" vm="1671">
        <f ca="1"/>
        <v>11.63</v>
      </c>
    </row>
    <row r="5" spans="1:2" x14ac:dyDescent="0.25">
      <c r="A5" vm="29">
        <f ca="1"/>
        <v>45664</v>
      </c>
      <c r="B5" vm="283">
        <f ca="1"/>
        <v>11.62</v>
      </c>
    </row>
    <row r="6" spans="1:2" x14ac:dyDescent="0.25">
      <c r="A6" vm="35">
        <f ca="1"/>
        <v>45665</v>
      </c>
      <c r="B6" vm="283">
        <f ca="1"/>
        <v>11.62</v>
      </c>
    </row>
    <row r="7" spans="1:2" x14ac:dyDescent="0.25">
      <c r="A7" vm="43">
        <f ca="1"/>
        <v>45667</v>
      </c>
      <c r="B7" vm="283">
        <f ca="1"/>
        <v>11.62</v>
      </c>
    </row>
    <row r="8" spans="1:2" x14ac:dyDescent="0.25">
      <c r="A8" vm="51">
        <f ca="1"/>
        <v>45670</v>
      </c>
      <c r="B8" vm="283">
        <f ca="1"/>
        <v>11.62</v>
      </c>
    </row>
    <row r="9" spans="1:2" x14ac:dyDescent="0.25">
      <c r="A9" vm="58">
        <f ca="1"/>
        <v>45671</v>
      </c>
      <c r="B9" vm="283">
        <f ca="1"/>
        <v>11.62</v>
      </c>
    </row>
    <row r="10" spans="1:2" x14ac:dyDescent="0.25">
      <c r="A10" vm="66">
        <f ca="1"/>
        <v>45672</v>
      </c>
      <c r="B10" vm="1671">
        <f ca="1"/>
        <v>11.63</v>
      </c>
    </row>
    <row r="11" spans="1:2" x14ac:dyDescent="0.25">
      <c r="A11" vm="74">
        <f ca="1"/>
        <v>45673</v>
      </c>
      <c r="B11" vm="1798">
        <f ca="1"/>
        <v>11.635</v>
      </c>
    </row>
    <row r="12" spans="1:2" x14ac:dyDescent="0.25">
      <c r="A12" vm="81">
        <f ca="1"/>
        <v>45674</v>
      </c>
      <c r="B12" vm="283">
        <f ca="1"/>
        <v>11.62</v>
      </c>
    </row>
    <row r="13" spans="1:2" x14ac:dyDescent="0.25">
      <c r="A13" vm="88">
        <f ca="1"/>
        <v>45678</v>
      </c>
      <c r="B13" vm="283">
        <f ca="1"/>
        <v>11.62</v>
      </c>
    </row>
    <row r="14" spans="1:2" x14ac:dyDescent="0.25">
      <c r="A14" vm="96">
        <f ca="1"/>
        <v>45679</v>
      </c>
      <c r="B14" vm="1799">
        <f ca="1"/>
        <v>11.6325</v>
      </c>
    </row>
    <row r="15" spans="1:2" x14ac:dyDescent="0.25">
      <c r="A15" vm="104">
        <f ca="1"/>
        <v>45680</v>
      </c>
      <c r="B15" vm="283">
        <f ca="1"/>
        <v>11.62</v>
      </c>
    </row>
    <row r="16" spans="1:2" x14ac:dyDescent="0.25">
      <c r="A16" vm="111">
        <f ca="1"/>
        <v>45681</v>
      </c>
      <c r="B16" vm="283">
        <f ca="1"/>
        <v>11.62</v>
      </c>
    </row>
    <row r="17" spans="1:2" x14ac:dyDescent="0.25">
      <c r="A17" vm="118">
        <f ca="1"/>
        <v>45684</v>
      </c>
      <c r="B17" vm="1800">
        <f ca="1"/>
        <v>11.6214</v>
      </c>
    </row>
    <row r="18" spans="1:2" x14ac:dyDescent="0.25">
      <c r="A18" vm="124">
        <f ca="1"/>
        <v>45685</v>
      </c>
      <c r="B18" vm="1801">
        <f ca="1"/>
        <v>11.64</v>
      </c>
    </row>
    <row r="19" spans="1:2" x14ac:dyDescent="0.25">
      <c r="A19" vm="131">
        <f ca="1"/>
        <v>45686</v>
      </c>
      <c r="B19" vm="1801">
        <f ca="1"/>
        <v>11.64</v>
      </c>
    </row>
    <row r="20" spans="1:2" x14ac:dyDescent="0.25">
      <c r="A20" vm="138">
        <f ca="1"/>
        <v>45687</v>
      </c>
      <c r="B20" vm="1802">
        <f ca="1"/>
        <v>11.630699999999999</v>
      </c>
    </row>
    <row r="21" spans="1:2" x14ac:dyDescent="0.25">
      <c r="A21" vm="143">
        <f ca="1"/>
        <v>45688</v>
      </c>
      <c r="B21" vm="1803">
        <f ca="1"/>
        <v>11.641999999999999</v>
      </c>
    </row>
    <row r="22" spans="1:2" x14ac:dyDescent="0.25">
      <c r="A22" vm="150">
        <f ca="1"/>
        <v>45691</v>
      </c>
      <c r="B22" vm="354">
        <f ca="1"/>
        <v>11.65</v>
      </c>
    </row>
    <row r="23" spans="1:2" x14ac:dyDescent="0.25">
      <c r="A23" vm="158">
        <f ca="1"/>
        <v>45692</v>
      </c>
      <c r="B23" vm="354">
        <f ca="1"/>
        <v>11.65</v>
      </c>
    </row>
    <row r="24" spans="1:2" x14ac:dyDescent="0.25">
      <c r="A24" vm="165">
        <f ca="1"/>
        <v>45693</v>
      </c>
      <c r="B24" vm="354">
        <f ca="1"/>
        <v>11.65</v>
      </c>
    </row>
    <row r="25" spans="1:2" x14ac:dyDescent="0.25">
      <c r="A25" vm="170">
        <f ca="1"/>
        <v>45694</v>
      </c>
      <c r="B25" t="e" vm="1804">
        <f ca="1"/>
        <v>#N/A</v>
      </c>
    </row>
    <row r="26" spans="1:2" x14ac:dyDescent="0.25">
      <c r="A26" vm="177">
        <f ca="1"/>
        <v>45695</v>
      </c>
      <c r="B26" vm="1805">
        <f ca="1"/>
        <v>11.658799999999999</v>
      </c>
    </row>
    <row r="27" spans="1:2" x14ac:dyDescent="0.25">
      <c r="A27" vm="183">
        <f ca="1"/>
        <v>45698</v>
      </c>
      <c r="B27" vm="1801">
        <f ca="1"/>
        <v>11.64</v>
      </c>
    </row>
    <row r="28" spans="1:2" x14ac:dyDescent="0.25">
      <c r="A28" vm="190">
        <f ca="1"/>
        <v>45699</v>
      </c>
      <c r="B28" vm="1801">
        <f ca="1"/>
        <v>11.64</v>
      </c>
    </row>
    <row r="29" spans="1:2" x14ac:dyDescent="0.25">
      <c r="A29" vm="195">
        <f ca="1"/>
        <v>45700</v>
      </c>
      <c r="B29" vm="1806">
        <f ca="1"/>
        <v>11.6509</v>
      </c>
    </row>
    <row r="30" spans="1:2" x14ac:dyDescent="0.25">
      <c r="A30" vm="202">
        <f ca="1"/>
        <v>45701</v>
      </c>
      <c r="B30" vm="367">
        <f ca="1"/>
        <v>11.66</v>
      </c>
    </row>
    <row r="31" spans="1:2" x14ac:dyDescent="0.25">
      <c r="A31" vm="208">
        <f ca="1"/>
        <v>45702</v>
      </c>
      <c r="B31" vm="1807">
        <f ca="1"/>
        <v>11.651199999999999</v>
      </c>
    </row>
    <row r="32" spans="1:2" x14ac:dyDescent="0.25">
      <c r="A32" vm="212">
        <f ca="1"/>
        <v>45706</v>
      </c>
      <c r="B32" vm="349">
        <f ca="1"/>
        <v>11.72</v>
      </c>
    </row>
    <row r="33" spans="1:2" x14ac:dyDescent="0.25">
      <c r="A33" vm="219">
        <f ca="1"/>
        <v>45707</v>
      </c>
      <c r="B33" vm="1808">
        <f ca="1"/>
        <v>11.669600000000001</v>
      </c>
    </row>
    <row r="34" spans="1:2" x14ac:dyDescent="0.25">
      <c r="A34" vm="225">
        <f ca="1"/>
        <v>45708</v>
      </c>
      <c r="B34" vm="1809">
        <f ca="1"/>
        <v>11.67</v>
      </c>
    </row>
    <row r="35" spans="1:2" x14ac:dyDescent="0.25">
      <c r="A35" vm="231">
        <f ca="1"/>
        <v>45709</v>
      </c>
      <c r="B35" vm="1810">
        <f ca="1"/>
        <v>11.6525</v>
      </c>
    </row>
    <row r="36" spans="1:2" x14ac:dyDescent="0.25">
      <c r="A36" vm="238">
        <f ca="1"/>
        <v>45712</v>
      </c>
      <c r="B36" vm="1811">
        <f ca="1"/>
        <v>11.6502</v>
      </c>
    </row>
    <row r="37" spans="1:2" x14ac:dyDescent="0.25">
      <c r="A37" vm="246">
        <f ca="1"/>
        <v>45713</v>
      </c>
      <c r="B37" vm="1812">
        <f ca="1"/>
        <v>11.6523</v>
      </c>
    </row>
    <row r="38" spans="1:2" x14ac:dyDescent="0.25">
      <c r="A38" vm="253">
        <f ca="1"/>
        <v>45714</v>
      </c>
      <c r="B38" vm="354">
        <f ca="1"/>
        <v>11.65</v>
      </c>
    </row>
    <row r="39" spans="1:2" x14ac:dyDescent="0.25">
      <c r="A39" vm="260">
        <f ca="1"/>
        <v>45715</v>
      </c>
      <c r="B39" vm="1813">
        <f ca="1"/>
        <v>11.68</v>
      </c>
    </row>
    <row r="40" spans="1:2" x14ac:dyDescent="0.25">
      <c r="A40" vm="267">
        <f ca="1"/>
        <v>45716</v>
      </c>
      <c r="B40" vm="1813">
        <f ca="1"/>
        <v>11.68</v>
      </c>
    </row>
    <row r="41" spans="1:2" x14ac:dyDescent="0.25">
      <c r="A41" vm="275">
        <f ca="1"/>
        <v>45719</v>
      </c>
      <c r="B41" vm="1813">
        <f ca="1"/>
        <v>11.68</v>
      </c>
    </row>
    <row r="42" spans="1:2" x14ac:dyDescent="0.25">
      <c r="A42" vm="281">
        <f ca="1"/>
        <v>45720</v>
      </c>
      <c r="B42" vm="354">
        <f ca="1"/>
        <v>11.65</v>
      </c>
    </row>
    <row r="43" spans="1:2" x14ac:dyDescent="0.25">
      <c r="A43" vm="288">
        <f ca="1"/>
        <v>45721</v>
      </c>
      <c r="B43" vm="367">
        <f ca="1"/>
        <v>11.66</v>
      </c>
    </row>
    <row r="44" spans="1:2" x14ac:dyDescent="0.25">
      <c r="A44" vm="295">
        <f ca="1"/>
        <v>45722</v>
      </c>
      <c r="B44" vm="1814">
        <f ca="1"/>
        <v>11.6501</v>
      </c>
    </row>
    <row r="45" spans="1:2" x14ac:dyDescent="0.25">
      <c r="A45" vm="300">
        <f ca="1"/>
        <v>45723</v>
      </c>
      <c r="B45" vm="1815">
        <f ca="1"/>
        <v>11.658899999999999</v>
      </c>
    </row>
    <row r="46" spans="1:2" x14ac:dyDescent="0.25">
      <c r="A46" vm="306">
        <f ca="1"/>
        <v>45726</v>
      </c>
      <c r="B46" vm="354">
        <f ca="1"/>
        <v>11.65</v>
      </c>
    </row>
    <row r="47" spans="1:2" x14ac:dyDescent="0.25">
      <c r="A47" vm="314">
        <f ca="1"/>
        <v>45727</v>
      </c>
      <c r="B47" vm="1816">
        <f ca="1"/>
        <v>11.7151</v>
      </c>
    </row>
    <row r="48" spans="1:2" x14ac:dyDescent="0.25">
      <c r="A48" vm="319">
        <f ca="1"/>
        <v>45728</v>
      </c>
      <c r="B48" vm="1817">
        <f ca="1"/>
        <v>11.7</v>
      </c>
    </row>
    <row r="49" spans="1:2" x14ac:dyDescent="0.25">
      <c r="A49" vm="326">
        <f ca="1"/>
        <v>45729</v>
      </c>
      <c r="B49" vm="1818">
        <f ca="1"/>
        <v>11.69</v>
      </c>
    </row>
    <row r="50" spans="1:2" x14ac:dyDescent="0.25">
      <c r="A50" vm="330">
        <f ca="1"/>
        <v>45730</v>
      </c>
      <c r="B50" vm="1818">
        <f ca="1"/>
        <v>11.69</v>
      </c>
    </row>
    <row r="51" spans="1:2" x14ac:dyDescent="0.25">
      <c r="A51" vm="337">
        <f ca="1"/>
        <v>45733</v>
      </c>
      <c r="B51" vm="1718">
        <f ca="1"/>
        <v>11.73</v>
      </c>
    </row>
    <row r="52" spans="1:2" x14ac:dyDescent="0.25">
      <c r="A52" vm="342">
        <f ca="1"/>
        <v>45734</v>
      </c>
      <c r="B52" vm="1718">
        <f ca="1"/>
        <v>11.73</v>
      </c>
    </row>
    <row r="53" spans="1:2" x14ac:dyDescent="0.25">
      <c r="A53" vm="348">
        <f ca="1"/>
        <v>45735</v>
      </c>
      <c r="B53" vm="1819">
        <f ca="1"/>
        <v>11.734999999999999</v>
      </c>
    </row>
    <row r="54" spans="1:2" x14ac:dyDescent="0.25">
      <c r="A54" vm="353">
        <f ca="1"/>
        <v>45736</v>
      </c>
      <c r="B54" vm="1718">
        <f ca="1"/>
        <v>11.73</v>
      </c>
    </row>
    <row r="55" spans="1:2" x14ac:dyDescent="0.25">
      <c r="A55" vm="360">
        <f ca="1"/>
        <v>45737</v>
      </c>
      <c r="B55" vm="1820">
        <f ca="1"/>
        <v>11.71</v>
      </c>
    </row>
    <row r="56" spans="1:2" x14ac:dyDescent="0.25">
      <c r="A56" vm="366">
        <f ca="1"/>
        <v>45740</v>
      </c>
      <c r="B56" vm="1821">
        <f ca="1"/>
        <v>11.7296</v>
      </c>
    </row>
    <row r="57" spans="1:2" x14ac:dyDescent="0.25">
      <c r="A57" vm="374">
        <f ca="1"/>
        <v>45741</v>
      </c>
      <c r="B57" vm="1708">
        <f ca="1"/>
        <v>11.75</v>
      </c>
    </row>
    <row r="58" spans="1:2" x14ac:dyDescent="0.25">
      <c r="A58" vm="381">
        <f ca="1"/>
        <v>45742</v>
      </c>
      <c r="B58" vm="1822">
        <f ca="1"/>
        <v>11.85</v>
      </c>
    </row>
    <row r="59" spans="1:2" x14ac:dyDescent="0.25">
      <c r="A59" vm="386">
        <f ca="1"/>
        <v>45743</v>
      </c>
      <c r="B59" vm="1823">
        <f ca="1"/>
        <v>12.68</v>
      </c>
    </row>
    <row r="60" spans="1:2" x14ac:dyDescent="0.25">
      <c r="A60" vm="391">
        <f ca="1"/>
        <v>45744</v>
      </c>
      <c r="B60" vm="1824">
        <f ca="1"/>
        <v>12.65</v>
      </c>
    </row>
    <row r="61" spans="1:2" x14ac:dyDescent="0.25">
      <c r="A61" vm="398">
        <f ca="1"/>
        <v>45747</v>
      </c>
      <c r="B61" vm="1825">
        <f ca="1"/>
        <v>12.2</v>
      </c>
    </row>
    <row r="62" spans="1:2" x14ac:dyDescent="0.25">
      <c r="A62" vm="404">
        <f ca="1"/>
        <v>45748</v>
      </c>
      <c r="B62" vm="1826">
        <f ca="1"/>
        <v>11.795</v>
      </c>
    </row>
    <row r="63" spans="1:2" x14ac:dyDescent="0.25">
      <c r="A63" vm="410">
        <f ca="1"/>
        <v>45749</v>
      </c>
      <c r="B63" vm="1827">
        <f ca="1"/>
        <v>11.74</v>
      </c>
    </row>
    <row r="64" spans="1:2" x14ac:dyDescent="0.25">
      <c r="A64" vm="415">
        <f ca="1"/>
        <v>45750</v>
      </c>
      <c r="B64" vm="400">
        <f ca="1"/>
        <v>11.42</v>
      </c>
    </row>
    <row r="65" spans="1:2" x14ac:dyDescent="0.25">
      <c r="A65" vm="418">
        <f ca="1"/>
        <v>45751</v>
      </c>
      <c r="B65" vm="387">
        <f ca="1"/>
        <v>11.27</v>
      </c>
    </row>
    <row r="66" spans="1:2" x14ac:dyDescent="0.25">
      <c r="A66" vm="426">
        <f ca="1"/>
        <v>45754</v>
      </c>
      <c r="B66" vm="1828">
        <f ca="1"/>
        <v>11.11</v>
      </c>
    </row>
    <row r="67" spans="1:2" x14ac:dyDescent="0.25">
      <c r="A67" vm="432">
        <f ca="1"/>
        <v>45755</v>
      </c>
      <c r="B67" vm="343">
        <f ca="1"/>
        <v>11.2</v>
      </c>
    </row>
    <row r="68" spans="1:2" x14ac:dyDescent="0.25">
      <c r="A68" vm="439">
        <f ca="1"/>
        <v>45756</v>
      </c>
      <c r="B68" vm="1829">
        <f ca="1"/>
        <v>11.44</v>
      </c>
    </row>
    <row r="69" spans="1:2" x14ac:dyDescent="0.25">
      <c r="A69" vm="444">
        <f ca="1"/>
        <v>45757</v>
      </c>
      <c r="B69" vm="1830">
        <f ca="1"/>
        <v>12.02</v>
      </c>
    </row>
    <row r="70" spans="1:2" x14ac:dyDescent="0.25">
      <c r="A70" vm="451">
        <f ca="1"/>
        <v>45758</v>
      </c>
      <c r="B70" vm="1831">
        <f ca="1"/>
        <v>13.25</v>
      </c>
    </row>
    <row r="71" spans="1:2" x14ac:dyDescent="0.25">
      <c r="A71" vm="458">
        <f ca="1"/>
        <v>45761</v>
      </c>
      <c r="B71" vm="1832">
        <f ca="1"/>
        <v>62.9</v>
      </c>
    </row>
    <row r="72" spans="1:2" x14ac:dyDescent="0.25">
      <c r="A72" vm="463">
        <f ca="1"/>
        <v>45762</v>
      </c>
      <c r="B72" vm="1833">
        <f ca="1"/>
        <v>40.9</v>
      </c>
    </row>
    <row r="73" spans="1:2" x14ac:dyDescent="0.25">
      <c r="A73" vm="470">
        <f ca="1"/>
        <v>45763</v>
      </c>
      <c r="B73" vm="1834">
        <f ca="1"/>
        <v>36.22</v>
      </c>
    </row>
    <row r="74" spans="1:2" x14ac:dyDescent="0.25">
      <c r="A74" vm="478">
        <f ca="1"/>
        <v>45764</v>
      </c>
      <c r="B74" vm="1835">
        <f ca="1"/>
        <v>26.33</v>
      </c>
    </row>
    <row r="75" spans="1:2" x14ac:dyDescent="0.25">
      <c r="A75" vm="484">
        <f ca="1"/>
        <v>45768</v>
      </c>
      <c r="B75" vm="1836">
        <f ca="1"/>
        <v>24.62</v>
      </c>
    </row>
    <row r="76" spans="1:2" x14ac:dyDescent="0.25">
      <c r="A76" vm="488">
        <f ca="1"/>
        <v>45769</v>
      </c>
      <c r="B76" vm="1837">
        <f ca="1"/>
        <v>23.48</v>
      </c>
    </row>
    <row r="77" spans="1:2" x14ac:dyDescent="0.25">
      <c r="A77" vm="491">
        <f ca="1"/>
        <v>45770</v>
      </c>
      <c r="B77" vm="1838">
        <f ca="1"/>
        <v>21.57</v>
      </c>
    </row>
    <row r="78" spans="1:2" x14ac:dyDescent="0.25">
      <c r="A78" vm="497">
        <f ca="1"/>
        <v>45771</v>
      </c>
      <c r="B78" vm="1839">
        <f ca="1"/>
        <v>19.5</v>
      </c>
    </row>
    <row r="79" spans="1:2" x14ac:dyDescent="0.25">
      <c r="A79" vm="503">
        <f ca="1"/>
        <v>45772</v>
      </c>
      <c r="B79" vm="1840">
        <f ca="1"/>
        <v>17.27</v>
      </c>
    </row>
    <row r="80" spans="1:2" x14ac:dyDescent="0.25">
      <c r="A80" vm="508">
        <f ca="1"/>
        <v>45775</v>
      </c>
      <c r="B80" vm="1841">
        <f ca="1"/>
        <v>15.445</v>
      </c>
    </row>
    <row r="81" spans="1:2" x14ac:dyDescent="0.25">
      <c r="A81" vm="512">
        <f ca="1"/>
        <v>45776</v>
      </c>
      <c r="B81" vm="1842">
        <f ca="1"/>
        <v>14.43</v>
      </c>
    </row>
    <row r="82" spans="1:2" x14ac:dyDescent="0.25">
      <c r="A82" vm="516">
        <f ca="1"/>
        <v>45777</v>
      </c>
      <c r="B82" vm="1843">
        <f ca="1"/>
        <v>13.89</v>
      </c>
    </row>
    <row r="83" spans="1:2" x14ac:dyDescent="0.25">
      <c r="A83" vm="520">
        <f ca="1"/>
        <v>45778</v>
      </c>
      <c r="B83" vm="1844">
        <f ca="1"/>
        <v>13.54</v>
      </c>
    </row>
    <row r="84" spans="1:2" x14ac:dyDescent="0.25">
      <c r="A84" vm="523">
        <f ca="1"/>
        <v>45779</v>
      </c>
      <c r="B84" vm="1845">
        <f ca="1"/>
        <v>15.96</v>
      </c>
    </row>
    <row r="85" spans="1:2" x14ac:dyDescent="0.25">
      <c r="A85" vm="526">
        <f ca="1"/>
        <v>45782</v>
      </c>
      <c r="B85" vm="1846">
        <f ca="1"/>
        <v>14.55</v>
      </c>
    </row>
    <row r="86" spans="1:2" x14ac:dyDescent="0.25">
      <c r="A86" vm="530">
        <f ca="1"/>
        <v>45783</v>
      </c>
      <c r="B86" vm="1847">
        <f ca="1"/>
        <v>14.94</v>
      </c>
    </row>
    <row r="87" spans="1:2" x14ac:dyDescent="0.25">
      <c r="A87" vm="537">
        <f ca="1"/>
        <v>45784</v>
      </c>
      <c r="B87" vm="1848">
        <f ca="1"/>
        <v>16.25</v>
      </c>
    </row>
    <row r="88" spans="1:2" x14ac:dyDescent="0.25">
      <c r="A88" vm="541">
        <f ca="1"/>
        <v>45785</v>
      </c>
      <c r="B88" vm="1849">
        <f ca="1"/>
        <v>18.100000000000001</v>
      </c>
    </row>
    <row r="89" spans="1:2" x14ac:dyDescent="0.25">
      <c r="A89" vm="546">
        <f ca="1"/>
        <v>45786</v>
      </c>
      <c r="B89" vm="52">
        <f ca="1"/>
        <v>16.41</v>
      </c>
    </row>
    <row r="90" spans="1:2" x14ac:dyDescent="0.25">
      <c r="A90" vm="550">
        <f ca="1"/>
        <v>45789</v>
      </c>
      <c r="B90" vm="1850">
        <f ca="1"/>
        <v>14.09</v>
      </c>
    </row>
    <row r="91" spans="1:2" x14ac:dyDescent="0.25">
      <c r="A91" vm="556">
        <f ca="1"/>
        <v>45790</v>
      </c>
      <c r="B91" vm="1851">
        <f ca="1"/>
        <v>13.99</v>
      </c>
    </row>
    <row r="92" spans="1:2" x14ac:dyDescent="0.25">
      <c r="A92" vm="560">
        <f ca="1"/>
        <v>45791</v>
      </c>
      <c r="B92" vm="1852">
        <f ca="1"/>
        <v>13.515000000000001</v>
      </c>
    </row>
    <row r="93" spans="1:2" x14ac:dyDescent="0.25">
      <c r="A93" vm="564">
        <f ca="1"/>
        <v>45792</v>
      </c>
      <c r="B93" vm="1853">
        <f ca="1"/>
        <v>12.29</v>
      </c>
    </row>
    <row r="94" spans="1:2" x14ac:dyDescent="0.25">
      <c r="A94" vm="569">
        <f ca="1"/>
        <v>45793</v>
      </c>
      <c r="B94" vm="1854">
        <f ca="1"/>
        <v>12.41</v>
      </c>
    </row>
    <row r="95" spans="1:2" x14ac:dyDescent="0.25">
      <c r="A95" vm="573">
        <f ca="1"/>
        <v>45796</v>
      </c>
      <c r="B95" vm="1717">
        <f ca="1"/>
        <v>11.91</v>
      </c>
    </row>
    <row r="96" spans="1:2" x14ac:dyDescent="0.25">
      <c r="A96" vm="577">
        <f ca="1"/>
        <v>45797</v>
      </c>
      <c r="B96" vm="1855">
        <f ca="1"/>
        <v>12.21</v>
      </c>
    </row>
    <row r="97" spans="1:2" x14ac:dyDescent="0.25">
      <c r="A97" vm="580">
        <f ca="1"/>
        <v>45798</v>
      </c>
      <c r="B97" vm="1856">
        <f ca="1"/>
        <v>12.59</v>
      </c>
    </row>
    <row r="98" spans="1:2" x14ac:dyDescent="0.25">
      <c r="A98" vm="583">
        <f ca="1"/>
        <v>45799</v>
      </c>
      <c r="B98" vm="1857">
        <f ca="1"/>
        <v>13.5</v>
      </c>
    </row>
    <row r="99" spans="1:2" x14ac:dyDescent="0.25">
      <c r="A99" vm="588">
        <f ca="1"/>
        <v>45800</v>
      </c>
      <c r="B99" vm="1858">
        <f ca="1"/>
        <v>12.3</v>
      </c>
    </row>
    <row r="100" spans="1:2" x14ac:dyDescent="0.25">
      <c r="A100" vm="593">
        <f ca="1"/>
        <v>45804</v>
      </c>
      <c r="B100" vm="1859">
        <f ca="1"/>
        <v>13.205</v>
      </c>
    </row>
    <row r="101" spans="1:2" x14ac:dyDescent="0.25">
      <c r="A101" vm="598">
        <f ca="1"/>
        <v>45805</v>
      </c>
      <c r="B101" vm="1860">
        <f ca="1"/>
        <v>13.22</v>
      </c>
    </row>
    <row r="102" spans="1:2" x14ac:dyDescent="0.25">
      <c r="A102" vm="601">
        <f ca="1"/>
        <v>45806</v>
      </c>
      <c r="B102" vm="1861">
        <f ca="1"/>
        <v>12.44</v>
      </c>
    </row>
    <row r="103" spans="1:2" x14ac:dyDescent="0.25">
      <c r="A103" vm="604">
        <f ca="1"/>
        <v>45807</v>
      </c>
      <c r="B103" vm="1813">
        <f ca="1"/>
        <v>11.68</v>
      </c>
    </row>
    <row r="104" spans="1:2" x14ac:dyDescent="0.25">
      <c r="A104" vm="606">
        <f ca="1"/>
        <v>45810</v>
      </c>
      <c r="B104" vm="1829">
        <f ca="1"/>
        <v>11.44</v>
      </c>
    </row>
    <row r="105" spans="1:2" x14ac:dyDescent="0.25">
      <c r="A105" vm="608">
        <f ca="1"/>
        <v>45811</v>
      </c>
      <c r="B105" vm="321">
        <f ca="1"/>
        <v>10.95</v>
      </c>
    </row>
    <row r="106" spans="1:2" x14ac:dyDescent="0.25">
      <c r="A106" vm="610">
        <f ca="1"/>
        <v>45812</v>
      </c>
      <c r="B106" vm="392">
        <f ca="1"/>
        <v>11.14</v>
      </c>
    </row>
    <row r="107" spans="1:2" x14ac:dyDescent="0.25">
      <c r="A107" vm="612">
        <f ca="1"/>
        <v>45813</v>
      </c>
      <c r="B107" vm="1862">
        <f ca="1"/>
        <v>10.42</v>
      </c>
    </row>
    <row r="108" spans="1:2" x14ac:dyDescent="0.25">
      <c r="A108" vm="615">
        <f ca="1"/>
        <v>45814</v>
      </c>
      <c r="B108" vm="284">
        <f ca="1"/>
        <v>10.96</v>
      </c>
    </row>
    <row r="109" spans="1:2" x14ac:dyDescent="0.25">
      <c r="A109" vm="617">
        <f ca="1"/>
        <v>45817</v>
      </c>
      <c r="B109" vm="1720">
        <f ca="1"/>
        <v>10.71</v>
      </c>
    </row>
    <row r="110" spans="1:2" x14ac:dyDescent="0.25">
      <c r="A110" vm="619">
        <f ca="1"/>
        <v>45818</v>
      </c>
      <c r="B110" vm="1863">
        <f ca="1"/>
        <v>10.85</v>
      </c>
    </row>
    <row r="111" spans="1:2" x14ac:dyDescent="0.25">
      <c r="A111" vm="620">
        <f ca="1"/>
        <v>45819</v>
      </c>
      <c r="B111" vm="331">
        <f ca="1"/>
        <v>10.91</v>
      </c>
    </row>
    <row r="112" spans="1:2" x14ac:dyDescent="0.25">
      <c r="A112" vm="622">
        <f ca="1"/>
        <v>45820</v>
      </c>
      <c r="B112" vm="1720">
        <f ca="1"/>
        <v>10.71</v>
      </c>
    </row>
    <row r="113" spans="1:2" x14ac:dyDescent="0.25">
      <c r="A113" vm="626">
        <f ca="1"/>
        <v>45821</v>
      </c>
      <c r="B113" vm="1291">
        <f ca="1"/>
        <v>10.39</v>
      </c>
    </row>
    <row r="114" spans="1:2" x14ac:dyDescent="0.25">
      <c r="A114" vm="629">
        <f ca="1"/>
        <v>45824</v>
      </c>
      <c r="B114" vm="1864">
        <f ca="1"/>
        <v>10.69</v>
      </c>
    </row>
    <row r="115" spans="1:2" x14ac:dyDescent="0.25">
      <c r="A115" vm="632">
        <f ca="1"/>
        <v>45825</v>
      </c>
      <c r="B115" vm="1776">
        <f ca="1"/>
        <v>10.38</v>
      </c>
    </row>
    <row r="116" spans="1:2" x14ac:dyDescent="0.25">
      <c r="A116" vm="634">
        <f ca="1"/>
        <v>45826</v>
      </c>
      <c r="B116" vm="1865">
        <f ca="1"/>
        <v>10.765000000000001</v>
      </c>
    </row>
    <row r="117" spans="1:2" x14ac:dyDescent="0.25">
      <c r="A117" vm="636">
        <f ca="1"/>
        <v>45828</v>
      </c>
      <c r="B117" vm="316">
        <f ca="1"/>
        <v>10.6</v>
      </c>
    </row>
    <row r="118" spans="1:2" x14ac:dyDescent="0.25">
      <c r="A118" vm="638">
        <f ca="1"/>
        <v>45831</v>
      </c>
      <c r="B118" vm="1862">
        <f ca="1"/>
        <v>10.42</v>
      </c>
    </row>
    <row r="119" spans="1:2" x14ac:dyDescent="0.25">
      <c r="A119" vm="640">
        <f ca="1"/>
        <v>45832</v>
      </c>
      <c r="B119" vm="343">
        <f ca="1"/>
        <v>11.2</v>
      </c>
    </row>
    <row r="120" spans="1:2" x14ac:dyDescent="0.25">
      <c r="A120" vm="643">
        <f ca="1"/>
        <v>45833</v>
      </c>
      <c r="B120" vm="1866">
        <f ca="1"/>
        <v>10.92</v>
      </c>
    </row>
    <row r="121" spans="1:2" x14ac:dyDescent="0.25">
      <c r="A121" vm="644">
        <f ca="1"/>
        <v>45834</v>
      </c>
      <c r="B121" vm="1707">
        <f ca="1"/>
        <v>11.31</v>
      </c>
    </row>
    <row r="122" spans="1:2" x14ac:dyDescent="0.25">
      <c r="A122" vm="645">
        <f ca="1"/>
        <v>45835</v>
      </c>
      <c r="B122" vm="1784">
        <f ca="1"/>
        <v>10.83</v>
      </c>
    </row>
    <row r="123" spans="1:2" x14ac:dyDescent="0.25">
      <c r="A123" vm="646">
        <f ca="1"/>
        <v>45838</v>
      </c>
      <c r="B123" vm="1867">
        <f ca="1"/>
        <v>11.96</v>
      </c>
    </row>
    <row r="124" spans="1:2" x14ac:dyDescent="0.25">
      <c r="A124" vm="648">
        <f ca="1"/>
        <v>45839</v>
      </c>
      <c r="B124" vm="1868">
        <f ca="1"/>
        <v>12.56</v>
      </c>
    </row>
    <row r="125" spans="1:2" x14ac:dyDescent="0.25">
      <c r="A125" vm="649">
        <f ca="1"/>
        <v>45840</v>
      </c>
      <c r="B125" vm="1869">
        <f ca="1"/>
        <v>14.01</v>
      </c>
    </row>
    <row r="126" spans="1:2" x14ac:dyDescent="0.25">
      <c r="A126" vm="651">
        <f ca="1"/>
        <v>45841</v>
      </c>
      <c r="B126" vm="1870">
        <f ca="1"/>
        <v>14.3</v>
      </c>
    </row>
    <row r="127" spans="1:2" x14ac:dyDescent="0.25">
      <c r="A127" vm="653">
        <f ca="1"/>
        <v>45845</v>
      </c>
      <c r="B127" vm="1871">
        <f ca="1"/>
        <v>12.72</v>
      </c>
    </row>
    <row r="128" spans="1:2" x14ac:dyDescent="0.25">
      <c r="A128" vm="655">
        <f ca="1"/>
        <v>45846</v>
      </c>
      <c r="B128" vm="269">
        <f ca="1"/>
        <v>12.845000000000001</v>
      </c>
    </row>
    <row r="129" spans="1:2" x14ac:dyDescent="0.25">
      <c r="A129" vm="658">
        <f ca="1"/>
        <v>45847</v>
      </c>
      <c r="B129" vm="1872">
        <f ca="1"/>
        <v>13.23</v>
      </c>
    </row>
    <row r="130" spans="1:2" x14ac:dyDescent="0.25">
      <c r="A130" vm="659">
        <f ca="1"/>
        <v>45848</v>
      </c>
      <c r="B130" vm="1873">
        <f ca="1"/>
        <v>12.81</v>
      </c>
    </row>
    <row r="131" spans="1:2" x14ac:dyDescent="0.25">
      <c r="A131" vm="661">
        <f ca="1"/>
        <v>45849</v>
      </c>
      <c r="B131" vm="1874">
        <f ca="1"/>
        <v>12.48</v>
      </c>
    </row>
    <row r="132" spans="1:2" x14ac:dyDescent="0.25">
      <c r="A132" vm="663">
        <f ca="1"/>
        <v>45852</v>
      </c>
      <c r="B132" vm="1873">
        <f ca="1"/>
        <v>12.81</v>
      </c>
    </row>
    <row r="133" spans="1:2" x14ac:dyDescent="0.25">
      <c r="A133" vm="664">
        <f ca="1"/>
        <v>45853</v>
      </c>
      <c r="B133" vm="1875">
        <f ca="1"/>
        <v>12.13</v>
      </c>
    </row>
    <row r="134" spans="1:2" x14ac:dyDescent="0.25">
      <c r="A134" vm="666">
        <f ca="1"/>
        <v>45854</v>
      </c>
      <c r="B134" vm="1876">
        <f ca="1"/>
        <v>12.9</v>
      </c>
    </row>
    <row r="135" spans="1:2" x14ac:dyDescent="0.25">
      <c r="A135" vm="668">
        <f ca="1"/>
        <v>45855</v>
      </c>
      <c r="B135" vm="1842">
        <f ca="1"/>
        <v>14.43</v>
      </c>
    </row>
    <row r="136" spans="1:2" x14ac:dyDescent="0.25">
      <c r="A136" vm="1">
        <f ca="1"/>
        <v>45856</v>
      </c>
      <c r="B136" vm="1877">
        <f ca="1"/>
        <v>16.89</v>
      </c>
    </row>
    <row r="137" spans="1:2" x14ac:dyDescent="0.25">
      <c r="A137" vm="9">
        <f ca="1"/>
        <v>45859</v>
      </c>
      <c r="B137" vm="1878">
        <f ca="1"/>
        <v>14.62</v>
      </c>
    </row>
    <row r="138" spans="1:2" x14ac:dyDescent="0.25">
      <c r="A138" vm="17">
        <f ca="1"/>
        <v>45860</v>
      </c>
      <c r="B138" vm="1879">
        <f ca="1"/>
        <v>16.97</v>
      </c>
    </row>
    <row r="139" spans="1:2" x14ac:dyDescent="0.25">
      <c r="A139" vm="25">
        <f ca="1"/>
        <v>45861</v>
      </c>
      <c r="B139" vm="1880">
        <f ca="1"/>
        <v>17.739999999999998</v>
      </c>
    </row>
    <row r="140" spans="1:2" x14ac:dyDescent="0.25">
      <c r="A140" vm="31">
        <f ca="1"/>
        <v>45862</v>
      </c>
      <c r="B140" vm="1881">
        <f ca="1"/>
        <v>16.09</v>
      </c>
    </row>
    <row r="141" spans="1:2" x14ac:dyDescent="0.25">
      <c r="A141" vm="39">
        <f ca="1"/>
        <v>45863</v>
      </c>
      <c r="B141" vm="1882">
        <f ca="1"/>
        <v>16.045000000000002</v>
      </c>
    </row>
    <row r="142" spans="1:2" x14ac:dyDescent="0.25">
      <c r="A142" vm="47">
        <f ca="1"/>
        <v>45866</v>
      </c>
      <c r="B142" vm="30">
        <f ca="1"/>
        <v>15.72</v>
      </c>
    </row>
    <row r="143" spans="1:2" x14ac:dyDescent="0.25">
      <c r="A143" vm="55">
        <f ca="1"/>
        <v>45867</v>
      </c>
      <c r="B143" vm="247">
        <f ca="1"/>
        <v>13.69</v>
      </c>
    </row>
    <row r="144" spans="1:2" x14ac:dyDescent="0.25">
      <c r="A144" vm="62">
        <f ca="1"/>
        <v>45868</v>
      </c>
      <c r="B144" vm="1883">
        <f ca="1"/>
        <v>13.95</v>
      </c>
    </row>
    <row r="145" spans="1:2" x14ac:dyDescent="0.25">
      <c r="A145" vm="70">
        <f ca="1"/>
        <v>45869</v>
      </c>
      <c r="B145" vm="1884">
        <f ca="1"/>
        <v>14.19</v>
      </c>
    </row>
    <row r="146" spans="1:2" x14ac:dyDescent="0.25">
      <c r="A146" vm="78">
        <f ca="1"/>
        <v>45870</v>
      </c>
      <c r="B146" vm="1885">
        <f ca="1"/>
        <v>13.33</v>
      </c>
    </row>
    <row r="147" spans="1:2" x14ac:dyDescent="0.25">
      <c r="A147" vm="85">
        <f ca="1"/>
        <v>45873</v>
      </c>
      <c r="B147" vm="205">
        <f ca="1"/>
        <v>14.29</v>
      </c>
    </row>
    <row r="148" spans="1:2" x14ac:dyDescent="0.25">
      <c r="A148" vm="92">
        <f ca="1"/>
        <v>45874</v>
      </c>
      <c r="B148" vm="1886">
        <f ca="1"/>
        <v>14.84</v>
      </c>
    </row>
    <row r="149" spans="1:2" x14ac:dyDescent="0.25">
      <c r="A149" vm="100">
        <f ca="1"/>
        <v>45875</v>
      </c>
      <c r="B149" vm="1887">
        <f ca="1"/>
        <v>15.41</v>
      </c>
    </row>
    <row r="150" spans="1:2" x14ac:dyDescent="0.25">
      <c r="A150" vm="108">
        <f ca="1"/>
        <v>45876</v>
      </c>
      <c r="B150" vm="1888">
        <f ca="1"/>
        <v>15.32</v>
      </c>
    </row>
    <row r="151" spans="1:2" x14ac:dyDescent="0.25">
      <c r="A151" vm="115">
        <f ca="1"/>
        <v>45877</v>
      </c>
      <c r="B151" vm="209">
        <f ca="1"/>
        <v>15</v>
      </c>
    </row>
    <row r="152" spans="1:2" x14ac:dyDescent="0.25">
      <c r="A152" vm="122">
        <f ca="1"/>
        <v>45880</v>
      </c>
      <c r="B152" vm="6">
        <f ca="1"/>
        <v>14.88</v>
      </c>
    </row>
    <row r="153" spans="1:2" x14ac:dyDescent="0.25">
      <c r="A153" vm="128">
        <f ca="1"/>
        <v>45881</v>
      </c>
      <c r="B153" vm="125">
        <f ca="1"/>
        <v>15.63</v>
      </c>
    </row>
    <row r="154" spans="1:2" x14ac:dyDescent="0.25">
      <c r="A154" vm="135">
        <f ca="1"/>
        <v>45882</v>
      </c>
      <c r="B154" vm="1889">
        <f ca="1"/>
        <v>15.015000000000001</v>
      </c>
    </row>
    <row r="155" spans="1:2" x14ac:dyDescent="0.25">
      <c r="A155" vm="142">
        <f ca="1"/>
        <v>45883</v>
      </c>
      <c r="B155" vm="139">
        <f ca="1"/>
        <v>15.45</v>
      </c>
    </row>
    <row r="156" spans="1:2" x14ac:dyDescent="0.25">
      <c r="A156" vm="146">
        <f ca="1"/>
        <v>45884</v>
      </c>
      <c r="B156" vm="1890">
        <f ca="1"/>
        <v>16.004999999999999</v>
      </c>
    </row>
    <row r="157" spans="1:2" x14ac:dyDescent="0.25">
      <c r="A157" vm="154">
        <f ca="1"/>
        <v>45887</v>
      </c>
      <c r="B157" vm="1891">
        <f ca="1"/>
        <v>15.97</v>
      </c>
    </row>
    <row r="158" spans="1:2" x14ac:dyDescent="0.25">
      <c r="A158" vm="161">
        <f ca="1"/>
        <v>45888</v>
      </c>
      <c r="B158" vm="1892">
        <f ca="1"/>
        <v>14.93</v>
      </c>
    </row>
    <row r="159" spans="1:2" x14ac:dyDescent="0.25">
      <c r="A159" vm="168">
        <f ca="1"/>
        <v>45889</v>
      </c>
      <c r="B159" vm="1893">
        <f ca="1"/>
        <v>14.34</v>
      </c>
    </row>
    <row r="160" spans="1:2" x14ac:dyDescent="0.25">
      <c r="A160" vm="174">
        <f ca="1"/>
        <v>45890</v>
      </c>
      <c r="B160" vm="1894">
        <f ca="1"/>
        <v>14.27</v>
      </c>
    </row>
    <row r="161" spans="1:2" x14ac:dyDescent="0.25">
      <c r="A161" vm="180">
        <f ca="1"/>
        <v>45891</v>
      </c>
      <c r="B161" vm="1887">
        <f ca="1"/>
        <v>15.41</v>
      </c>
    </row>
    <row r="162" spans="1:2" x14ac:dyDescent="0.25">
      <c r="A162" vm="186">
        <f ca="1"/>
        <v>45894</v>
      </c>
      <c r="B162" vm="1895">
        <f ca="1"/>
        <v>14.96</v>
      </c>
    </row>
    <row r="163" spans="1:2" x14ac:dyDescent="0.25">
      <c r="A163" vm="193">
        <f ca="1"/>
        <v>45895</v>
      </c>
      <c r="B163" vm="209">
        <f ca="1"/>
        <v>15</v>
      </c>
    </row>
    <row r="164" spans="1:2" x14ac:dyDescent="0.25">
      <c r="A164" vm="199">
        <f ca="1"/>
        <v>45896</v>
      </c>
      <c r="B164" vm="1896">
        <f ca="1"/>
        <v>14.44</v>
      </c>
    </row>
    <row r="165" spans="1:2" x14ac:dyDescent="0.25">
      <c r="A165" vm="206">
        <f ca="1"/>
        <v>45897</v>
      </c>
      <c r="B165" vm="1897">
        <f ca="1"/>
        <v>14.67</v>
      </c>
    </row>
    <row r="166" spans="1:2" x14ac:dyDescent="0.25">
      <c r="A166" vm="210">
        <f ca="1"/>
        <v>45898</v>
      </c>
      <c r="B166" vm="1898">
        <f ca="1"/>
        <v>13.59</v>
      </c>
    </row>
    <row r="167" spans="1:2" x14ac:dyDescent="0.25">
      <c r="A167" vm="216">
        <f ca="1"/>
        <v>45902</v>
      </c>
      <c r="B167" vm="1899">
        <f ca="1"/>
        <v>13.45</v>
      </c>
    </row>
    <row r="168" spans="1:2" x14ac:dyDescent="0.25">
      <c r="A168" vm="223">
        <f ca="1"/>
        <v>45903</v>
      </c>
      <c r="B168" vm="1900">
        <f ca="1"/>
        <v>13.01</v>
      </c>
    </row>
    <row r="169" spans="1:2" x14ac:dyDescent="0.25">
      <c r="A169" vm="229">
        <f ca="1"/>
        <v>45904</v>
      </c>
      <c r="B169" vm="1901">
        <f ca="1"/>
        <v>13.28</v>
      </c>
    </row>
    <row r="170" spans="1:2" x14ac:dyDescent="0.25">
      <c r="A170" vm="235">
        <f ca="1"/>
        <v>45905</v>
      </c>
      <c r="B170" vm="1902">
        <f ca="1"/>
        <v>12.93</v>
      </c>
    </row>
    <row r="171" spans="1:2" x14ac:dyDescent="0.25">
      <c r="A171" vm="242">
        <f ca="1"/>
        <v>45908</v>
      </c>
      <c r="B171" vm="262">
        <f ca="1"/>
        <v>13.39</v>
      </c>
    </row>
    <row r="172" spans="1:2" x14ac:dyDescent="0.25">
      <c r="A172" vm="250">
        <f ca="1"/>
        <v>45909</v>
      </c>
      <c r="B172" vm="1844">
        <f ca="1"/>
        <v>13.54</v>
      </c>
    </row>
    <row r="173" spans="1:2" x14ac:dyDescent="0.25">
      <c r="A173" vm="257">
        <f ca="1"/>
        <v>45910</v>
      </c>
      <c r="B173" vm="1903">
        <f ca="1"/>
        <v>13</v>
      </c>
    </row>
    <row r="174" spans="1:2" x14ac:dyDescent="0.25">
      <c r="A174" vm="264">
        <f ca="1"/>
        <v>45911</v>
      </c>
      <c r="B174" vm="1904">
        <f ca="1"/>
        <v>13.6</v>
      </c>
    </row>
    <row r="175" spans="1:2" x14ac:dyDescent="0.25">
      <c r="A175" vm="271">
        <f ca="1"/>
        <v>45912</v>
      </c>
      <c r="B175" vm="1905">
        <f ca="1"/>
        <v>13.35</v>
      </c>
    </row>
    <row r="176" spans="1:2" x14ac:dyDescent="0.25">
      <c r="A176" vm="279">
        <f ca="1"/>
        <v>45915</v>
      </c>
      <c r="B176" vm="1906">
        <f ca="1"/>
        <v>13.15</v>
      </c>
    </row>
    <row r="177" spans="1:2" x14ac:dyDescent="0.25">
      <c r="A177" vm="285">
        <f ca="1"/>
        <v>45916</v>
      </c>
      <c r="B177" vm="1907">
        <f ca="1"/>
        <v>13.05</v>
      </c>
    </row>
    <row r="178" spans="1:2" x14ac:dyDescent="0.25">
      <c r="A178" vm="292">
        <f ca="1"/>
        <v>45917</v>
      </c>
      <c r="B178" vm="1908">
        <f ca="1"/>
        <v>12.61</v>
      </c>
    </row>
    <row r="179" spans="1:2" x14ac:dyDescent="0.25">
      <c r="A179" vm="298">
        <f ca="1"/>
        <v>45918</v>
      </c>
      <c r="B179" vm="1909">
        <f ca="1"/>
        <v>12.74</v>
      </c>
    </row>
    <row r="180" spans="1:2" x14ac:dyDescent="0.25">
      <c r="A180" vm="303">
        <f ca="1"/>
        <v>45919</v>
      </c>
      <c r="B180" vm="1910">
        <f ca="1"/>
        <v>13.29</v>
      </c>
    </row>
    <row r="181" spans="1:2" x14ac:dyDescent="0.25">
      <c r="A181" vm="310">
        <f ca="1"/>
        <v>45922</v>
      </c>
      <c r="B181" vm="1911">
        <f ca="1"/>
        <v>14.1</v>
      </c>
    </row>
    <row r="182" spans="1:2" x14ac:dyDescent="0.25">
      <c r="A182" vm="317">
        <f ca="1"/>
        <v>45923</v>
      </c>
      <c r="B182" vm="1912">
        <f ca="1"/>
        <v>14</v>
      </c>
    </row>
    <row r="183" spans="1:2" x14ac:dyDescent="0.25">
      <c r="A183" vm="323">
        <f ca="1"/>
        <v>45924</v>
      </c>
      <c r="B183" vm="1913">
        <f ca="1"/>
        <v>13.97</v>
      </c>
    </row>
    <row r="184" spans="1:2" x14ac:dyDescent="0.25">
      <c r="A184" vm="328">
        <f ca="1"/>
        <v>45925</v>
      </c>
      <c r="B184" vm="1914">
        <f ca="1"/>
        <v>14.64</v>
      </c>
    </row>
    <row r="185" spans="1:2" x14ac:dyDescent="0.25">
      <c r="A185" vm="334">
        <f ca="1"/>
        <v>45926</v>
      </c>
      <c r="B185" vm="1915">
        <f ca="1"/>
        <v>15.16</v>
      </c>
    </row>
    <row r="186" spans="1:2" x14ac:dyDescent="0.25">
      <c r="A186" vm="340">
        <f ca="1"/>
        <v>45929</v>
      </c>
      <c r="B186" vm="1916">
        <f ca="1"/>
        <v>15.55</v>
      </c>
    </row>
    <row r="187" spans="1:2" x14ac:dyDescent="0.25">
      <c r="A187" vm="346">
        <f ca="1"/>
        <v>45930</v>
      </c>
      <c r="B187" vm="1917">
        <f ca="1"/>
        <v>14.79</v>
      </c>
    </row>
    <row r="188" spans="1:2" x14ac:dyDescent="0.25">
      <c r="A188" vm="352">
        <f ca="1"/>
        <v>45931</v>
      </c>
      <c r="B188" vm="1918">
        <f ca="1"/>
        <v>14.11</v>
      </c>
    </row>
    <row r="189" spans="1:2" x14ac:dyDescent="0.25">
      <c r="A189" vm="357">
        <f ca="1"/>
        <v>45932</v>
      </c>
      <c r="B189" vm="1919">
        <f ca="1"/>
        <v>14.38</v>
      </c>
    </row>
    <row r="190" spans="1:2" x14ac:dyDescent="0.25">
      <c r="A190" vm="362">
        <f ca="1"/>
        <v>45933</v>
      </c>
      <c r="B190" vm="1884">
        <f ca="1"/>
        <v>14.19</v>
      </c>
    </row>
    <row r="191" spans="1:2" x14ac:dyDescent="0.25">
      <c r="A191" vm="370">
        <f ca="1"/>
        <v>45936</v>
      </c>
      <c r="B191" vm="1920">
        <f ca="1"/>
        <v>13.71</v>
      </c>
    </row>
    <row r="192" spans="1:2" x14ac:dyDescent="0.25">
      <c r="A192" vm="378">
        <f ca="1"/>
        <v>45937</v>
      </c>
      <c r="B192" vm="1921">
        <f ca="1"/>
        <v>12.8</v>
      </c>
    </row>
    <row r="193" spans="1:2" x14ac:dyDescent="0.25">
      <c r="A193" vm="383">
        <f ca="1"/>
        <v>45938</v>
      </c>
      <c r="B193" vm="1922">
        <f ca="1"/>
        <v>12.66</v>
      </c>
    </row>
    <row r="194" spans="1:2" x14ac:dyDescent="0.25">
      <c r="A194" vm="389">
        <f ca="1"/>
        <v>45939</v>
      </c>
      <c r="B194" vm="1923">
        <f ca="1"/>
        <v>12.54</v>
      </c>
    </row>
    <row r="195" spans="1:2" x14ac:dyDescent="0.25">
      <c r="A195" vm="395">
        <f ca="1"/>
        <v>45940</v>
      </c>
      <c r="B195" vm="1924">
        <f ca="1"/>
        <v>11.4</v>
      </c>
    </row>
    <row r="196" spans="1:2" x14ac:dyDescent="0.25">
      <c r="A196" vm="402">
        <f ca="1"/>
        <v>45943</v>
      </c>
      <c r="B196" vm="1827">
        <f ca="1"/>
        <v>11.74</v>
      </c>
    </row>
    <row r="197" spans="1:2" x14ac:dyDescent="0.25">
      <c r="A197" vm="407">
        <f ca="1"/>
        <v>45944</v>
      </c>
      <c r="B197" vm="1718">
        <f ca="1"/>
        <v>11.73</v>
      </c>
    </row>
    <row r="198" spans="1:2" x14ac:dyDescent="0.25">
      <c r="A198" vm="411">
        <f ca="1"/>
        <v>45945</v>
      </c>
      <c r="B198" vm="1925">
        <f ca="1"/>
        <v>11.61</v>
      </c>
    </row>
    <row r="199" spans="1:2" x14ac:dyDescent="0.25">
      <c r="A199" vm="416">
        <f ca="1"/>
        <v>45946</v>
      </c>
      <c r="B199" vm="1708">
        <f ca="1"/>
        <v>11.75</v>
      </c>
    </row>
    <row r="200" spans="1:2" x14ac:dyDescent="0.25">
      <c r="A200" vm="422">
        <f ca="1"/>
        <v>45947</v>
      </c>
      <c r="B200" vm="345">
        <f ca="1"/>
        <v>11.01</v>
      </c>
    </row>
    <row r="201" spans="1:2" x14ac:dyDescent="0.25">
      <c r="A201" vm="430">
        <f ca="1"/>
        <v>45950</v>
      </c>
      <c r="B201" vm="1926">
        <f ca="1"/>
        <v>11.48</v>
      </c>
    </row>
    <row r="202" spans="1:2" x14ac:dyDescent="0.25">
      <c r="A202" vm="436">
        <f ca="1"/>
        <v>45951</v>
      </c>
      <c r="B202" vm="392">
        <f ca="1"/>
        <v>11.14</v>
      </c>
    </row>
    <row r="203" spans="1:2" x14ac:dyDescent="0.25">
      <c r="A203" vm="442">
        <f ca="1"/>
        <v>45952</v>
      </c>
      <c r="B203" vm="1784">
        <f ca="1"/>
        <v>10.83</v>
      </c>
    </row>
    <row r="204" spans="1:2" x14ac:dyDescent="0.25">
      <c r="A204" vm="448">
        <f ca="1"/>
        <v>45953</v>
      </c>
      <c r="B204" vm="405">
        <f ca="1"/>
        <v>11.08</v>
      </c>
    </row>
    <row r="205" spans="1:2" x14ac:dyDescent="0.25">
      <c r="A205" vm="455">
        <f ca="1"/>
        <v>45954</v>
      </c>
      <c r="B205" vm="1927">
        <f ca="1"/>
        <v>11.51</v>
      </c>
    </row>
    <row r="206" spans="1:2" x14ac:dyDescent="0.25">
      <c r="A206" vm="462">
        <f ca="1"/>
        <v>45957</v>
      </c>
      <c r="B206" vm="1928">
        <f ca="1"/>
        <v>11.57</v>
      </c>
    </row>
    <row r="207" spans="1:2" x14ac:dyDescent="0.25">
      <c r="A207" vm="467">
        <f ca="1"/>
        <v>45958</v>
      </c>
      <c r="B207" vm="282">
        <f ca="1"/>
        <v>11.29</v>
      </c>
    </row>
    <row r="208" spans="1:2" x14ac:dyDescent="0.25">
      <c r="A208" vm="474">
        <f ca="1"/>
        <v>45959</v>
      </c>
      <c r="B208" vm="284">
        <f ca="1"/>
        <v>10.96</v>
      </c>
    </row>
    <row r="209" spans="1:2" x14ac:dyDescent="0.25">
      <c r="A209" vm="481">
        <f ca="1"/>
        <v>45960</v>
      </c>
      <c r="B209" vm="1929">
        <f ca="1"/>
        <v>10.79</v>
      </c>
    </row>
    <row r="210" spans="1:2" x14ac:dyDescent="0.25">
      <c r="A210" vm="487">
        <f ca="1"/>
        <v>45961</v>
      </c>
      <c r="B210" vm="296">
        <f ca="1"/>
        <v>10.82</v>
      </c>
    </row>
    <row r="211" spans="1:2" x14ac:dyDescent="0.25">
      <c r="A211" vm="490">
        <f ca="1"/>
        <v>45964</v>
      </c>
      <c r="B211" vm="1930">
        <f ca="1"/>
        <v>10.35</v>
      </c>
    </row>
    <row r="212" spans="1:2" x14ac:dyDescent="0.25">
      <c r="A212" vm="494">
        <f ca="1"/>
        <v>45965</v>
      </c>
      <c r="B212" vm="1931">
        <f ca="1"/>
        <v>9.7100000000000009</v>
      </c>
    </row>
    <row r="213" spans="1:2" x14ac:dyDescent="0.25">
      <c r="A213" vm="500">
        <f ca="1"/>
        <v>45966</v>
      </c>
      <c r="B213" vm="181">
        <f ca="1"/>
        <v>9.94</v>
      </c>
    </row>
    <row r="214" spans="1:2" x14ac:dyDescent="0.25">
      <c r="A214" vm="506">
        <f ca="1"/>
        <v>45967</v>
      </c>
      <c r="B214" vm="576">
        <f ca="1"/>
        <v>9.6300000000000008</v>
      </c>
    </row>
    <row r="215" spans="1:2" x14ac:dyDescent="0.25">
      <c r="A215" vm="510">
        <f ca="1"/>
        <v>45968</v>
      </c>
      <c r="B215" vm="558">
        <f ca="1"/>
        <v>9.64</v>
      </c>
    </row>
    <row r="216" spans="1:2" x14ac:dyDescent="0.25">
      <c r="A216" vm="514">
        <f ca="1"/>
        <v>45971</v>
      </c>
      <c r="B216" vm="1931">
        <f ca="1"/>
        <v>9.7100000000000009</v>
      </c>
    </row>
    <row r="217" spans="1:2" x14ac:dyDescent="0.25">
      <c r="A217" vm="518">
        <f ca="1"/>
        <v>45972</v>
      </c>
      <c r="B217" vm="623">
        <f ca="1"/>
        <v>9.52</v>
      </c>
    </row>
    <row r="218" spans="1:2" x14ac:dyDescent="0.25">
      <c r="A218" vm="521">
        <f ca="1"/>
        <v>45973</v>
      </c>
      <c r="B218" vm="335">
        <f ca="1"/>
        <v>9.77</v>
      </c>
    </row>
    <row r="219" spans="1:2" x14ac:dyDescent="0.25">
      <c r="A219" vm="525">
        <f ca="1"/>
        <v>45974</v>
      </c>
      <c r="B219" vm="95">
        <f ca="1"/>
        <v>9.01</v>
      </c>
    </row>
    <row r="220" spans="1:2" x14ac:dyDescent="0.25">
      <c r="A220" vm="528">
        <f ca="1"/>
        <v>45975</v>
      </c>
      <c r="B220" vm="237">
        <f ca="1"/>
        <v>8.6300000000000008</v>
      </c>
    </row>
    <row r="221" spans="1:2" x14ac:dyDescent="0.25">
      <c r="A221" vm="533">
        <f ca="1"/>
        <v>45978</v>
      </c>
      <c r="B221" vm="482">
        <f ca="1"/>
        <v>8.15</v>
      </c>
    </row>
    <row r="222" spans="1:2" x14ac:dyDescent="0.25">
      <c r="A222" vm="540">
        <f ca="1"/>
        <v>45979</v>
      </c>
      <c r="B222" vm="450">
        <f ca="1"/>
        <v>8.39</v>
      </c>
    </row>
    <row r="223" spans="1:2" x14ac:dyDescent="0.25">
      <c r="A223" vm="543">
        <f ca="1"/>
        <v>45980</v>
      </c>
      <c r="B223" vm="251">
        <f ca="1"/>
        <v>8.2200000000000006</v>
      </c>
    </row>
    <row r="224" spans="1:2" x14ac:dyDescent="0.25">
      <c r="A224" vm="548">
        <f ca="1"/>
        <v>45981</v>
      </c>
      <c r="B224" vm="423">
        <f ca="1"/>
        <v>8.25</v>
      </c>
    </row>
    <row r="225" spans="1:2" x14ac:dyDescent="0.25">
      <c r="A225" vm="553">
        <f ca="1"/>
        <v>45982</v>
      </c>
      <c r="B225" vm="472">
        <f ca="1"/>
        <v>8.2899999999999991</v>
      </c>
    </row>
    <row r="226" spans="1:2" x14ac:dyDescent="0.25">
      <c r="A226" vm="559">
        <f ca="1"/>
        <v>45985</v>
      </c>
      <c r="B226" vm="272">
        <f ca="1"/>
        <v>8.67</v>
      </c>
    </row>
    <row r="227" spans="1:2" x14ac:dyDescent="0.25">
      <c r="A227" vm="562">
        <f ca="1"/>
        <v>45986</v>
      </c>
      <c r="B227" vm="258">
        <f ca="1"/>
        <v>8.6999999999999993</v>
      </c>
    </row>
    <row r="228" spans="1:2" x14ac:dyDescent="0.25">
      <c r="A228" vm="566">
        <f ca="1"/>
        <v>45987</v>
      </c>
      <c r="B228" vm="137">
        <f ca="1"/>
        <v>9.26</v>
      </c>
    </row>
    <row r="229" spans="1:2" x14ac:dyDescent="0.25">
      <c r="A229" vm="572">
        <f ca="1"/>
        <v>45989</v>
      </c>
      <c r="B229" vm="33">
        <f ca="1"/>
        <v>9.33</v>
      </c>
    </row>
    <row r="230" spans="1:2" x14ac:dyDescent="0.25">
      <c r="A230" vm="574">
        <f ca="1"/>
        <v>45992</v>
      </c>
      <c r="B230" vm="40">
        <f ca="1"/>
        <v>9.1999999999999993</v>
      </c>
    </row>
    <row r="231" spans="1:2" x14ac:dyDescent="0.25">
      <c r="A231" vm="579">
        <f ca="1"/>
        <v>45993</v>
      </c>
      <c r="B231" vm="565">
        <f ca="1"/>
        <v>9</v>
      </c>
    </row>
    <row r="232" spans="1:2" x14ac:dyDescent="0.25">
      <c r="A232" vm="581">
        <f ca="1"/>
        <v>45994</v>
      </c>
      <c r="B232" vm="137">
        <f ca="1"/>
        <v>9.26</v>
      </c>
    </row>
    <row r="233" spans="1:2" x14ac:dyDescent="0.25">
      <c r="A233" vm="585">
        <f ca="1"/>
        <v>45995</v>
      </c>
      <c r="B233" vm="207">
        <f ca="1"/>
        <v>9.6199999999999992</v>
      </c>
    </row>
    <row r="234" spans="1:2" x14ac:dyDescent="0.25">
      <c r="A234" vm="590">
        <f ca="1"/>
        <v>45996</v>
      </c>
      <c r="B234" vm="561">
        <f ca="1"/>
        <v>9.4700000000000006</v>
      </c>
    </row>
    <row r="235" spans="1:2" x14ac:dyDescent="0.25">
      <c r="A235" vm="595">
        <f ca="1"/>
        <v>45999</v>
      </c>
      <c r="B235" vm="1931">
        <f ca="1"/>
        <v>9.7100000000000009</v>
      </c>
    </row>
  </sheetData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235"/>
  <sheetViews>
    <sheetView topLeftCell="A218" workbookViewId="0">
      <selection sqref="A1:B235"/>
    </sheetView>
  </sheetViews>
  <sheetFormatPr defaultRowHeight="15" x14ac:dyDescent="0.25"/>
  <cols>
    <col min="1" max="1" width="9.42578125" bestFit="1" customWidth="1"/>
  </cols>
  <sheetData>
    <row r="1" spans="1:2" x14ac:dyDescent="0.25">
      <c r="A1" t="str" cm="1">
        <f t="array" aca="1" ref="A1:B235" ca="1">_xlfn.STOCKHISTORY("IEP", DATE(YEAR(TODAY()),1,1), TODAY())</f>
        <v>Date</v>
      </c>
      <c r="B1" t="str">
        <f ca="1"/>
        <v>Close</v>
      </c>
    </row>
    <row r="2" spans="1:2" x14ac:dyDescent="0.25">
      <c r="A2" vm="5">
        <f ca="1"/>
        <v>45659</v>
      </c>
      <c r="B2" vm="3">
        <f ca="1"/>
        <v>8.98</v>
      </c>
    </row>
    <row r="3" spans="1:2" x14ac:dyDescent="0.25">
      <c r="A3" vm="13">
        <f ca="1"/>
        <v>45660</v>
      </c>
      <c r="B3" vm="73">
        <f ca="1"/>
        <v>9.1199999999999992</v>
      </c>
    </row>
    <row r="4" spans="1:2" x14ac:dyDescent="0.25">
      <c r="A4" vm="21">
        <f ca="1"/>
        <v>45663</v>
      </c>
      <c r="B4" vm="32">
        <f ca="1"/>
        <v>9.2799999999999994</v>
      </c>
    </row>
    <row r="5" spans="1:2" x14ac:dyDescent="0.25">
      <c r="A5" vm="29">
        <f ca="1"/>
        <v>45664</v>
      </c>
      <c r="B5" vm="129">
        <f ca="1"/>
        <v>9.34</v>
      </c>
    </row>
    <row r="6" spans="1:2" x14ac:dyDescent="0.25">
      <c r="A6" vm="35">
        <f ca="1"/>
        <v>45665</v>
      </c>
      <c r="B6" vm="110">
        <f ca="1"/>
        <v>9.15</v>
      </c>
    </row>
    <row r="7" spans="1:2" x14ac:dyDescent="0.25">
      <c r="A7" vm="43">
        <f ca="1"/>
        <v>45667</v>
      </c>
      <c r="B7" vm="236">
        <f ca="1"/>
        <v>9.2100000000000009</v>
      </c>
    </row>
    <row r="8" spans="1:2" x14ac:dyDescent="0.25">
      <c r="A8" vm="51">
        <f ca="1"/>
        <v>45670</v>
      </c>
      <c r="B8" vm="80">
        <f ca="1"/>
        <v>9.1300000000000008</v>
      </c>
    </row>
    <row r="9" spans="1:2" x14ac:dyDescent="0.25">
      <c r="A9" vm="58">
        <f ca="1"/>
        <v>45671</v>
      </c>
      <c r="B9" vm="385">
        <f ca="1"/>
        <v>8.9700000000000006</v>
      </c>
    </row>
    <row r="10" spans="1:2" x14ac:dyDescent="0.25">
      <c r="A10" vm="66">
        <f ca="1"/>
        <v>45672</v>
      </c>
      <c r="B10" vm="373">
        <f ca="1"/>
        <v>9.11</v>
      </c>
    </row>
    <row r="11" spans="1:2" x14ac:dyDescent="0.25">
      <c r="A11" vm="74">
        <f ca="1"/>
        <v>45673</v>
      </c>
      <c r="B11" vm="63">
        <f ca="1"/>
        <v>9.4499999999999993</v>
      </c>
    </row>
    <row r="12" spans="1:2" x14ac:dyDescent="0.25">
      <c r="A12" vm="81">
        <f ca="1"/>
        <v>45674</v>
      </c>
      <c r="B12" vm="175">
        <f ca="1"/>
        <v>9.3800000000000008</v>
      </c>
    </row>
    <row r="13" spans="1:2" x14ac:dyDescent="0.25">
      <c r="A13" vm="88">
        <f ca="1"/>
        <v>45678</v>
      </c>
      <c r="B13" vm="48">
        <f ca="1"/>
        <v>9.5299999999999994</v>
      </c>
    </row>
    <row r="14" spans="1:2" x14ac:dyDescent="0.25">
      <c r="A14" vm="96">
        <f ca="1"/>
        <v>45679</v>
      </c>
      <c r="B14" vm="48">
        <f ca="1"/>
        <v>9.5299999999999994</v>
      </c>
    </row>
    <row r="15" spans="1:2" x14ac:dyDescent="0.25">
      <c r="A15" vm="104">
        <f ca="1"/>
        <v>45680</v>
      </c>
      <c r="B15" vm="1725">
        <f ca="1"/>
        <v>9.85</v>
      </c>
    </row>
    <row r="16" spans="1:2" x14ac:dyDescent="0.25">
      <c r="A16" vm="111">
        <f ca="1"/>
        <v>45681</v>
      </c>
      <c r="B16" vm="1932">
        <f ca="1"/>
        <v>9.7949999999999999</v>
      </c>
    </row>
    <row r="17" spans="1:2" x14ac:dyDescent="0.25">
      <c r="A17" vm="118">
        <f ca="1"/>
        <v>45684</v>
      </c>
      <c r="B17" vm="336">
        <f ca="1"/>
        <v>9.9700000000000006</v>
      </c>
    </row>
    <row r="18" spans="1:2" x14ac:dyDescent="0.25">
      <c r="A18" vm="124">
        <f ca="1"/>
        <v>45685</v>
      </c>
      <c r="B18" vm="1725">
        <f ca="1"/>
        <v>9.85</v>
      </c>
    </row>
    <row r="19" spans="1:2" x14ac:dyDescent="0.25">
      <c r="A19" vm="131">
        <f ca="1"/>
        <v>45686</v>
      </c>
      <c r="B19" vm="1933">
        <f ca="1"/>
        <v>9.8550000000000004</v>
      </c>
    </row>
    <row r="20" spans="1:2" x14ac:dyDescent="0.25">
      <c r="A20" vm="138">
        <f ca="1"/>
        <v>45687</v>
      </c>
      <c r="B20" vm="1337">
        <f ca="1"/>
        <v>9.74</v>
      </c>
    </row>
    <row r="21" spans="1:2" x14ac:dyDescent="0.25">
      <c r="A21" vm="143">
        <f ca="1"/>
        <v>45688</v>
      </c>
      <c r="B21" vm="1337">
        <f ca="1"/>
        <v>9.74</v>
      </c>
    </row>
    <row r="22" spans="1:2" x14ac:dyDescent="0.25">
      <c r="A22" vm="150">
        <f ca="1"/>
        <v>45691</v>
      </c>
      <c r="B22" vm="1725">
        <f ca="1"/>
        <v>9.85</v>
      </c>
    </row>
    <row r="23" spans="1:2" x14ac:dyDescent="0.25">
      <c r="A23" vm="158">
        <f ca="1"/>
        <v>45692</v>
      </c>
      <c r="B23" vm="591">
        <f ca="1"/>
        <v>9.98</v>
      </c>
    </row>
    <row r="24" spans="1:2" x14ac:dyDescent="0.25">
      <c r="A24" vm="165">
        <f ca="1"/>
        <v>45693</v>
      </c>
      <c r="B24" vm="218">
        <f ca="1"/>
        <v>9.91</v>
      </c>
    </row>
    <row r="25" spans="1:2" x14ac:dyDescent="0.25">
      <c r="A25" vm="170">
        <f ca="1"/>
        <v>45694</v>
      </c>
      <c r="B25" vm="102">
        <f ca="1"/>
        <v>9.76</v>
      </c>
    </row>
    <row r="26" spans="1:2" x14ac:dyDescent="0.25">
      <c r="A26" vm="177">
        <f ca="1"/>
        <v>45695</v>
      </c>
      <c r="B26" vm="522">
        <f ca="1"/>
        <v>9.6999999999999993</v>
      </c>
    </row>
    <row r="27" spans="1:2" x14ac:dyDescent="0.25">
      <c r="A27" vm="183">
        <f ca="1"/>
        <v>45698</v>
      </c>
      <c r="B27" vm="56">
        <f ca="1"/>
        <v>9.65</v>
      </c>
    </row>
    <row r="28" spans="1:2" x14ac:dyDescent="0.25">
      <c r="A28" vm="190">
        <f ca="1"/>
        <v>45699</v>
      </c>
      <c r="B28" vm="627">
        <f ca="1"/>
        <v>9.7799999999999994</v>
      </c>
    </row>
    <row r="29" spans="1:2" x14ac:dyDescent="0.25">
      <c r="A29" vm="195">
        <f ca="1"/>
        <v>45700</v>
      </c>
      <c r="B29" vm="633">
        <f ca="1"/>
        <v>9.8800000000000008</v>
      </c>
    </row>
    <row r="30" spans="1:2" x14ac:dyDescent="0.25">
      <c r="A30" vm="202">
        <f ca="1"/>
        <v>45701</v>
      </c>
      <c r="B30" vm="1331">
        <f ca="1"/>
        <v>9.93</v>
      </c>
    </row>
    <row r="31" spans="1:2" x14ac:dyDescent="0.25">
      <c r="A31" vm="208">
        <f ca="1"/>
        <v>45702</v>
      </c>
      <c r="B31" vm="1330">
        <f ca="1"/>
        <v>9.92</v>
      </c>
    </row>
    <row r="32" spans="1:2" x14ac:dyDescent="0.25">
      <c r="A32" vm="212">
        <f ca="1"/>
        <v>45706</v>
      </c>
      <c r="B32" vm="182">
        <f ca="1"/>
        <v>9.99</v>
      </c>
    </row>
    <row r="33" spans="1:2" x14ac:dyDescent="0.25">
      <c r="A33" vm="219">
        <f ca="1"/>
        <v>45707</v>
      </c>
      <c r="B33" vm="1311">
        <f ca="1"/>
        <v>10.25</v>
      </c>
    </row>
    <row r="34" spans="1:2" x14ac:dyDescent="0.25">
      <c r="A34" vm="225">
        <f ca="1"/>
        <v>45708</v>
      </c>
      <c r="B34" vm="1776">
        <f ca="1"/>
        <v>10.38</v>
      </c>
    </row>
    <row r="35" spans="1:2" x14ac:dyDescent="0.25">
      <c r="A35" vm="231">
        <f ca="1"/>
        <v>45709</v>
      </c>
      <c r="B35" vm="1788">
        <f ca="1"/>
        <v>10.43</v>
      </c>
    </row>
    <row r="36" spans="1:2" x14ac:dyDescent="0.25">
      <c r="A36" vm="238">
        <f ca="1"/>
        <v>45712</v>
      </c>
      <c r="B36" vm="1329">
        <f ca="1"/>
        <v>10.15</v>
      </c>
    </row>
    <row r="37" spans="1:2" x14ac:dyDescent="0.25">
      <c r="A37" vm="246">
        <f ca="1"/>
        <v>45713</v>
      </c>
      <c r="B37" vm="309">
        <f ca="1"/>
        <v>10.26</v>
      </c>
    </row>
    <row r="38" spans="1:2" x14ac:dyDescent="0.25">
      <c r="A38" vm="253">
        <f ca="1"/>
        <v>45714</v>
      </c>
      <c r="B38" vm="1934">
        <f ca="1"/>
        <v>10.029999999999999</v>
      </c>
    </row>
    <row r="39" spans="1:2" x14ac:dyDescent="0.25">
      <c r="A39" vm="260">
        <f ca="1"/>
        <v>45715</v>
      </c>
      <c r="B39" vm="1294">
        <f ca="1"/>
        <v>10.07</v>
      </c>
    </row>
    <row r="40" spans="1:2" x14ac:dyDescent="0.25">
      <c r="A40" vm="267">
        <f ca="1"/>
        <v>45716</v>
      </c>
      <c r="B40" vm="1786">
        <f ca="1"/>
        <v>10.09</v>
      </c>
    </row>
    <row r="41" spans="1:2" x14ac:dyDescent="0.25">
      <c r="A41" vm="275">
        <f ca="1"/>
        <v>45719</v>
      </c>
      <c r="B41" vm="628">
        <f ca="1"/>
        <v>10</v>
      </c>
    </row>
    <row r="42" spans="1:2" x14ac:dyDescent="0.25">
      <c r="A42" vm="281">
        <f ca="1"/>
        <v>45720</v>
      </c>
      <c r="B42" vm="1298">
        <f ca="1"/>
        <v>9.75</v>
      </c>
    </row>
    <row r="43" spans="1:2" x14ac:dyDescent="0.25">
      <c r="A43" vm="288">
        <f ca="1"/>
        <v>45721</v>
      </c>
      <c r="B43" vm="1292">
        <f ca="1"/>
        <v>9.83</v>
      </c>
    </row>
    <row r="44" spans="1:2" x14ac:dyDescent="0.25">
      <c r="A44" vm="295">
        <f ca="1"/>
        <v>45722</v>
      </c>
      <c r="B44" vm="217">
        <f ca="1"/>
        <v>9.9</v>
      </c>
    </row>
    <row r="45" spans="1:2" x14ac:dyDescent="0.25">
      <c r="A45" vm="300">
        <f ca="1"/>
        <v>45723</v>
      </c>
      <c r="B45" vm="628">
        <f ca="1"/>
        <v>10</v>
      </c>
    </row>
    <row r="46" spans="1:2" x14ac:dyDescent="0.25">
      <c r="A46" vm="306">
        <f ca="1"/>
        <v>45726</v>
      </c>
      <c r="B46" vm="568">
        <f ca="1"/>
        <v>9.18</v>
      </c>
    </row>
    <row r="47" spans="1:2" x14ac:dyDescent="0.25">
      <c r="A47" vm="314">
        <f ca="1"/>
        <v>45727</v>
      </c>
      <c r="B47" vm="390">
        <f ca="1"/>
        <v>8.94</v>
      </c>
    </row>
    <row r="48" spans="1:2" x14ac:dyDescent="0.25">
      <c r="A48" vm="319">
        <f ca="1"/>
        <v>45728</v>
      </c>
      <c r="B48" vm="613">
        <f ca="1"/>
        <v>8.89</v>
      </c>
    </row>
    <row r="49" spans="1:2" x14ac:dyDescent="0.25">
      <c r="A49" vm="326">
        <f ca="1"/>
        <v>45729</v>
      </c>
      <c r="B49" vm="534">
        <f ca="1"/>
        <v>8.8699999999999992</v>
      </c>
    </row>
    <row r="50" spans="1:2" x14ac:dyDescent="0.25">
      <c r="A50" vm="330">
        <f ca="1"/>
        <v>45730</v>
      </c>
      <c r="B50" vm="557">
        <f ca="1"/>
        <v>9.5</v>
      </c>
    </row>
    <row r="51" spans="1:2" x14ac:dyDescent="0.25">
      <c r="A51" vm="337">
        <f ca="1"/>
        <v>45733</v>
      </c>
      <c r="B51" vm="558">
        <f ca="1"/>
        <v>9.64</v>
      </c>
    </row>
    <row r="52" spans="1:2" x14ac:dyDescent="0.25">
      <c r="A52" vm="342">
        <f ca="1"/>
        <v>45734</v>
      </c>
      <c r="B52" vm="557">
        <f ca="1"/>
        <v>9.5</v>
      </c>
    </row>
    <row r="53" spans="1:2" x14ac:dyDescent="0.25">
      <c r="A53" vm="348">
        <f ca="1"/>
        <v>45735</v>
      </c>
      <c r="B53" vm="64">
        <f ca="1"/>
        <v>9.66</v>
      </c>
    </row>
    <row r="54" spans="1:2" x14ac:dyDescent="0.25">
      <c r="A54" vm="353">
        <f ca="1"/>
        <v>45736</v>
      </c>
      <c r="B54" vm="1300">
        <f ca="1"/>
        <v>9.67</v>
      </c>
    </row>
    <row r="55" spans="1:2" x14ac:dyDescent="0.25">
      <c r="A55" vm="360">
        <f ca="1"/>
        <v>45737</v>
      </c>
      <c r="B55" vm="57">
        <f ca="1"/>
        <v>9.69</v>
      </c>
    </row>
    <row r="56" spans="1:2" x14ac:dyDescent="0.25">
      <c r="A56" vm="366">
        <f ca="1"/>
        <v>45740</v>
      </c>
      <c r="B56" vm="551">
        <f ca="1"/>
        <v>9.41</v>
      </c>
    </row>
    <row r="57" spans="1:2" x14ac:dyDescent="0.25">
      <c r="A57" vm="374">
        <f ca="1"/>
        <v>45741</v>
      </c>
      <c r="B57" vm="32">
        <f ca="1"/>
        <v>9.2799999999999994</v>
      </c>
    </row>
    <row r="58" spans="1:2" x14ac:dyDescent="0.25">
      <c r="A58" vm="381">
        <f ca="1"/>
        <v>45742</v>
      </c>
      <c r="B58" vm="93">
        <f ca="1"/>
        <v>9.36</v>
      </c>
    </row>
    <row r="59" spans="1:2" x14ac:dyDescent="0.25">
      <c r="A59" vm="386">
        <f ca="1"/>
        <v>45743</v>
      </c>
      <c r="B59" vm="50">
        <f ca="1"/>
        <v>9.3000000000000007</v>
      </c>
    </row>
    <row r="60" spans="1:2" x14ac:dyDescent="0.25">
      <c r="A60" vm="391">
        <f ca="1"/>
        <v>45744</v>
      </c>
      <c r="B60" vm="236">
        <f ca="1"/>
        <v>9.2100000000000009</v>
      </c>
    </row>
    <row r="61" spans="1:2" x14ac:dyDescent="0.25">
      <c r="A61" vm="398">
        <f ca="1"/>
        <v>45747</v>
      </c>
      <c r="B61" vm="341">
        <f ca="1"/>
        <v>9.06</v>
      </c>
    </row>
    <row r="62" spans="1:2" x14ac:dyDescent="0.25">
      <c r="A62" vm="404">
        <f ca="1"/>
        <v>45748</v>
      </c>
      <c r="B62" vm="1435">
        <f ca="1"/>
        <v>9.07</v>
      </c>
    </row>
    <row r="63" spans="1:2" x14ac:dyDescent="0.25">
      <c r="A63" vm="410">
        <f ca="1"/>
        <v>45749</v>
      </c>
      <c r="B63" vm="80">
        <f ca="1"/>
        <v>9.1300000000000008</v>
      </c>
    </row>
    <row r="64" spans="1:2" x14ac:dyDescent="0.25">
      <c r="A64" vm="415">
        <f ca="1"/>
        <v>45750</v>
      </c>
      <c r="B64" vm="385">
        <f ca="1"/>
        <v>8.9700000000000006</v>
      </c>
    </row>
    <row r="65" spans="1:2" x14ac:dyDescent="0.25">
      <c r="A65" vm="418">
        <f ca="1"/>
        <v>45751</v>
      </c>
      <c r="B65" vm="423">
        <f ca="1"/>
        <v>8.25</v>
      </c>
    </row>
    <row r="66" spans="1:2" x14ac:dyDescent="0.25">
      <c r="A66" vm="426">
        <f ca="1"/>
        <v>45754</v>
      </c>
      <c r="B66" vm="459">
        <f ca="1"/>
        <v>7.89</v>
      </c>
    </row>
    <row r="67" spans="1:2" x14ac:dyDescent="0.25">
      <c r="A67" vm="432">
        <f ca="1"/>
        <v>45755</v>
      </c>
      <c r="B67" vm="1935">
        <f ca="1"/>
        <v>7.8049999999999997</v>
      </c>
    </row>
    <row r="68" spans="1:2" x14ac:dyDescent="0.25">
      <c r="A68" vm="439">
        <f ca="1"/>
        <v>45756</v>
      </c>
      <c r="B68" vm="434">
        <f ca="1"/>
        <v>8.43</v>
      </c>
    </row>
    <row r="69" spans="1:2" x14ac:dyDescent="0.25">
      <c r="A69" vm="444">
        <f ca="1"/>
        <v>45757</v>
      </c>
      <c r="B69" vm="502">
        <f ca="1"/>
        <v>8.0299999999999994</v>
      </c>
    </row>
    <row r="70" spans="1:2" x14ac:dyDescent="0.25">
      <c r="A70" vm="451">
        <f ca="1"/>
        <v>45758</v>
      </c>
      <c r="B70" vm="697">
        <f ca="1"/>
        <v>8.2100000000000009</v>
      </c>
    </row>
    <row r="71" spans="1:2" x14ac:dyDescent="0.25">
      <c r="A71" vm="458">
        <f ca="1"/>
        <v>45761</v>
      </c>
      <c r="B71" vm="1735">
        <f ca="1"/>
        <v>8.26</v>
      </c>
    </row>
    <row r="72" spans="1:2" x14ac:dyDescent="0.25">
      <c r="A72" vm="463">
        <f ca="1"/>
        <v>45762</v>
      </c>
      <c r="B72" vm="450">
        <f ca="1"/>
        <v>8.39</v>
      </c>
    </row>
    <row r="73" spans="1:2" x14ac:dyDescent="0.25">
      <c r="A73" vm="470">
        <f ca="1"/>
        <v>45763</v>
      </c>
      <c r="B73" vm="412">
        <f ca="1"/>
        <v>8.3699999999999992</v>
      </c>
    </row>
    <row r="74" spans="1:2" x14ac:dyDescent="0.25">
      <c r="A74" vm="478">
        <f ca="1"/>
        <v>45764</v>
      </c>
      <c r="B74" vm="4">
        <f ca="1"/>
        <v>8.5399999999999991</v>
      </c>
    </row>
    <row r="75" spans="1:2" x14ac:dyDescent="0.25">
      <c r="A75" vm="484">
        <f ca="1"/>
        <v>45768</v>
      </c>
      <c r="B75" vm="603">
        <f ca="1"/>
        <v>8.5500000000000007</v>
      </c>
    </row>
    <row r="76" spans="1:2" x14ac:dyDescent="0.25">
      <c r="A76" vm="488">
        <f ca="1"/>
        <v>45769</v>
      </c>
      <c r="B76" vm="87">
        <f ca="1"/>
        <v>8.76</v>
      </c>
    </row>
    <row r="77" spans="1:2" x14ac:dyDescent="0.25">
      <c r="A77" vm="491">
        <f ca="1"/>
        <v>45770</v>
      </c>
      <c r="B77" vm="545">
        <f ca="1"/>
        <v>8.66</v>
      </c>
    </row>
    <row r="78" spans="1:2" x14ac:dyDescent="0.25">
      <c r="A78" vm="497">
        <f ca="1"/>
        <v>45771</v>
      </c>
      <c r="B78" vm="18">
        <f ca="1"/>
        <v>8.64</v>
      </c>
    </row>
    <row r="79" spans="1:2" x14ac:dyDescent="0.25">
      <c r="A79" vm="503">
        <f ca="1"/>
        <v>45772</v>
      </c>
      <c r="B79" vm="287">
        <f ca="1"/>
        <v>8.51</v>
      </c>
    </row>
    <row r="80" spans="1:2" x14ac:dyDescent="0.25">
      <c r="A80" vm="508">
        <f ca="1"/>
        <v>45775</v>
      </c>
      <c r="B80" vm="258">
        <f ca="1"/>
        <v>8.6999999999999993</v>
      </c>
    </row>
    <row r="81" spans="1:2" x14ac:dyDescent="0.25">
      <c r="A81" vm="512">
        <f ca="1"/>
        <v>45776</v>
      </c>
      <c r="B81" vm="86">
        <f ca="1"/>
        <v>8.8800000000000008</v>
      </c>
    </row>
    <row r="82" spans="1:2" x14ac:dyDescent="0.25">
      <c r="A82" vm="516">
        <f ca="1"/>
        <v>45777</v>
      </c>
      <c r="B82" vm="584">
        <f ca="1"/>
        <v>8.65</v>
      </c>
    </row>
    <row r="83" spans="1:2" x14ac:dyDescent="0.25">
      <c r="A83" vm="520">
        <f ca="1"/>
        <v>45778</v>
      </c>
      <c r="B83" vm="266">
        <f ca="1"/>
        <v>8.81</v>
      </c>
    </row>
    <row r="84" spans="1:2" x14ac:dyDescent="0.25">
      <c r="A84" vm="523">
        <f ca="1"/>
        <v>45779</v>
      </c>
      <c r="B84" vm="273">
        <f ca="1"/>
        <v>8.93</v>
      </c>
    </row>
    <row r="85" spans="1:2" x14ac:dyDescent="0.25">
      <c r="A85" vm="526">
        <f ca="1"/>
        <v>45782</v>
      </c>
      <c r="B85" vm="34">
        <f ca="1"/>
        <v>8.86</v>
      </c>
    </row>
    <row r="86" spans="1:2" x14ac:dyDescent="0.25">
      <c r="A86" vm="530">
        <f ca="1"/>
        <v>45783</v>
      </c>
      <c r="B86" vm="504">
        <f ca="1"/>
        <v>8.7200000000000006</v>
      </c>
    </row>
    <row r="87" spans="1:2" x14ac:dyDescent="0.25">
      <c r="A87" vm="537">
        <f ca="1"/>
        <v>45784</v>
      </c>
      <c r="B87" vm="305">
        <f ca="1"/>
        <v>8.35</v>
      </c>
    </row>
    <row r="88" spans="1:2" x14ac:dyDescent="0.25">
      <c r="A88" vm="541">
        <f ca="1"/>
        <v>45785</v>
      </c>
      <c r="B88" vm="4">
        <f ca="1"/>
        <v>8.5399999999999991</v>
      </c>
    </row>
    <row r="89" spans="1:2" x14ac:dyDescent="0.25">
      <c r="A89" vm="546">
        <f ca="1"/>
        <v>45786</v>
      </c>
      <c r="B89" vm="505">
        <f ca="1"/>
        <v>8.75</v>
      </c>
    </row>
    <row r="90" spans="1:2" x14ac:dyDescent="0.25">
      <c r="A90" vm="550">
        <f ca="1"/>
        <v>45789</v>
      </c>
      <c r="B90" vm="371">
        <f ca="1"/>
        <v>9.17</v>
      </c>
    </row>
    <row r="91" spans="1:2" x14ac:dyDescent="0.25">
      <c r="A91" vm="556">
        <f ca="1"/>
        <v>45790</v>
      </c>
      <c r="B91" vm="384">
        <f ca="1"/>
        <v>9.19</v>
      </c>
    </row>
    <row r="92" spans="1:2" x14ac:dyDescent="0.25">
      <c r="A92" vm="560">
        <f ca="1"/>
        <v>45791</v>
      </c>
      <c r="B92" vm="109">
        <f ca="1"/>
        <v>9.57</v>
      </c>
    </row>
    <row r="93" spans="1:2" x14ac:dyDescent="0.25">
      <c r="A93" vm="564">
        <f ca="1"/>
        <v>45792</v>
      </c>
      <c r="B93" vm="1300">
        <f ca="1"/>
        <v>9.67</v>
      </c>
    </row>
    <row r="94" spans="1:2" x14ac:dyDescent="0.25">
      <c r="A94" vm="569">
        <f ca="1"/>
        <v>45793</v>
      </c>
      <c r="B94" vm="1298">
        <f ca="1"/>
        <v>9.75</v>
      </c>
    </row>
    <row r="95" spans="1:2" x14ac:dyDescent="0.25">
      <c r="A95" vm="573">
        <f ca="1"/>
        <v>45796</v>
      </c>
      <c r="B95" vm="86">
        <f ca="1"/>
        <v>8.8800000000000008</v>
      </c>
    </row>
    <row r="96" spans="1:2" x14ac:dyDescent="0.25">
      <c r="A96" vm="577">
        <f ca="1"/>
        <v>45797</v>
      </c>
      <c r="B96" vm="449">
        <f ca="1"/>
        <v>8.5299999999999994</v>
      </c>
    </row>
    <row r="97" spans="1:2" x14ac:dyDescent="0.25">
      <c r="A97" vm="580">
        <f ca="1"/>
        <v>45798</v>
      </c>
      <c r="B97" vm="424">
        <f ca="1"/>
        <v>8.49</v>
      </c>
    </row>
    <row r="98" spans="1:2" x14ac:dyDescent="0.25">
      <c r="A98" vm="583">
        <f ca="1"/>
        <v>45799</v>
      </c>
      <c r="B98" vm="1936">
        <f ca="1"/>
        <v>8.4700000000000006</v>
      </c>
    </row>
    <row r="99" spans="1:2" x14ac:dyDescent="0.25">
      <c r="A99" vm="588">
        <f ca="1"/>
        <v>45800</v>
      </c>
      <c r="B99" vm="440">
        <f ca="1"/>
        <v>8.57</v>
      </c>
    </row>
    <row r="100" spans="1:2" x14ac:dyDescent="0.25">
      <c r="A100" vm="593">
        <f ca="1"/>
        <v>45804</v>
      </c>
      <c r="B100" vm="274">
        <f ca="1"/>
        <v>8.6199999999999992</v>
      </c>
    </row>
    <row r="101" spans="1:2" x14ac:dyDescent="0.25">
      <c r="A101" vm="598">
        <f ca="1"/>
        <v>45805</v>
      </c>
      <c r="B101" vm="408">
        <f ca="1"/>
        <v>8.36</v>
      </c>
    </row>
    <row r="102" spans="1:2" x14ac:dyDescent="0.25">
      <c r="A102" vm="601">
        <f ca="1"/>
        <v>45806</v>
      </c>
      <c r="B102" vm="456">
        <f ca="1"/>
        <v>8.3800000000000008</v>
      </c>
    </row>
    <row r="103" spans="1:2" x14ac:dyDescent="0.25">
      <c r="A103" vm="604">
        <f ca="1"/>
        <v>45807</v>
      </c>
      <c r="B103" vm="417">
        <f ca="1"/>
        <v>8.3000000000000007</v>
      </c>
    </row>
    <row r="104" spans="1:2" x14ac:dyDescent="0.25">
      <c r="A104" vm="606">
        <f ca="1"/>
        <v>45810</v>
      </c>
      <c r="B104" vm="10">
        <f ca="1"/>
        <v>8.4499999999999993</v>
      </c>
    </row>
    <row r="105" spans="1:2" x14ac:dyDescent="0.25">
      <c r="A105" vm="608">
        <f ca="1"/>
        <v>45811</v>
      </c>
      <c r="B105" vm="20">
        <f ca="1"/>
        <v>8.48</v>
      </c>
    </row>
    <row r="106" spans="1:2" x14ac:dyDescent="0.25">
      <c r="A106" vm="610">
        <f ca="1"/>
        <v>45812</v>
      </c>
      <c r="B106" vm="252">
        <f ca="1"/>
        <v>8.6</v>
      </c>
    </row>
    <row r="107" spans="1:2" x14ac:dyDescent="0.25">
      <c r="A107" vm="612">
        <f ca="1"/>
        <v>45813</v>
      </c>
      <c r="B107" vm="10">
        <f ca="1"/>
        <v>8.4499999999999993</v>
      </c>
    </row>
    <row r="108" spans="1:2" x14ac:dyDescent="0.25">
      <c r="A108" vm="615">
        <f ca="1"/>
        <v>45814</v>
      </c>
      <c r="B108" vm="542">
        <f ca="1"/>
        <v>8.44</v>
      </c>
    </row>
    <row r="109" spans="1:2" x14ac:dyDescent="0.25">
      <c r="A109" vm="617">
        <f ca="1"/>
        <v>45817</v>
      </c>
      <c r="B109" vm="450">
        <f ca="1"/>
        <v>8.39</v>
      </c>
    </row>
    <row r="110" spans="1:2" x14ac:dyDescent="0.25">
      <c r="A110" vm="619">
        <f ca="1"/>
        <v>45818</v>
      </c>
      <c r="B110" vm="408">
        <f ca="1"/>
        <v>8.36</v>
      </c>
    </row>
    <row r="111" spans="1:2" x14ac:dyDescent="0.25">
      <c r="A111" vm="620">
        <f ca="1"/>
        <v>45819</v>
      </c>
      <c r="B111" vm="313">
        <f ca="1"/>
        <v>8.2799999999999994</v>
      </c>
    </row>
    <row r="112" spans="1:2" x14ac:dyDescent="0.25">
      <c r="A112" vm="622">
        <f ca="1"/>
        <v>45820</v>
      </c>
      <c r="B112" vm="482">
        <f ca="1"/>
        <v>8.15</v>
      </c>
    </row>
    <row r="113" spans="1:2" x14ac:dyDescent="0.25">
      <c r="A113" vm="626">
        <f ca="1"/>
        <v>45821</v>
      </c>
      <c r="B113" vm="499">
        <f ca="1"/>
        <v>8.23</v>
      </c>
    </row>
    <row r="114" spans="1:2" x14ac:dyDescent="0.25">
      <c r="A114" vm="629">
        <f ca="1"/>
        <v>45824</v>
      </c>
      <c r="B114" vm="258">
        <f ca="1"/>
        <v>8.6999999999999993</v>
      </c>
    </row>
    <row r="115" spans="1:2" x14ac:dyDescent="0.25">
      <c r="A115" vm="632">
        <f ca="1"/>
        <v>45825</v>
      </c>
      <c r="B115" vm="2">
        <f ca="1"/>
        <v>8.73</v>
      </c>
    </row>
    <row r="116" spans="1:2" x14ac:dyDescent="0.25">
      <c r="A116" vm="634">
        <f ca="1"/>
        <v>45826</v>
      </c>
      <c r="B116" vm="603">
        <f ca="1"/>
        <v>8.5500000000000007</v>
      </c>
    </row>
    <row r="117" spans="1:2" x14ac:dyDescent="0.25">
      <c r="A117" vm="636">
        <f ca="1"/>
        <v>45828</v>
      </c>
      <c r="B117" vm="414">
        <f ca="1"/>
        <v>8.32</v>
      </c>
    </row>
    <row r="118" spans="1:2" x14ac:dyDescent="0.25">
      <c r="A118" vm="638">
        <f ca="1"/>
        <v>45831</v>
      </c>
      <c r="B118" vm="482">
        <f ca="1"/>
        <v>8.15</v>
      </c>
    </row>
    <row r="119" spans="1:2" x14ac:dyDescent="0.25">
      <c r="A119" vm="640">
        <f ca="1"/>
        <v>45832</v>
      </c>
      <c r="B119" vm="471">
        <f ca="1"/>
        <v>8.1300000000000008</v>
      </c>
    </row>
    <row r="120" spans="1:2" x14ac:dyDescent="0.25">
      <c r="A120" vm="643">
        <f ca="1"/>
        <v>45833</v>
      </c>
      <c r="B120" vm="477">
        <f ca="1"/>
        <v>8</v>
      </c>
    </row>
    <row r="121" spans="1:2" x14ac:dyDescent="0.25">
      <c r="A121" vm="644">
        <f ca="1"/>
        <v>45834</v>
      </c>
      <c r="B121" vm="259">
        <f ca="1"/>
        <v>8.24</v>
      </c>
    </row>
    <row r="122" spans="1:2" x14ac:dyDescent="0.25">
      <c r="A122" vm="645">
        <f ca="1"/>
        <v>45835</v>
      </c>
      <c r="B122" vm="485">
        <f ca="1"/>
        <v>8.19</v>
      </c>
    </row>
    <row r="123" spans="1:2" x14ac:dyDescent="0.25">
      <c r="A123" vm="646">
        <f ca="1"/>
        <v>45838</v>
      </c>
      <c r="B123" vm="1937">
        <f ca="1"/>
        <v>8.0449999999999999</v>
      </c>
    </row>
    <row r="124" spans="1:2" x14ac:dyDescent="0.25">
      <c r="A124" vm="648">
        <f ca="1"/>
        <v>45839</v>
      </c>
      <c r="B124" vm="1316">
        <f ca="1"/>
        <v>8.31</v>
      </c>
    </row>
    <row r="125" spans="1:2" x14ac:dyDescent="0.25">
      <c r="A125" vm="649">
        <f ca="1"/>
        <v>45840</v>
      </c>
      <c r="B125" vm="449">
        <f ca="1"/>
        <v>8.5299999999999994</v>
      </c>
    </row>
    <row r="126" spans="1:2" x14ac:dyDescent="0.25">
      <c r="A126" vm="651">
        <f ca="1"/>
        <v>45841</v>
      </c>
      <c r="B126" vm="312">
        <f ca="1"/>
        <v>8.56</v>
      </c>
    </row>
    <row r="127" spans="1:2" x14ac:dyDescent="0.25">
      <c r="A127" vm="653">
        <f ca="1"/>
        <v>45845</v>
      </c>
      <c r="B127" vm="1936">
        <f ca="1"/>
        <v>8.4700000000000006</v>
      </c>
    </row>
    <row r="128" spans="1:2" x14ac:dyDescent="0.25">
      <c r="A128" vm="655">
        <f ca="1"/>
        <v>45846</v>
      </c>
      <c r="B128" vm="505">
        <f ca="1"/>
        <v>8.75</v>
      </c>
    </row>
    <row r="129" spans="1:2" x14ac:dyDescent="0.25">
      <c r="A129" vm="658">
        <f ca="1"/>
        <v>45847</v>
      </c>
      <c r="B129" vm="34">
        <f ca="1"/>
        <v>8.86</v>
      </c>
    </row>
    <row r="130" spans="1:2" x14ac:dyDescent="0.25">
      <c r="A130" vm="659">
        <f ca="1"/>
        <v>45848</v>
      </c>
      <c r="B130" vm="390">
        <f ca="1"/>
        <v>8.94</v>
      </c>
    </row>
    <row r="131" spans="1:2" x14ac:dyDescent="0.25">
      <c r="A131" vm="661">
        <f ca="1"/>
        <v>45849</v>
      </c>
      <c r="B131" vm="93">
        <f ca="1"/>
        <v>9.36</v>
      </c>
    </row>
    <row r="132" spans="1:2" x14ac:dyDescent="0.25">
      <c r="A132" vm="663">
        <f ca="1"/>
        <v>45852</v>
      </c>
      <c r="B132" vm="130">
        <f ca="1"/>
        <v>9.3699999999999992</v>
      </c>
    </row>
    <row r="133" spans="1:2" x14ac:dyDescent="0.25">
      <c r="A133" vm="664">
        <f ca="1"/>
        <v>45853</v>
      </c>
      <c r="B133" vm="575">
        <f ca="1"/>
        <v>9.35</v>
      </c>
    </row>
    <row r="134" spans="1:2" x14ac:dyDescent="0.25">
      <c r="A134" vm="666">
        <f ca="1"/>
        <v>45854</v>
      </c>
      <c r="B134" vm="93">
        <f ca="1"/>
        <v>9.36</v>
      </c>
    </row>
    <row r="135" spans="1:2" x14ac:dyDescent="0.25">
      <c r="A135" vm="668">
        <f ca="1"/>
        <v>45855</v>
      </c>
      <c r="B135" vm="130">
        <f ca="1"/>
        <v>9.3699999999999992</v>
      </c>
    </row>
    <row r="136" spans="1:2" x14ac:dyDescent="0.25">
      <c r="A136" vm="1">
        <f ca="1"/>
        <v>45856</v>
      </c>
      <c r="B136" vm="1435">
        <f ca="1"/>
        <v>9.07</v>
      </c>
    </row>
    <row r="137" spans="1:2" x14ac:dyDescent="0.25">
      <c r="A137" vm="9">
        <f ca="1"/>
        <v>45859</v>
      </c>
      <c r="B137" vm="73">
        <f ca="1"/>
        <v>9.1199999999999992</v>
      </c>
    </row>
    <row r="138" spans="1:2" x14ac:dyDescent="0.25">
      <c r="A138" vm="17">
        <f ca="1"/>
        <v>45860</v>
      </c>
      <c r="B138" vm="329">
        <f ca="1"/>
        <v>9.31</v>
      </c>
    </row>
    <row r="139" spans="1:2" x14ac:dyDescent="0.25">
      <c r="A139" vm="25">
        <f ca="1"/>
        <v>45861</v>
      </c>
      <c r="B139" vm="1938">
        <f ca="1"/>
        <v>9.6750000000000007</v>
      </c>
    </row>
    <row r="140" spans="1:2" x14ac:dyDescent="0.25">
      <c r="A140" vm="31">
        <f ca="1"/>
        <v>45862</v>
      </c>
      <c r="B140" vm="130">
        <f ca="1"/>
        <v>9.3699999999999992</v>
      </c>
    </row>
    <row r="141" spans="1:2" x14ac:dyDescent="0.25">
      <c r="A141" vm="39">
        <f ca="1"/>
        <v>45863</v>
      </c>
      <c r="B141" vm="93">
        <f ca="1"/>
        <v>9.36</v>
      </c>
    </row>
    <row r="142" spans="1:2" x14ac:dyDescent="0.25">
      <c r="A142" vm="47">
        <f ca="1"/>
        <v>45866</v>
      </c>
      <c r="B142" vm="611">
        <f ca="1"/>
        <v>9.27</v>
      </c>
    </row>
    <row r="143" spans="1:2" x14ac:dyDescent="0.25">
      <c r="A143" vm="55">
        <f ca="1"/>
        <v>45867</v>
      </c>
      <c r="B143" vm="372">
        <f ca="1"/>
        <v>9.4</v>
      </c>
    </row>
    <row r="144" spans="1:2" x14ac:dyDescent="0.25">
      <c r="A144" vm="62">
        <f ca="1"/>
        <v>45868</v>
      </c>
      <c r="B144" vm="50">
        <f ca="1"/>
        <v>9.3000000000000007</v>
      </c>
    </row>
    <row r="145" spans="1:2" x14ac:dyDescent="0.25">
      <c r="A145" vm="70">
        <f ca="1"/>
        <v>45869</v>
      </c>
      <c r="B145" vm="80">
        <f ca="1"/>
        <v>9.1300000000000008</v>
      </c>
    </row>
    <row r="146" spans="1:2" x14ac:dyDescent="0.25">
      <c r="A146" vm="78">
        <f ca="1"/>
        <v>45870</v>
      </c>
      <c r="B146" vm="3">
        <f ca="1"/>
        <v>8.98</v>
      </c>
    </row>
    <row r="147" spans="1:2" x14ac:dyDescent="0.25">
      <c r="A147" vm="85">
        <f ca="1"/>
        <v>45873</v>
      </c>
      <c r="B147" vm="571">
        <f ca="1"/>
        <v>8.9499999999999993</v>
      </c>
    </row>
    <row r="148" spans="1:2" x14ac:dyDescent="0.25">
      <c r="A148" vm="92">
        <f ca="1"/>
        <v>45874</v>
      </c>
      <c r="B148" vm="1939">
        <f ca="1"/>
        <v>9.0950000000000006</v>
      </c>
    </row>
    <row r="149" spans="1:2" x14ac:dyDescent="0.25">
      <c r="A149" vm="100">
        <f ca="1"/>
        <v>45875</v>
      </c>
      <c r="B149" vm="567">
        <f ca="1"/>
        <v>9.25</v>
      </c>
    </row>
    <row r="150" spans="1:2" x14ac:dyDescent="0.25">
      <c r="A150" vm="108">
        <f ca="1"/>
        <v>45876</v>
      </c>
      <c r="B150" vm="567">
        <f ca="1"/>
        <v>9.25</v>
      </c>
    </row>
    <row r="151" spans="1:2" x14ac:dyDescent="0.25">
      <c r="A151" vm="115">
        <f ca="1"/>
        <v>45877</v>
      </c>
      <c r="B151" vm="611">
        <f ca="1"/>
        <v>9.27</v>
      </c>
    </row>
    <row r="152" spans="1:2" x14ac:dyDescent="0.25">
      <c r="A152" vm="122">
        <f ca="1"/>
        <v>45880</v>
      </c>
      <c r="B152" vm="570">
        <f ca="1"/>
        <v>9.2899999999999991</v>
      </c>
    </row>
    <row r="153" spans="1:2" x14ac:dyDescent="0.25">
      <c r="A153" vm="128">
        <f ca="1"/>
        <v>45881</v>
      </c>
      <c r="B153" vm="40">
        <f ca="1"/>
        <v>9.1999999999999993</v>
      </c>
    </row>
    <row r="154" spans="1:2" x14ac:dyDescent="0.25">
      <c r="A154" vm="135">
        <f ca="1"/>
        <v>45882</v>
      </c>
      <c r="B154" vm="155">
        <f ca="1"/>
        <v>9.32</v>
      </c>
    </row>
    <row r="155" spans="1:2" x14ac:dyDescent="0.25">
      <c r="A155" vm="142">
        <f ca="1"/>
        <v>45883</v>
      </c>
      <c r="B155" vm="129">
        <f ca="1"/>
        <v>9.34</v>
      </c>
    </row>
    <row r="156" spans="1:2" x14ac:dyDescent="0.25">
      <c r="A156" vm="146">
        <f ca="1"/>
        <v>45884</v>
      </c>
      <c r="B156" vm="372">
        <f ca="1"/>
        <v>9.4</v>
      </c>
    </row>
    <row r="157" spans="1:2" x14ac:dyDescent="0.25">
      <c r="A157" vm="154">
        <f ca="1"/>
        <v>45887</v>
      </c>
      <c r="B157" vm="440">
        <f ca="1"/>
        <v>8.57</v>
      </c>
    </row>
    <row r="158" spans="1:2" x14ac:dyDescent="0.25">
      <c r="A158" vm="161">
        <f ca="1"/>
        <v>45888</v>
      </c>
      <c r="B158" vm="304">
        <f ca="1"/>
        <v>8.41</v>
      </c>
    </row>
    <row r="159" spans="1:2" x14ac:dyDescent="0.25">
      <c r="A159" vm="168">
        <f ca="1"/>
        <v>45889</v>
      </c>
      <c r="B159" vm="1936">
        <f ca="1"/>
        <v>8.4700000000000006</v>
      </c>
    </row>
    <row r="160" spans="1:2" x14ac:dyDescent="0.25">
      <c r="A160" vm="174">
        <f ca="1"/>
        <v>45890</v>
      </c>
      <c r="B160" vm="409">
        <f ca="1"/>
        <v>8.3049999999999997</v>
      </c>
    </row>
    <row r="161" spans="1:2" x14ac:dyDescent="0.25">
      <c r="A161" vm="180">
        <f ca="1"/>
        <v>45891</v>
      </c>
      <c r="B161" vm="513">
        <f ca="1"/>
        <v>8.4600000000000009</v>
      </c>
    </row>
    <row r="162" spans="1:2" x14ac:dyDescent="0.25">
      <c r="A162" vm="186">
        <f ca="1"/>
        <v>45894</v>
      </c>
      <c r="B162" vm="412">
        <f ca="1"/>
        <v>8.3699999999999992</v>
      </c>
    </row>
    <row r="163" spans="1:2" x14ac:dyDescent="0.25">
      <c r="A163" vm="193">
        <f ca="1"/>
        <v>45895</v>
      </c>
      <c r="B163" vm="408">
        <f ca="1"/>
        <v>8.36</v>
      </c>
    </row>
    <row r="164" spans="1:2" x14ac:dyDescent="0.25">
      <c r="A164" vm="199">
        <f ca="1"/>
        <v>45896</v>
      </c>
      <c r="B164" vm="304">
        <f ca="1"/>
        <v>8.41</v>
      </c>
    </row>
    <row r="165" spans="1:2" x14ac:dyDescent="0.25">
      <c r="A165" vm="206">
        <f ca="1"/>
        <v>45897</v>
      </c>
      <c r="B165" vm="274">
        <f ca="1"/>
        <v>8.6199999999999992</v>
      </c>
    </row>
    <row r="166" spans="1:2" x14ac:dyDescent="0.25">
      <c r="A166" vm="210">
        <f ca="1"/>
        <v>45898</v>
      </c>
      <c r="B166" vm="1936">
        <f ca="1"/>
        <v>8.4700000000000006</v>
      </c>
    </row>
    <row r="167" spans="1:2" x14ac:dyDescent="0.25">
      <c r="A167" vm="216">
        <f ca="1"/>
        <v>45902</v>
      </c>
      <c r="B167" vm="542">
        <f ca="1"/>
        <v>8.44</v>
      </c>
    </row>
    <row r="168" spans="1:2" x14ac:dyDescent="0.25">
      <c r="A168" vm="223">
        <f ca="1"/>
        <v>45903</v>
      </c>
      <c r="B168" vm="304">
        <f ca="1"/>
        <v>8.41</v>
      </c>
    </row>
    <row r="169" spans="1:2" x14ac:dyDescent="0.25">
      <c r="A169" vm="229">
        <f ca="1"/>
        <v>45904</v>
      </c>
      <c r="B169" vm="542">
        <f ca="1"/>
        <v>8.44</v>
      </c>
    </row>
    <row r="170" spans="1:2" x14ac:dyDescent="0.25">
      <c r="A170" vm="235">
        <f ca="1"/>
        <v>45905</v>
      </c>
      <c r="B170" vm="434">
        <f ca="1"/>
        <v>8.43</v>
      </c>
    </row>
    <row r="171" spans="1:2" x14ac:dyDescent="0.25">
      <c r="A171" vm="242">
        <f ca="1"/>
        <v>45908</v>
      </c>
      <c r="B171" vm="434">
        <f ca="1"/>
        <v>8.43</v>
      </c>
    </row>
    <row r="172" spans="1:2" x14ac:dyDescent="0.25">
      <c r="A172" vm="250">
        <f ca="1"/>
        <v>45909</v>
      </c>
      <c r="B172" vm="472">
        <f ca="1"/>
        <v>8.2899999999999991</v>
      </c>
    </row>
    <row r="173" spans="1:2" x14ac:dyDescent="0.25">
      <c r="A173" vm="257">
        <f ca="1"/>
        <v>45910</v>
      </c>
      <c r="B173" vm="414">
        <f ca="1"/>
        <v>8.32</v>
      </c>
    </row>
    <row r="174" spans="1:2" x14ac:dyDescent="0.25">
      <c r="A174" vm="264">
        <f ca="1"/>
        <v>45911</v>
      </c>
      <c r="B174" vm="408">
        <f ca="1"/>
        <v>8.36</v>
      </c>
    </row>
    <row r="175" spans="1:2" x14ac:dyDescent="0.25">
      <c r="A175" vm="271">
        <f ca="1"/>
        <v>45912</v>
      </c>
      <c r="B175" vm="482">
        <f ca="1"/>
        <v>8.15</v>
      </c>
    </row>
    <row r="176" spans="1:2" x14ac:dyDescent="0.25">
      <c r="A176" vm="279">
        <f ca="1"/>
        <v>45915</v>
      </c>
      <c r="B176" vm="475">
        <f ca="1"/>
        <v>8.14</v>
      </c>
    </row>
    <row r="177" spans="1:2" x14ac:dyDescent="0.25">
      <c r="A177" vm="285">
        <f ca="1"/>
        <v>45916</v>
      </c>
      <c r="B177" vm="1940">
        <f ca="1"/>
        <v>8.18</v>
      </c>
    </row>
    <row r="178" spans="1:2" x14ac:dyDescent="0.25">
      <c r="A178" vm="292">
        <f ca="1"/>
        <v>45917</v>
      </c>
      <c r="B178" vm="527">
        <f ca="1"/>
        <v>8.17</v>
      </c>
    </row>
    <row r="179" spans="1:2" x14ac:dyDescent="0.25">
      <c r="A179" vm="298">
        <f ca="1"/>
        <v>45918</v>
      </c>
      <c r="B179" vm="499">
        <f ca="1"/>
        <v>8.23</v>
      </c>
    </row>
    <row r="180" spans="1:2" x14ac:dyDescent="0.25">
      <c r="A180" vm="303">
        <f ca="1"/>
        <v>45919</v>
      </c>
      <c r="B180" vm="485">
        <f ca="1"/>
        <v>8.19</v>
      </c>
    </row>
    <row r="181" spans="1:2" x14ac:dyDescent="0.25">
      <c r="A181" vm="310">
        <f ca="1"/>
        <v>45922</v>
      </c>
      <c r="B181" vm="1940">
        <f ca="1"/>
        <v>8.18</v>
      </c>
    </row>
    <row r="182" spans="1:2" x14ac:dyDescent="0.25">
      <c r="A182" vm="317">
        <f ca="1"/>
        <v>45923</v>
      </c>
      <c r="B182" vm="485">
        <f ca="1"/>
        <v>8.19</v>
      </c>
    </row>
    <row r="183" spans="1:2" x14ac:dyDescent="0.25">
      <c r="A183" vm="323">
        <f ca="1"/>
        <v>45924</v>
      </c>
      <c r="B183" vm="1940">
        <f ca="1"/>
        <v>8.18</v>
      </c>
    </row>
    <row r="184" spans="1:2" x14ac:dyDescent="0.25">
      <c r="A184" vm="328">
        <f ca="1"/>
        <v>45925</v>
      </c>
      <c r="B184" vm="697">
        <f ca="1"/>
        <v>8.2100000000000009</v>
      </c>
    </row>
    <row r="185" spans="1:2" x14ac:dyDescent="0.25">
      <c r="A185" vm="334">
        <f ca="1"/>
        <v>45926</v>
      </c>
      <c r="B185" vm="313">
        <f ca="1"/>
        <v>8.2799999999999994</v>
      </c>
    </row>
    <row r="186" spans="1:2" x14ac:dyDescent="0.25">
      <c r="A186" vm="340">
        <f ca="1"/>
        <v>45929</v>
      </c>
      <c r="B186" vm="1936">
        <f ca="1"/>
        <v>8.4700000000000006</v>
      </c>
    </row>
    <row r="187" spans="1:2" x14ac:dyDescent="0.25">
      <c r="A187" vm="346">
        <f ca="1"/>
        <v>45930</v>
      </c>
      <c r="B187" vm="12">
        <f ca="1"/>
        <v>8.42</v>
      </c>
    </row>
    <row r="188" spans="1:2" x14ac:dyDescent="0.25">
      <c r="A188" vm="352">
        <f ca="1"/>
        <v>45931</v>
      </c>
      <c r="B188" vm="468">
        <f ca="1"/>
        <v>8.4</v>
      </c>
    </row>
    <row r="189" spans="1:2" x14ac:dyDescent="0.25">
      <c r="A189" vm="357">
        <f ca="1"/>
        <v>45932</v>
      </c>
      <c r="B189" vm="412">
        <f ca="1"/>
        <v>8.3699999999999992</v>
      </c>
    </row>
    <row r="190" spans="1:2" x14ac:dyDescent="0.25">
      <c r="A190" vm="362">
        <f ca="1"/>
        <v>45933</v>
      </c>
      <c r="B190" vm="408">
        <f ca="1"/>
        <v>8.36</v>
      </c>
    </row>
    <row r="191" spans="1:2" x14ac:dyDescent="0.25">
      <c r="A191" vm="370">
        <f ca="1"/>
        <v>45936</v>
      </c>
      <c r="B191" vm="423">
        <f ca="1"/>
        <v>8.25</v>
      </c>
    </row>
    <row r="192" spans="1:2" x14ac:dyDescent="0.25">
      <c r="A192" vm="378">
        <f ca="1"/>
        <v>45937</v>
      </c>
      <c r="B192" vm="305">
        <f ca="1"/>
        <v>8.35</v>
      </c>
    </row>
    <row r="193" spans="1:2" x14ac:dyDescent="0.25">
      <c r="A193" vm="383">
        <f ca="1"/>
        <v>45938</v>
      </c>
      <c r="B193" vm="313">
        <f ca="1"/>
        <v>8.2799999999999994</v>
      </c>
    </row>
    <row r="194" spans="1:2" x14ac:dyDescent="0.25">
      <c r="A194" vm="389">
        <f ca="1"/>
        <v>45939</v>
      </c>
      <c r="B194" vm="697">
        <f ca="1"/>
        <v>8.2100000000000009</v>
      </c>
    </row>
    <row r="195" spans="1:2" x14ac:dyDescent="0.25">
      <c r="A195" vm="395">
        <f ca="1"/>
        <v>45940</v>
      </c>
      <c r="B195" vm="539">
        <f ca="1"/>
        <v>8.11</v>
      </c>
    </row>
    <row r="196" spans="1:2" x14ac:dyDescent="0.25">
      <c r="A196" vm="402">
        <f ca="1"/>
        <v>45943</v>
      </c>
      <c r="B196" vm="499">
        <f ca="1"/>
        <v>8.23</v>
      </c>
    </row>
    <row r="197" spans="1:2" x14ac:dyDescent="0.25">
      <c r="A197" vm="407">
        <f ca="1"/>
        <v>45944</v>
      </c>
      <c r="B197" vm="485">
        <f ca="1"/>
        <v>8.19</v>
      </c>
    </row>
    <row r="198" spans="1:2" x14ac:dyDescent="0.25">
      <c r="A198" vm="411">
        <f ca="1"/>
        <v>45945</v>
      </c>
      <c r="B198" vm="1941">
        <f ca="1"/>
        <v>8.1449999999999996</v>
      </c>
    </row>
    <row r="199" spans="1:2" x14ac:dyDescent="0.25">
      <c r="A199" vm="416">
        <f ca="1"/>
        <v>45946</v>
      </c>
      <c r="B199" vm="425">
        <f ca="1"/>
        <v>8.09</v>
      </c>
    </row>
    <row r="200" spans="1:2" x14ac:dyDescent="0.25">
      <c r="A200" vm="422">
        <f ca="1"/>
        <v>45947</v>
      </c>
      <c r="B200" vm="251">
        <f ca="1"/>
        <v>8.2200000000000006</v>
      </c>
    </row>
    <row r="201" spans="1:2" x14ac:dyDescent="0.25">
      <c r="A201" vm="430">
        <f ca="1"/>
        <v>45950</v>
      </c>
      <c r="B201" vm="472">
        <f ca="1"/>
        <v>8.2899999999999991</v>
      </c>
    </row>
    <row r="202" spans="1:2" x14ac:dyDescent="0.25">
      <c r="A202" vm="436">
        <f ca="1"/>
        <v>45951</v>
      </c>
      <c r="B202" vm="1940">
        <f ca="1"/>
        <v>8.18</v>
      </c>
    </row>
    <row r="203" spans="1:2" x14ac:dyDescent="0.25">
      <c r="A203" vm="442">
        <f ca="1"/>
        <v>45952</v>
      </c>
      <c r="B203" vm="1940">
        <f ca="1"/>
        <v>8.18</v>
      </c>
    </row>
    <row r="204" spans="1:2" x14ac:dyDescent="0.25">
      <c r="A204" vm="448">
        <f ca="1"/>
        <v>45953</v>
      </c>
      <c r="B204" vm="485">
        <f ca="1"/>
        <v>8.19</v>
      </c>
    </row>
    <row r="205" spans="1:2" x14ac:dyDescent="0.25">
      <c r="A205" vm="455">
        <f ca="1"/>
        <v>45954</v>
      </c>
      <c r="B205" vm="438">
        <f ca="1"/>
        <v>8.1999999999999993</v>
      </c>
    </row>
    <row r="206" spans="1:2" x14ac:dyDescent="0.25">
      <c r="A206" vm="462">
        <f ca="1"/>
        <v>45957</v>
      </c>
      <c r="B206" vm="475">
        <f ca="1"/>
        <v>8.14</v>
      </c>
    </row>
    <row r="207" spans="1:2" x14ac:dyDescent="0.25">
      <c r="A207" vm="467">
        <f ca="1"/>
        <v>45958</v>
      </c>
      <c r="B207" vm="527">
        <f ca="1"/>
        <v>8.17</v>
      </c>
    </row>
    <row r="208" spans="1:2" x14ac:dyDescent="0.25">
      <c r="A208" vm="474">
        <f ca="1"/>
        <v>45959</v>
      </c>
      <c r="B208" vm="425">
        <f ca="1"/>
        <v>8.09</v>
      </c>
    </row>
    <row r="209" spans="1:2" x14ac:dyDescent="0.25">
      <c r="A209" vm="481">
        <f ca="1"/>
        <v>45960</v>
      </c>
      <c r="B209" vm="706">
        <f ca="1"/>
        <v>8.07</v>
      </c>
    </row>
    <row r="210" spans="1:2" x14ac:dyDescent="0.25">
      <c r="A210" vm="487">
        <f ca="1"/>
        <v>45961</v>
      </c>
      <c r="B210" vm="397">
        <f ca="1"/>
        <v>8.06</v>
      </c>
    </row>
    <row r="211" spans="1:2" x14ac:dyDescent="0.25">
      <c r="A211" vm="490">
        <f ca="1"/>
        <v>45964</v>
      </c>
      <c r="B211" vm="397">
        <f ca="1"/>
        <v>8.06</v>
      </c>
    </row>
    <row r="212" spans="1:2" x14ac:dyDescent="0.25">
      <c r="A212" vm="494">
        <f ca="1"/>
        <v>45965</v>
      </c>
      <c r="B212" vm="539">
        <f ca="1"/>
        <v>8.11</v>
      </c>
    </row>
    <row r="213" spans="1:2" x14ac:dyDescent="0.25">
      <c r="A213" vm="500">
        <f ca="1"/>
        <v>45966</v>
      </c>
      <c r="B213" vm="554">
        <f ca="1"/>
        <v>8.83</v>
      </c>
    </row>
    <row r="214" spans="1:2" x14ac:dyDescent="0.25">
      <c r="A214" vm="506">
        <f ca="1"/>
        <v>45967</v>
      </c>
      <c r="B214" vm="110">
        <f ca="1"/>
        <v>9.15</v>
      </c>
    </row>
    <row r="215" spans="1:2" x14ac:dyDescent="0.25">
      <c r="A215" vm="510">
        <f ca="1"/>
        <v>45968</v>
      </c>
      <c r="B215" vm="1743">
        <f ca="1"/>
        <v>8.85</v>
      </c>
    </row>
    <row r="216" spans="1:2" x14ac:dyDescent="0.25">
      <c r="A216" vm="514">
        <f ca="1"/>
        <v>45971</v>
      </c>
      <c r="B216" vm="565">
        <f ca="1"/>
        <v>9</v>
      </c>
    </row>
    <row r="217" spans="1:2" x14ac:dyDescent="0.25">
      <c r="A217" vm="518">
        <f ca="1"/>
        <v>45972</v>
      </c>
      <c r="B217" vm="341">
        <f ca="1"/>
        <v>9.06</v>
      </c>
    </row>
    <row r="218" spans="1:2" x14ac:dyDescent="0.25">
      <c r="A218" vm="521">
        <f ca="1"/>
        <v>45973</v>
      </c>
      <c r="B218" vm="565">
        <f ca="1"/>
        <v>9</v>
      </c>
    </row>
    <row r="219" spans="1:2" x14ac:dyDescent="0.25">
      <c r="A219" vm="525">
        <f ca="1"/>
        <v>45974</v>
      </c>
      <c r="B219" vm="299">
        <f ca="1"/>
        <v>8.7799999999999994</v>
      </c>
    </row>
    <row r="220" spans="1:2" x14ac:dyDescent="0.25">
      <c r="A220" vm="528">
        <f ca="1"/>
        <v>45975</v>
      </c>
      <c r="B220" vm="505">
        <f ca="1"/>
        <v>8.75</v>
      </c>
    </row>
    <row r="221" spans="1:2" x14ac:dyDescent="0.25">
      <c r="A221" vm="533">
        <f ca="1"/>
        <v>45978</v>
      </c>
      <c r="B221" vm="704">
        <f ca="1"/>
        <v>7.93</v>
      </c>
    </row>
    <row r="222" spans="1:2" x14ac:dyDescent="0.25">
      <c r="A222" vm="540">
        <f ca="1"/>
        <v>45979</v>
      </c>
      <c r="B222" vm="690">
        <f ca="1"/>
        <v>7.98</v>
      </c>
    </row>
    <row r="223" spans="1:2" x14ac:dyDescent="0.25">
      <c r="A223" vm="543">
        <f ca="1"/>
        <v>45980</v>
      </c>
      <c r="B223" vm="687">
        <f ca="1"/>
        <v>7.83</v>
      </c>
    </row>
    <row r="224" spans="1:2" x14ac:dyDescent="0.25">
      <c r="A224" vm="548">
        <f ca="1"/>
        <v>45981</v>
      </c>
      <c r="B224" vm="1283">
        <f ca="1"/>
        <v>7.67</v>
      </c>
    </row>
    <row r="225" spans="1:2" x14ac:dyDescent="0.25">
      <c r="A225" vm="553">
        <f ca="1"/>
        <v>45982</v>
      </c>
      <c r="B225" vm="464">
        <f ca="1"/>
        <v>7.76</v>
      </c>
    </row>
    <row r="226" spans="1:2" x14ac:dyDescent="0.25">
      <c r="A226" vm="559">
        <f ca="1"/>
        <v>45985</v>
      </c>
      <c r="B226" vm="1425">
        <f ca="1"/>
        <v>7.66</v>
      </c>
    </row>
    <row r="227" spans="1:2" x14ac:dyDescent="0.25">
      <c r="A227" vm="562">
        <f ca="1"/>
        <v>45986</v>
      </c>
      <c r="B227" vm="419">
        <f ca="1"/>
        <v>7.82</v>
      </c>
    </row>
    <row r="228" spans="1:2" x14ac:dyDescent="0.25">
      <c r="A228" vm="566">
        <f ca="1"/>
        <v>45987</v>
      </c>
      <c r="B228" vm="477">
        <f ca="1"/>
        <v>8</v>
      </c>
    </row>
    <row r="229" spans="1:2" x14ac:dyDescent="0.25">
      <c r="A229" vm="572">
        <f ca="1"/>
        <v>45989</v>
      </c>
      <c r="B229" vm="698">
        <f ca="1"/>
        <v>8.1199999999999992</v>
      </c>
    </row>
    <row r="230" spans="1:2" x14ac:dyDescent="0.25">
      <c r="A230" vm="574">
        <f ca="1"/>
        <v>45992</v>
      </c>
      <c r="B230" vm="396">
        <f ca="1"/>
        <v>8.08</v>
      </c>
    </row>
    <row r="231" spans="1:2" x14ac:dyDescent="0.25">
      <c r="A231" vm="579">
        <f ca="1"/>
        <v>45993</v>
      </c>
      <c r="B231" vm="1737">
        <f ca="1"/>
        <v>8.01</v>
      </c>
    </row>
    <row r="232" spans="1:2" x14ac:dyDescent="0.25">
      <c r="A232" vm="581">
        <f ca="1"/>
        <v>45994</v>
      </c>
      <c r="B232" vm="425">
        <f ca="1"/>
        <v>8.09</v>
      </c>
    </row>
    <row r="233" spans="1:2" x14ac:dyDescent="0.25">
      <c r="A233" vm="585">
        <f ca="1"/>
        <v>45995</v>
      </c>
      <c r="B233" vm="397">
        <f ca="1"/>
        <v>8.06</v>
      </c>
    </row>
    <row r="234" spans="1:2" x14ac:dyDescent="0.25">
      <c r="A234" vm="590">
        <f ca="1"/>
        <v>45996</v>
      </c>
      <c r="B234" vm="693">
        <f ca="1"/>
        <v>7.9</v>
      </c>
    </row>
    <row r="235" spans="1:2" x14ac:dyDescent="0.25">
      <c r="A235" vm="595">
        <f ca="1"/>
        <v>45999</v>
      </c>
      <c r="B235" vm="724">
        <f ca="1"/>
        <v>7.7249999999999996</v>
      </c>
    </row>
  </sheetData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235"/>
  <sheetViews>
    <sheetView workbookViewId="0">
      <selection sqref="A1:B1048576"/>
    </sheetView>
  </sheetViews>
  <sheetFormatPr defaultRowHeight="15" x14ac:dyDescent="0.25"/>
  <cols>
    <col min="1" max="1" width="9.42578125" bestFit="1" customWidth="1"/>
  </cols>
  <sheetData>
    <row r="1" spans="1:2" x14ac:dyDescent="0.25">
      <c r="A1" t="str" cm="1">
        <f t="array" aca="1" ref="A1:B235" ca="1">_xlfn.STOCKHISTORY("GBTG", DATE(YEAR(TODAY()),1,1), TODAY())</f>
        <v>Date</v>
      </c>
      <c r="B1" t="str">
        <f ca="1"/>
        <v>Close</v>
      </c>
    </row>
    <row r="2" spans="1:2" x14ac:dyDescent="0.25">
      <c r="A2" vm="5">
        <f ca="1"/>
        <v>45659</v>
      </c>
      <c r="B2" vm="364">
        <f ca="1"/>
        <v>9.16</v>
      </c>
    </row>
    <row r="3" spans="1:2" x14ac:dyDescent="0.25">
      <c r="A3" vm="13">
        <f ca="1"/>
        <v>45660</v>
      </c>
      <c r="B3" vm="318">
        <f ca="1"/>
        <v>9.09</v>
      </c>
    </row>
    <row r="4" spans="1:2" x14ac:dyDescent="0.25">
      <c r="A4" vm="21">
        <f ca="1"/>
        <v>45663</v>
      </c>
      <c r="B4" vm="554">
        <f ca="1"/>
        <v>8.83</v>
      </c>
    </row>
    <row r="5" spans="1:2" x14ac:dyDescent="0.25">
      <c r="A5" vm="29">
        <f ca="1"/>
        <v>45664</v>
      </c>
      <c r="B5" vm="534">
        <f ca="1"/>
        <v>8.8699999999999992</v>
      </c>
    </row>
    <row r="6" spans="1:2" x14ac:dyDescent="0.25">
      <c r="A6" vm="35">
        <f ca="1"/>
        <v>45665</v>
      </c>
      <c r="B6" vm="511">
        <f ca="1"/>
        <v>8.9</v>
      </c>
    </row>
    <row r="7" spans="1:2" x14ac:dyDescent="0.25">
      <c r="A7" vm="43">
        <f ca="1"/>
        <v>45667</v>
      </c>
      <c r="B7" vm="479">
        <f ca="1"/>
        <v>8.59</v>
      </c>
    </row>
    <row r="8" spans="1:2" x14ac:dyDescent="0.25">
      <c r="A8" vm="51">
        <f ca="1"/>
        <v>45670</v>
      </c>
      <c r="B8" vm="1734">
        <f ca="1"/>
        <v>8.7899999999999991</v>
      </c>
    </row>
    <row r="9" spans="1:2" x14ac:dyDescent="0.25">
      <c r="A9" vm="58">
        <f ca="1"/>
        <v>45671</v>
      </c>
      <c r="B9" vm="1315">
        <f ca="1"/>
        <v>8.91</v>
      </c>
    </row>
    <row r="10" spans="1:2" x14ac:dyDescent="0.25">
      <c r="A10" vm="66">
        <f ca="1"/>
        <v>45672</v>
      </c>
      <c r="B10" vm="385">
        <f ca="1"/>
        <v>8.9700000000000006</v>
      </c>
    </row>
    <row r="11" spans="1:2" x14ac:dyDescent="0.25">
      <c r="A11" vm="74">
        <f ca="1"/>
        <v>45673</v>
      </c>
      <c r="B11" vm="385">
        <f ca="1"/>
        <v>8.9700000000000006</v>
      </c>
    </row>
    <row r="12" spans="1:2" x14ac:dyDescent="0.25">
      <c r="A12" vm="81">
        <f ca="1"/>
        <v>45674</v>
      </c>
      <c r="B12" vm="565">
        <f ca="1"/>
        <v>9</v>
      </c>
    </row>
    <row r="13" spans="1:2" x14ac:dyDescent="0.25">
      <c r="A13" vm="88">
        <f ca="1"/>
        <v>45678</v>
      </c>
      <c r="B13" vm="616">
        <f ca="1"/>
        <v>9.0299999999999994</v>
      </c>
    </row>
    <row r="14" spans="1:2" x14ac:dyDescent="0.25">
      <c r="A14" vm="96">
        <f ca="1"/>
        <v>45679</v>
      </c>
      <c r="B14" vm="385">
        <f ca="1"/>
        <v>8.9700000000000006</v>
      </c>
    </row>
    <row r="15" spans="1:2" x14ac:dyDescent="0.25">
      <c r="A15" vm="104">
        <f ca="1"/>
        <v>45680</v>
      </c>
      <c r="B15" vm="565">
        <f ca="1"/>
        <v>9</v>
      </c>
    </row>
    <row r="16" spans="1:2" x14ac:dyDescent="0.25">
      <c r="A16" vm="111">
        <f ca="1"/>
        <v>45681</v>
      </c>
      <c r="B16" vm="571">
        <f ca="1"/>
        <v>8.9499999999999993</v>
      </c>
    </row>
    <row r="17" spans="1:2" x14ac:dyDescent="0.25">
      <c r="A17" vm="118">
        <f ca="1"/>
        <v>45684</v>
      </c>
      <c r="B17" vm="189">
        <f ca="1"/>
        <v>8.82</v>
      </c>
    </row>
    <row r="18" spans="1:2" x14ac:dyDescent="0.25">
      <c r="A18" vm="124">
        <f ca="1"/>
        <v>45685</v>
      </c>
      <c r="B18" vm="123">
        <f ca="1"/>
        <v>8.99</v>
      </c>
    </row>
    <row r="19" spans="1:2" x14ac:dyDescent="0.25">
      <c r="A19" vm="131">
        <f ca="1"/>
        <v>45686</v>
      </c>
      <c r="B19" vm="385">
        <f ca="1"/>
        <v>8.9700000000000006</v>
      </c>
    </row>
    <row r="20" spans="1:2" x14ac:dyDescent="0.25">
      <c r="A20" vm="138">
        <f ca="1"/>
        <v>45687</v>
      </c>
      <c r="B20" vm="565">
        <f ca="1"/>
        <v>9</v>
      </c>
    </row>
    <row r="21" spans="1:2" x14ac:dyDescent="0.25">
      <c r="A21" vm="143">
        <f ca="1"/>
        <v>45688</v>
      </c>
      <c r="B21" vm="189">
        <f ca="1"/>
        <v>8.82</v>
      </c>
    </row>
    <row r="22" spans="1:2" x14ac:dyDescent="0.25">
      <c r="A22" vm="150">
        <f ca="1"/>
        <v>45691</v>
      </c>
      <c r="B22" vm="26">
        <f ca="1"/>
        <v>8.92</v>
      </c>
    </row>
    <row r="23" spans="1:2" x14ac:dyDescent="0.25">
      <c r="A23" vm="158">
        <f ca="1"/>
        <v>45692</v>
      </c>
      <c r="B23" vm="123">
        <f ca="1"/>
        <v>8.99</v>
      </c>
    </row>
    <row r="24" spans="1:2" x14ac:dyDescent="0.25">
      <c r="A24" vm="165">
        <f ca="1"/>
        <v>45693</v>
      </c>
      <c r="B24" vm="565">
        <f ca="1"/>
        <v>9</v>
      </c>
    </row>
    <row r="25" spans="1:2" x14ac:dyDescent="0.25">
      <c r="A25" vm="170">
        <f ca="1"/>
        <v>45694</v>
      </c>
      <c r="B25" vm="3">
        <f ca="1"/>
        <v>8.98</v>
      </c>
    </row>
    <row r="26" spans="1:2" x14ac:dyDescent="0.25">
      <c r="A26" vm="177">
        <f ca="1"/>
        <v>45695</v>
      </c>
      <c r="B26" vm="571">
        <f ca="1"/>
        <v>8.9499999999999993</v>
      </c>
    </row>
    <row r="27" spans="1:2" x14ac:dyDescent="0.25">
      <c r="A27" vm="183">
        <f ca="1"/>
        <v>45698</v>
      </c>
      <c r="B27" vm="87">
        <f ca="1"/>
        <v>8.76</v>
      </c>
    </row>
    <row r="28" spans="1:2" x14ac:dyDescent="0.25">
      <c r="A28" vm="190">
        <f ca="1"/>
        <v>45699</v>
      </c>
      <c r="B28" vm="299">
        <f ca="1"/>
        <v>8.7799999999999994</v>
      </c>
    </row>
    <row r="29" spans="1:2" x14ac:dyDescent="0.25">
      <c r="A29" vm="195">
        <f ca="1"/>
        <v>45700</v>
      </c>
      <c r="B29" vm="299">
        <f ca="1"/>
        <v>8.7799999999999994</v>
      </c>
    </row>
    <row r="30" spans="1:2" x14ac:dyDescent="0.25">
      <c r="A30" vm="202">
        <f ca="1"/>
        <v>45701</v>
      </c>
      <c r="B30" vm="385">
        <f ca="1"/>
        <v>8.9700000000000006</v>
      </c>
    </row>
    <row r="31" spans="1:2" x14ac:dyDescent="0.25">
      <c r="A31" vm="208">
        <f ca="1"/>
        <v>45702</v>
      </c>
      <c r="B31" vm="571">
        <f ca="1"/>
        <v>8.9499999999999993</v>
      </c>
    </row>
    <row r="32" spans="1:2" x14ac:dyDescent="0.25">
      <c r="A32" vm="212">
        <f ca="1"/>
        <v>45706</v>
      </c>
      <c r="B32" vm="273">
        <f ca="1"/>
        <v>8.93</v>
      </c>
    </row>
    <row r="33" spans="1:2" x14ac:dyDescent="0.25">
      <c r="A33" vm="219">
        <f ca="1"/>
        <v>45707</v>
      </c>
      <c r="B33" vm="86">
        <f ca="1"/>
        <v>8.8800000000000008</v>
      </c>
    </row>
    <row r="34" spans="1:2" x14ac:dyDescent="0.25">
      <c r="A34" vm="225">
        <f ca="1"/>
        <v>45708</v>
      </c>
      <c r="B34" vm="280">
        <f ca="1"/>
        <v>8.74</v>
      </c>
    </row>
    <row r="35" spans="1:2" x14ac:dyDescent="0.25">
      <c r="A35" vm="231">
        <f ca="1"/>
        <v>45709</v>
      </c>
      <c r="B35" vm="603">
        <f ca="1"/>
        <v>8.5500000000000007</v>
      </c>
    </row>
    <row r="36" spans="1:2" x14ac:dyDescent="0.25">
      <c r="A36" vm="238">
        <f ca="1"/>
        <v>45712</v>
      </c>
      <c r="B36" vm="603">
        <f ca="1"/>
        <v>8.5500000000000007</v>
      </c>
    </row>
    <row r="37" spans="1:2" x14ac:dyDescent="0.25">
      <c r="A37" vm="246">
        <f ca="1"/>
        <v>45713</v>
      </c>
      <c r="B37" vm="449">
        <f ca="1"/>
        <v>8.5299999999999994</v>
      </c>
    </row>
    <row r="38" spans="1:2" x14ac:dyDescent="0.25">
      <c r="A38" vm="253">
        <f ca="1"/>
        <v>45714</v>
      </c>
      <c r="B38" vm="274">
        <f ca="1"/>
        <v>8.6199999999999992</v>
      </c>
    </row>
    <row r="39" spans="1:2" x14ac:dyDescent="0.25">
      <c r="A39" vm="260">
        <f ca="1"/>
        <v>45715</v>
      </c>
      <c r="B39" vm="539">
        <f ca="1"/>
        <v>8.11</v>
      </c>
    </row>
    <row r="40" spans="1:2" x14ac:dyDescent="0.25">
      <c r="A40" vm="267">
        <f ca="1"/>
        <v>45716</v>
      </c>
      <c r="B40" vm="1316">
        <f ca="1"/>
        <v>8.31</v>
      </c>
    </row>
    <row r="41" spans="1:2" x14ac:dyDescent="0.25">
      <c r="A41" vm="275">
        <f ca="1"/>
        <v>45719</v>
      </c>
      <c r="B41" vm="496">
        <f ca="1"/>
        <v>8.52</v>
      </c>
    </row>
    <row r="42" spans="1:2" x14ac:dyDescent="0.25">
      <c r="A42" vm="281">
        <f ca="1"/>
        <v>45720</v>
      </c>
      <c r="B42" vm="396">
        <f ca="1"/>
        <v>8.08</v>
      </c>
    </row>
    <row r="43" spans="1:2" x14ac:dyDescent="0.25">
      <c r="A43" vm="288">
        <f ca="1"/>
        <v>45721</v>
      </c>
      <c r="B43" vm="493">
        <f ca="1"/>
        <v>8.16</v>
      </c>
    </row>
    <row r="44" spans="1:2" x14ac:dyDescent="0.25">
      <c r="A44" vm="295">
        <f ca="1"/>
        <v>45722</v>
      </c>
      <c r="B44" vm="690">
        <f ca="1"/>
        <v>7.98</v>
      </c>
    </row>
    <row r="45" spans="1:2" x14ac:dyDescent="0.25">
      <c r="A45" vm="300">
        <f ca="1"/>
        <v>45723</v>
      </c>
      <c r="B45" vm="706">
        <f ca="1"/>
        <v>8.07</v>
      </c>
    </row>
    <row r="46" spans="1:2" x14ac:dyDescent="0.25">
      <c r="A46" vm="306">
        <f ca="1"/>
        <v>45726</v>
      </c>
      <c r="B46" vm="1281">
        <f ca="1"/>
        <v>7.81</v>
      </c>
    </row>
    <row r="47" spans="1:2" x14ac:dyDescent="0.25">
      <c r="A47" vm="314">
        <f ca="1"/>
        <v>45727</v>
      </c>
      <c r="B47" vm="1736">
        <f ca="1"/>
        <v>7.49</v>
      </c>
    </row>
    <row r="48" spans="1:2" x14ac:dyDescent="0.25">
      <c r="A48" vm="319">
        <f ca="1"/>
        <v>45728</v>
      </c>
      <c r="B48" vm="1942">
        <f ca="1"/>
        <v>7.37</v>
      </c>
    </row>
    <row r="49" spans="1:2" x14ac:dyDescent="0.25">
      <c r="A49" vm="326">
        <f ca="1"/>
        <v>45729</v>
      </c>
      <c r="B49" vm="1276">
        <f ca="1"/>
        <v>7.27</v>
      </c>
    </row>
    <row r="50" spans="1:2" x14ac:dyDescent="0.25">
      <c r="A50" vm="330">
        <f ca="1"/>
        <v>45730</v>
      </c>
      <c r="B50" vm="1666">
        <f ca="1"/>
        <v>7.35</v>
      </c>
    </row>
    <row r="51" spans="1:2" x14ac:dyDescent="0.25">
      <c r="A51" vm="337">
        <f ca="1"/>
        <v>45733</v>
      </c>
      <c r="B51" vm="685">
        <f ca="1"/>
        <v>7.44</v>
      </c>
    </row>
    <row r="52" spans="1:2" x14ac:dyDescent="0.25">
      <c r="A52" vm="342">
        <f ca="1"/>
        <v>45734</v>
      </c>
      <c r="B52" vm="718">
        <f ca="1"/>
        <v>7.48</v>
      </c>
    </row>
    <row r="53" spans="1:2" x14ac:dyDescent="0.25">
      <c r="A53" vm="348">
        <f ca="1"/>
        <v>45735</v>
      </c>
      <c r="B53" vm="452">
        <f ca="1"/>
        <v>7.71</v>
      </c>
    </row>
    <row r="54" spans="1:2" x14ac:dyDescent="0.25">
      <c r="A54" vm="353">
        <f ca="1"/>
        <v>45736</v>
      </c>
      <c r="B54" vm="719">
        <f ca="1"/>
        <v>7.74</v>
      </c>
    </row>
    <row r="55" spans="1:2" x14ac:dyDescent="0.25">
      <c r="A55" vm="360">
        <f ca="1"/>
        <v>45737</v>
      </c>
      <c r="B55" vm="688">
        <f ca="1"/>
        <v>7.61</v>
      </c>
    </row>
    <row r="56" spans="1:2" x14ac:dyDescent="0.25">
      <c r="A56" vm="366">
        <f ca="1"/>
        <v>45740</v>
      </c>
      <c r="B56" vm="715">
        <f ca="1"/>
        <v>7.69</v>
      </c>
    </row>
    <row r="57" spans="1:2" x14ac:dyDescent="0.25">
      <c r="A57" vm="374">
        <f ca="1"/>
        <v>45741</v>
      </c>
      <c r="B57" vm="1284">
        <f ca="1"/>
        <v>7.6</v>
      </c>
    </row>
    <row r="58" spans="1:2" x14ac:dyDescent="0.25">
      <c r="A58" vm="381">
        <f ca="1"/>
        <v>45742</v>
      </c>
      <c r="B58" vm="713">
        <f ca="1"/>
        <v>7.59</v>
      </c>
    </row>
    <row r="59" spans="1:2" x14ac:dyDescent="0.25">
      <c r="A59" vm="386">
        <f ca="1"/>
        <v>45743</v>
      </c>
      <c r="B59" vm="713">
        <f ca="1"/>
        <v>7.59</v>
      </c>
    </row>
    <row r="60" spans="1:2" x14ac:dyDescent="0.25">
      <c r="A60" vm="391">
        <f ca="1"/>
        <v>45744</v>
      </c>
      <c r="B60" vm="681">
        <f ca="1"/>
        <v>7.36</v>
      </c>
    </row>
    <row r="61" spans="1:2" x14ac:dyDescent="0.25">
      <c r="A61" vm="398">
        <f ca="1"/>
        <v>45747</v>
      </c>
      <c r="B61" vm="1279">
        <f ca="1"/>
        <v>7.26</v>
      </c>
    </row>
    <row r="62" spans="1:2" x14ac:dyDescent="0.25">
      <c r="A62" vm="404">
        <f ca="1"/>
        <v>45748</v>
      </c>
      <c r="B62" vm="1666">
        <f ca="1"/>
        <v>7.35</v>
      </c>
    </row>
    <row r="63" spans="1:2" x14ac:dyDescent="0.25">
      <c r="A63" vm="410">
        <f ca="1"/>
        <v>45749</v>
      </c>
      <c r="B63" vm="716">
        <f ca="1"/>
        <v>7.45</v>
      </c>
    </row>
    <row r="64" spans="1:2" x14ac:dyDescent="0.25">
      <c r="A64" vm="415">
        <f ca="1"/>
        <v>45750</v>
      </c>
      <c r="B64" vm="738">
        <f ca="1"/>
        <v>6.92</v>
      </c>
    </row>
    <row r="65" spans="1:2" x14ac:dyDescent="0.25">
      <c r="A65" vm="418">
        <f ca="1"/>
        <v>45751</v>
      </c>
      <c r="B65" vm="758">
        <f ca="1"/>
        <v>6.58</v>
      </c>
    </row>
    <row r="66" spans="1:2" x14ac:dyDescent="0.25">
      <c r="A66" vm="426">
        <f ca="1"/>
        <v>45754</v>
      </c>
      <c r="B66" vm="1046">
        <f ca="1"/>
        <v>6.46</v>
      </c>
    </row>
    <row r="67" spans="1:2" x14ac:dyDescent="0.25">
      <c r="A67" vm="432">
        <f ca="1"/>
        <v>45755</v>
      </c>
      <c r="B67" vm="1042">
        <f ca="1"/>
        <v>6.41</v>
      </c>
    </row>
    <row r="68" spans="1:2" x14ac:dyDescent="0.25">
      <c r="A68" vm="439">
        <f ca="1"/>
        <v>45756</v>
      </c>
      <c r="B68" vm="441">
        <f ca="1"/>
        <v>6.83</v>
      </c>
    </row>
    <row r="69" spans="1:2" x14ac:dyDescent="0.25">
      <c r="A69" vm="444">
        <f ca="1"/>
        <v>45757</v>
      </c>
      <c r="B69" vm="769">
        <f ca="1"/>
        <v>6.64</v>
      </c>
    </row>
    <row r="70" spans="1:2" x14ac:dyDescent="0.25">
      <c r="A70" vm="451">
        <f ca="1"/>
        <v>45758</v>
      </c>
      <c r="B70" vm="743">
        <f ca="1"/>
        <v>6.74</v>
      </c>
    </row>
    <row r="71" spans="1:2" x14ac:dyDescent="0.25">
      <c r="A71" vm="458">
        <f ca="1"/>
        <v>45761</v>
      </c>
      <c r="B71" vm="745">
        <f ca="1"/>
        <v>6.71</v>
      </c>
    </row>
    <row r="72" spans="1:2" x14ac:dyDescent="0.25">
      <c r="A72" vm="463">
        <f ca="1"/>
        <v>45762</v>
      </c>
      <c r="B72" vm="1686">
        <f ca="1"/>
        <v>6.65</v>
      </c>
    </row>
    <row r="73" spans="1:2" x14ac:dyDescent="0.25">
      <c r="A73" vm="470">
        <f ca="1"/>
        <v>45763</v>
      </c>
      <c r="B73" vm="766">
        <f ca="1"/>
        <v>6.56</v>
      </c>
    </row>
    <row r="74" spans="1:2" x14ac:dyDescent="0.25">
      <c r="A74" vm="478">
        <f ca="1"/>
        <v>45764</v>
      </c>
      <c r="B74" vm="769">
        <f ca="1"/>
        <v>6.64</v>
      </c>
    </row>
    <row r="75" spans="1:2" x14ac:dyDescent="0.25">
      <c r="A75" vm="484">
        <f ca="1"/>
        <v>45768</v>
      </c>
      <c r="B75" vm="797">
        <f ca="1"/>
        <v>6.43</v>
      </c>
    </row>
    <row r="76" spans="1:2" x14ac:dyDescent="0.25">
      <c r="A76" vm="488">
        <f ca="1"/>
        <v>45769</v>
      </c>
      <c r="B76" vm="758">
        <f ca="1"/>
        <v>6.58</v>
      </c>
    </row>
    <row r="77" spans="1:2" x14ac:dyDescent="0.25">
      <c r="A77" vm="491">
        <f ca="1"/>
        <v>45770</v>
      </c>
      <c r="B77" vm="1423">
        <f ca="1"/>
        <v>6.72</v>
      </c>
    </row>
    <row r="78" spans="1:2" x14ac:dyDescent="0.25">
      <c r="A78" vm="497">
        <f ca="1"/>
        <v>45771</v>
      </c>
      <c r="B78" vm="746">
        <f ca="1"/>
        <v>6.81</v>
      </c>
    </row>
    <row r="79" spans="1:2" x14ac:dyDescent="0.25">
      <c r="A79" vm="503">
        <f ca="1"/>
        <v>45772</v>
      </c>
      <c r="B79" vm="753">
        <f ca="1"/>
        <v>6.77</v>
      </c>
    </row>
    <row r="80" spans="1:2" x14ac:dyDescent="0.25">
      <c r="A80" vm="508">
        <f ca="1"/>
        <v>45775</v>
      </c>
      <c r="B80" vm="1667">
        <f ca="1"/>
        <v>6.79</v>
      </c>
    </row>
    <row r="81" spans="1:2" x14ac:dyDescent="0.25">
      <c r="A81" vm="512">
        <f ca="1"/>
        <v>45776</v>
      </c>
      <c r="B81" vm="1423">
        <f ca="1"/>
        <v>6.72</v>
      </c>
    </row>
    <row r="82" spans="1:2" x14ac:dyDescent="0.25">
      <c r="A82" vm="516">
        <f ca="1"/>
        <v>45777</v>
      </c>
      <c r="B82" vm="745">
        <f ca="1"/>
        <v>6.71</v>
      </c>
    </row>
    <row r="83" spans="1:2" x14ac:dyDescent="0.25">
      <c r="A83" vm="520">
        <f ca="1"/>
        <v>45778</v>
      </c>
      <c r="B83" vm="742">
        <f ca="1"/>
        <v>6.76</v>
      </c>
    </row>
    <row r="84" spans="1:2" x14ac:dyDescent="0.25">
      <c r="A84" vm="523">
        <f ca="1"/>
        <v>45779</v>
      </c>
      <c r="B84" vm="1793">
        <f ca="1"/>
        <v>6.88</v>
      </c>
    </row>
    <row r="85" spans="1:2" x14ac:dyDescent="0.25">
      <c r="A85" vm="526">
        <f ca="1"/>
        <v>45782</v>
      </c>
      <c r="B85" vm="741">
        <f ca="1"/>
        <v>6.89</v>
      </c>
    </row>
    <row r="86" spans="1:2" x14ac:dyDescent="0.25">
      <c r="A86" vm="530">
        <f ca="1"/>
        <v>45783</v>
      </c>
      <c r="B86" vm="1943">
        <f ca="1"/>
        <v>6.17</v>
      </c>
    </row>
    <row r="87" spans="1:2" x14ac:dyDescent="0.25">
      <c r="A87" vm="537">
        <f ca="1"/>
        <v>45784</v>
      </c>
      <c r="B87" vm="842">
        <f ca="1"/>
        <v>5.96</v>
      </c>
    </row>
    <row r="88" spans="1:2" x14ac:dyDescent="0.25">
      <c r="A88" vm="541">
        <f ca="1"/>
        <v>45785</v>
      </c>
      <c r="B88" vm="845">
        <f ca="1"/>
        <v>6.01</v>
      </c>
    </row>
    <row r="89" spans="1:2" x14ac:dyDescent="0.25">
      <c r="A89" vm="546">
        <f ca="1"/>
        <v>45786</v>
      </c>
      <c r="B89" vm="825">
        <f ca="1"/>
        <v>5.83</v>
      </c>
    </row>
    <row r="90" spans="1:2" x14ac:dyDescent="0.25">
      <c r="A90" vm="550">
        <f ca="1"/>
        <v>45789</v>
      </c>
      <c r="B90" vm="1943">
        <f ca="1"/>
        <v>6.17</v>
      </c>
    </row>
    <row r="91" spans="1:2" x14ac:dyDescent="0.25">
      <c r="A91" vm="556">
        <f ca="1"/>
        <v>45790</v>
      </c>
      <c r="B91" vm="1944">
        <f ca="1"/>
        <v>6.24</v>
      </c>
    </row>
    <row r="92" spans="1:2" x14ac:dyDescent="0.25">
      <c r="A92" vm="560">
        <f ca="1"/>
        <v>45791</v>
      </c>
      <c r="B92" vm="783">
        <f ca="1"/>
        <v>6.16</v>
      </c>
    </row>
    <row r="93" spans="1:2" x14ac:dyDescent="0.25">
      <c r="A93" vm="564">
        <f ca="1"/>
        <v>45792</v>
      </c>
      <c r="B93" vm="1795">
        <f ca="1"/>
        <v>6.07</v>
      </c>
    </row>
    <row r="94" spans="1:2" x14ac:dyDescent="0.25">
      <c r="A94" vm="569">
        <f ca="1"/>
        <v>45793</v>
      </c>
      <c r="B94" vm="1037">
        <f ca="1"/>
        <v>6.09</v>
      </c>
    </row>
    <row r="95" spans="1:2" x14ac:dyDescent="0.25">
      <c r="A95" vm="573">
        <f ca="1"/>
        <v>45796</v>
      </c>
      <c r="B95" vm="1795">
        <f ca="1"/>
        <v>6.07</v>
      </c>
    </row>
    <row r="96" spans="1:2" x14ac:dyDescent="0.25">
      <c r="A96" vm="577">
        <f ca="1"/>
        <v>45797</v>
      </c>
      <c r="B96" vm="833">
        <f ca="1"/>
        <v>6.11</v>
      </c>
    </row>
    <row r="97" spans="1:2" x14ac:dyDescent="0.25">
      <c r="A97" vm="580">
        <f ca="1"/>
        <v>45798</v>
      </c>
      <c r="B97" vm="1795">
        <f ca="1"/>
        <v>6.07</v>
      </c>
    </row>
    <row r="98" spans="1:2" x14ac:dyDescent="0.25">
      <c r="A98" vm="583">
        <f ca="1"/>
        <v>45799</v>
      </c>
      <c r="B98" vm="1037">
        <f ca="1"/>
        <v>6.09</v>
      </c>
    </row>
    <row r="99" spans="1:2" x14ac:dyDescent="0.25">
      <c r="A99" vm="588">
        <f ca="1"/>
        <v>45800</v>
      </c>
      <c r="B99" vm="1729">
        <f ca="1"/>
        <v>5.99</v>
      </c>
    </row>
    <row r="100" spans="1:2" x14ac:dyDescent="0.25">
      <c r="A100" vm="593">
        <f ca="1"/>
        <v>45804</v>
      </c>
      <c r="B100" vm="1945">
        <f ca="1"/>
        <v>6.26</v>
      </c>
    </row>
    <row r="101" spans="1:2" x14ac:dyDescent="0.25">
      <c r="A101" vm="598">
        <f ca="1"/>
        <v>45805</v>
      </c>
      <c r="B101" vm="790">
        <f ca="1"/>
        <v>6.21</v>
      </c>
    </row>
    <row r="102" spans="1:2" x14ac:dyDescent="0.25">
      <c r="A102" vm="601">
        <f ca="1"/>
        <v>45806</v>
      </c>
      <c r="B102" vm="1728">
        <f ca="1"/>
        <v>6.23</v>
      </c>
    </row>
    <row r="103" spans="1:2" x14ac:dyDescent="0.25">
      <c r="A103" vm="604">
        <f ca="1"/>
        <v>45807</v>
      </c>
      <c r="B103" vm="1019">
        <f ca="1"/>
        <v>6.25</v>
      </c>
    </row>
    <row r="104" spans="1:2" x14ac:dyDescent="0.25">
      <c r="A104" vm="606">
        <f ca="1"/>
        <v>45810</v>
      </c>
      <c r="B104" vm="1946">
        <f ca="1"/>
        <v>6.34</v>
      </c>
    </row>
    <row r="105" spans="1:2" x14ac:dyDescent="0.25">
      <c r="A105" vm="608">
        <f ca="1"/>
        <v>45811</v>
      </c>
      <c r="B105" vm="1029">
        <f ca="1"/>
        <v>6.4</v>
      </c>
    </row>
    <row r="106" spans="1:2" x14ac:dyDescent="0.25">
      <c r="A106" vm="610">
        <f ca="1"/>
        <v>45812</v>
      </c>
      <c r="B106" vm="1663">
        <f ca="1"/>
        <v>6.38</v>
      </c>
    </row>
    <row r="107" spans="1:2" x14ac:dyDescent="0.25">
      <c r="A107" vm="612">
        <f ca="1"/>
        <v>45813</v>
      </c>
      <c r="B107" vm="792">
        <f ca="1"/>
        <v>6.5</v>
      </c>
    </row>
    <row r="108" spans="1:2" x14ac:dyDescent="0.25">
      <c r="A108" vm="615">
        <f ca="1"/>
        <v>45814</v>
      </c>
      <c r="B108" vm="766">
        <f ca="1"/>
        <v>6.56</v>
      </c>
    </row>
    <row r="109" spans="1:2" x14ac:dyDescent="0.25">
      <c r="A109" vm="617">
        <f ca="1"/>
        <v>45817</v>
      </c>
      <c r="B109" vm="763">
        <f ca="1"/>
        <v>6.57</v>
      </c>
    </row>
    <row r="110" spans="1:2" x14ac:dyDescent="0.25">
      <c r="A110" vm="619">
        <f ca="1"/>
        <v>45818</v>
      </c>
      <c r="B110" vm="763">
        <f ca="1"/>
        <v>6.57</v>
      </c>
    </row>
    <row r="111" spans="1:2" x14ac:dyDescent="0.25">
      <c r="A111" vm="620">
        <f ca="1"/>
        <v>45819</v>
      </c>
      <c r="B111" vm="791">
        <f ca="1"/>
        <v>6.49</v>
      </c>
    </row>
    <row r="112" spans="1:2" x14ac:dyDescent="0.25">
      <c r="A112" vm="622">
        <f ca="1"/>
        <v>45820</v>
      </c>
      <c r="B112" vm="1663">
        <f ca="1"/>
        <v>6.38</v>
      </c>
    </row>
    <row r="113" spans="1:2" x14ac:dyDescent="0.25">
      <c r="A113" vm="626">
        <f ca="1"/>
        <v>45821</v>
      </c>
      <c r="B113" vm="1037">
        <f ca="1"/>
        <v>6.09</v>
      </c>
    </row>
    <row r="114" spans="1:2" x14ac:dyDescent="0.25">
      <c r="A114" vm="629">
        <f ca="1"/>
        <v>45824</v>
      </c>
      <c r="B114" vm="783">
        <f ca="1"/>
        <v>6.16</v>
      </c>
    </row>
    <row r="115" spans="1:2" x14ac:dyDescent="0.25">
      <c r="A115" vm="632">
        <f ca="1"/>
        <v>45825</v>
      </c>
      <c r="B115" vm="1732">
        <f ca="1"/>
        <v>6.02</v>
      </c>
    </row>
    <row r="116" spans="1:2" x14ac:dyDescent="0.25">
      <c r="A116" vm="634">
        <f ca="1"/>
        <v>45826</v>
      </c>
      <c r="B116" vm="1795">
        <f ca="1"/>
        <v>6.07</v>
      </c>
    </row>
    <row r="117" spans="1:2" x14ac:dyDescent="0.25">
      <c r="A117" vm="636">
        <f ca="1"/>
        <v>45828</v>
      </c>
      <c r="B117" vm="835">
        <f ca="1"/>
        <v>6.04</v>
      </c>
    </row>
    <row r="118" spans="1:2" x14ac:dyDescent="0.25">
      <c r="A118" vm="638">
        <f ca="1"/>
        <v>45831</v>
      </c>
      <c r="B118" vm="1796">
        <f ca="1"/>
        <v>6.19</v>
      </c>
    </row>
    <row r="119" spans="1:2" x14ac:dyDescent="0.25">
      <c r="A119" vm="640">
        <f ca="1"/>
        <v>45832</v>
      </c>
      <c r="B119" vm="1025">
        <f ca="1"/>
        <v>6.33</v>
      </c>
    </row>
    <row r="120" spans="1:2" x14ac:dyDescent="0.25">
      <c r="A120" vm="643">
        <f ca="1"/>
        <v>45833</v>
      </c>
      <c r="B120" vm="1796">
        <f ca="1"/>
        <v>6.19</v>
      </c>
    </row>
    <row r="121" spans="1:2" x14ac:dyDescent="0.25">
      <c r="A121" vm="644">
        <f ca="1"/>
        <v>45834</v>
      </c>
      <c r="B121" vm="1025">
        <f ca="1"/>
        <v>6.33</v>
      </c>
    </row>
    <row r="122" spans="1:2" x14ac:dyDescent="0.25">
      <c r="A122" vm="645">
        <f ca="1"/>
        <v>45835</v>
      </c>
      <c r="B122" vm="789">
        <f ca="1"/>
        <v>6.45</v>
      </c>
    </row>
    <row r="123" spans="1:2" x14ac:dyDescent="0.25">
      <c r="A123" vm="646">
        <f ca="1"/>
        <v>45838</v>
      </c>
      <c r="B123" vm="1044">
        <f ca="1"/>
        <v>6.3</v>
      </c>
    </row>
    <row r="124" spans="1:2" x14ac:dyDescent="0.25">
      <c r="A124" vm="648">
        <f ca="1"/>
        <v>45839</v>
      </c>
      <c r="B124" vm="1946">
        <f ca="1"/>
        <v>6.34</v>
      </c>
    </row>
    <row r="125" spans="1:2" x14ac:dyDescent="0.25">
      <c r="A125" vm="649">
        <f ca="1"/>
        <v>45840</v>
      </c>
      <c r="B125" vm="1047">
        <f ca="1"/>
        <v>6.35</v>
      </c>
    </row>
    <row r="126" spans="1:2" x14ac:dyDescent="0.25">
      <c r="A126" vm="651">
        <f ca="1"/>
        <v>45841</v>
      </c>
      <c r="B126" vm="1023">
        <f ca="1"/>
        <v>6.47</v>
      </c>
    </row>
    <row r="127" spans="1:2" x14ac:dyDescent="0.25">
      <c r="A127" vm="653">
        <f ca="1"/>
        <v>45845</v>
      </c>
      <c r="B127" vm="794">
        <f ca="1"/>
        <v>6.39</v>
      </c>
    </row>
    <row r="128" spans="1:2" x14ac:dyDescent="0.25">
      <c r="A128" vm="655">
        <f ca="1"/>
        <v>45846</v>
      </c>
      <c r="B128" vm="794">
        <f ca="1"/>
        <v>6.39</v>
      </c>
    </row>
    <row r="129" spans="1:2" x14ac:dyDescent="0.25">
      <c r="A129" vm="658">
        <f ca="1"/>
        <v>45847</v>
      </c>
      <c r="B129" vm="788">
        <f ca="1"/>
        <v>6.37</v>
      </c>
    </row>
    <row r="130" spans="1:2" x14ac:dyDescent="0.25">
      <c r="A130" vm="659">
        <f ca="1"/>
        <v>45848</v>
      </c>
      <c r="B130" vm="1258">
        <f ca="1"/>
        <v>6.59</v>
      </c>
    </row>
    <row r="131" spans="1:2" x14ac:dyDescent="0.25">
      <c r="A131" vm="661">
        <f ca="1"/>
        <v>45849</v>
      </c>
      <c r="B131" vm="1042">
        <f ca="1"/>
        <v>6.41</v>
      </c>
    </row>
    <row r="132" spans="1:2" x14ac:dyDescent="0.25">
      <c r="A132" vm="663">
        <f ca="1"/>
        <v>45852</v>
      </c>
      <c r="B132" vm="1035">
        <f ca="1"/>
        <v>6.36</v>
      </c>
    </row>
    <row r="133" spans="1:2" x14ac:dyDescent="0.25">
      <c r="A133" vm="664">
        <f ca="1"/>
        <v>45853</v>
      </c>
      <c r="B133" vm="1019">
        <f ca="1"/>
        <v>6.25</v>
      </c>
    </row>
    <row r="134" spans="1:2" x14ac:dyDescent="0.25">
      <c r="A134" vm="666">
        <f ca="1"/>
        <v>45854</v>
      </c>
      <c r="B134" vm="1047">
        <f ca="1"/>
        <v>6.35</v>
      </c>
    </row>
    <row r="135" spans="1:2" x14ac:dyDescent="0.25">
      <c r="A135" vm="668">
        <f ca="1"/>
        <v>45855</v>
      </c>
      <c r="B135" vm="797">
        <f ca="1"/>
        <v>6.43</v>
      </c>
    </row>
    <row r="136" spans="1:2" x14ac:dyDescent="0.25">
      <c r="A136" vm="1">
        <f ca="1"/>
        <v>45856</v>
      </c>
      <c r="B136" vm="1947">
        <f ca="1"/>
        <v>6.32</v>
      </c>
    </row>
    <row r="137" spans="1:2" x14ac:dyDescent="0.25">
      <c r="A137" vm="9">
        <f ca="1"/>
        <v>45859</v>
      </c>
      <c r="B137" vm="793">
        <f ca="1"/>
        <v>6.31</v>
      </c>
    </row>
    <row r="138" spans="1:2" x14ac:dyDescent="0.25">
      <c r="A138" vm="17">
        <f ca="1"/>
        <v>45860</v>
      </c>
      <c r="B138" vm="1023">
        <f ca="1"/>
        <v>6.47</v>
      </c>
    </row>
    <row r="139" spans="1:2" x14ac:dyDescent="0.25">
      <c r="A139" vm="25">
        <f ca="1"/>
        <v>45861</v>
      </c>
      <c r="B139" vm="761">
        <f ca="1"/>
        <v>6.66</v>
      </c>
    </row>
    <row r="140" spans="1:2" x14ac:dyDescent="0.25">
      <c r="A140" vm="31">
        <f ca="1"/>
        <v>45862</v>
      </c>
      <c r="B140" vm="762">
        <f ca="1"/>
        <v>6.68</v>
      </c>
    </row>
    <row r="141" spans="1:2" x14ac:dyDescent="0.25">
      <c r="A141" vm="39">
        <f ca="1"/>
        <v>45863</v>
      </c>
      <c r="B141" vm="753">
        <f ca="1"/>
        <v>6.77</v>
      </c>
    </row>
    <row r="142" spans="1:2" x14ac:dyDescent="0.25">
      <c r="A142" vm="47">
        <f ca="1"/>
        <v>45866</v>
      </c>
      <c r="B142" vm="745">
        <f ca="1"/>
        <v>6.71</v>
      </c>
    </row>
    <row r="143" spans="1:2" x14ac:dyDescent="0.25">
      <c r="A143" vm="55">
        <f ca="1"/>
        <v>45867</v>
      </c>
      <c r="B143" vm="761">
        <f ca="1"/>
        <v>6.66</v>
      </c>
    </row>
    <row r="144" spans="1:2" x14ac:dyDescent="0.25">
      <c r="A144" vm="62">
        <f ca="1"/>
        <v>45868</v>
      </c>
      <c r="B144" vm="1265">
        <f ca="1"/>
        <v>6.67</v>
      </c>
    </row>
    <row r="145" spans="1:2" x14ac:dyDescent="0.25">
      <c r="A145" vm="70">
        <f ca="1"/>
        <v>45869</v>
      </c>
      <c r="B145" vm="797">
        <f ca="1"/>
        <v>6.43</v>
      </c>
    </row>
    <row r="146" spans="1:2" x14ac:dyDescent="0.25">
      <c r="A146" vm="78">
        <f ca="1"/>
        <v>45870</v>
      </c>
      <c r="B146" vm="1037">
        <f ca="1"/>
        <v>6.09</v>
      </c>
    </row>
    <row r="147" spans="1:2" x14ac:dyDescent="0.25">
      <c r="A147" vm="85">
        <f ca="1"/>
        <v>45873</v>
      </c>
      <c r="B147" vm="1944">
        <f ca="1"/>
        <v>6.24</v>
      </c>
    </row>
    <row r="148" spans="1:2" x14ac:dyDescent="0.25">
      <c r="A148" vm="92">
        <f ca="1"/>
        <v>45874</v>
      </c>
      <c r="B148" vm="792">
        <f ca="1"/>
        <v>6.5</v>
      </c>
    </row>
    <row r="149" spans="1:2" x14ac:dyDescent="0.25">
      <c r="A149" vm="100">
        <f ca="1"/>
        <v>45875</v>
      </c>
      <c r="B149" vm="1271">
        <f ca="1"/>
        <v>7.33</v>
      </c>
    </row>
    <row r="150" spans="1:2" x14ac:dyDescent="0.25">
      <c r="A150" vm="108">
        <f ca="1"/>
        <v>45876</v>
      </c>
      <c r="B150" vm="1275">
        <f ca="1"/>
        <v>7.25</v>
      </c>
    </row>
    <row r="151" spans="1:2" x14ac:dyDescent="0.25">
      <c r="A151" vm="115">
        <f ca="1"/>
        <v>45877</v>
      </c>
      <c r="B151" vm="717">
        <f ca="1"/>
        <v>7.51</v>
      </c>
    </row>
    <row r="152" spans="1:2" x14ac:dyDescent="0.25">
      <c r="A152" vm="122">
        <f ca="1"/>
        <v>45880</v>
      </c>
      <c r="B152" vm="1700">
        <f ca="1"/>
        <v>7.47</v>
      </c>
    </row>
    <row r="153" spans="1:2" x14ac:dyDescent="0.25">
      <c r="A153" vm="128">
        <f ca="1"/>
        <v>45881</v>
      </c>
      <c r="B153" vm="452">
        <f ca="1"/>
        <v>7.71</v>
      </c>
    </row>
    <row r="154" spans="1:2" x14ac:dyDescent="0.25">
      <c r="A154" vm="135">
        <f ca="1"/>
        <v>45882</v>
      </c>
      <c r="B154" vm="694">
        <f ca="1"/>
        <v>7.87</v>
      </c>
    </row>
    <row r="155" spans="1:2" x14ac:dyDescent="0.25">
      <c r="A155" vm="142">
        <f ca="1"/>
        <v>45883</v>
      </c>
      <c r="B155" vm="419">
        <f ca="1"/>
        <v>7.82</v>
      </c>
    </row>
    <row r="156" spans="1:2" x14ac:dyDescent="0.25">
      <c r="A156" vm="146">
        <f ca="1"/>
        <v>45884</v>
      </c>
      <c r="B156" vm="419">
        <f ca="1"/>
        <v>7.82</v>
      </c>
    </row>
    <row r="157" spans="1:2" x14ac:dyDescent="0.25">
      <c r="A157" vm="154">
        <f ca="1"/>
        <v>45887</v>
      </c>
      <c r="B157" vm="674">
        <f ca="1"/>
        <v>7.84</v>
      </c>
    </row>
    <row r="158" spans="1:2" x14ac:dyDescent="0.25">
      <c r="A158" vm="161">
        <f ca="1"/>
        <v>45888</v>
      </c>
      <c r="B158" vm="705">
        <f ca="1"/>
        <v>7.91</v>
      </c>
    </row>
    <row r="159" spans="1:2" x14ac:dyDescent="0.25">
      <c r="A159" vm="168">
        <f ca="1"/>
        <v>45889</v>
      </c>
      <c r="B159" vm="693">
        <f ca="1"/>
        <v>7.9</v>
      </c>
    </row>
    <row r="160" spans="1:2" x14ac:dyDescent="0.25">
      <c r="A160" vm="174">
        <f ca="1"/>
        <v>45890</v>
      </c>
      <c r="B160" vm="690">
        <f ca="1"/>
        <v>7.98</v>
      </c>
    </row>
    <row r="161" spans="1:2" x14ac:dyDescent="0.25">
      <c r="A161" vm="180">
        <f ca="1"/>
        <v>45891</v>
      </c>
      <c r="B161" vm="1735">
        <f ca="1"/>
        <v>8.26</v>
      </c>
    </row>
    <row r="162" spans="1:2" x14ac:dyDescent="0.25">
      <c r="A162" vm="186">
        <f ca="1"/>
        <v>45894</v>
      </c>
      <c r="B162" vm="527">
        <f ca="1"/>
        <v>8.17</v>
      </c>
    </row>
    <row r="163" spans="1:2" x14ac:dyDescent="0.25">
      <c r="A163" vm="193">
        <f ca="1"/>
        <v>45895</v>
      </c>
      <c r="B163" vm="527">
        <f ca="1"/>
        <v>8.17</v>
      </c>
    </row>
    <row r="164" spans="1:2" x14ac:dyDescent="0.25">
      <c r="A164" vm="199">
        <f ca="1"/>
        <v>45896</v>
      </c>
      <c r="B164" vm="259">
        <f ca="1"/>
        <v>8.24</v>
      </c>
    </row>
    <row r="165" spans="1:2" x14ac:dyDescent="0.25">
      <c r="A165" vm="206">
        <f ca="1"/>
        <v>45897</v>
      </c>
      <c r="B165" vm="423">
        <f ca="1"/>
        <v>8.25</v>
      </c>
    </row>
    <row r="166" spans="1:2" x14ac:dyDescent="0.25">
      <c r="A166" vm="210">
        <f ca="1"/>
        <v>45898</v>
      </c>
      <c r="B166" vm="243">
        <f ca="1"/>
        <v>8.34</v>
      </c>
    </row>
    <row r="167" spans="1:2" x14ac:dyDescent="0.25">
      <c r="A167" vm="216">
        <f ca="1"/>
        <v>45902</v>
      </c>
      <c r="B167" vm="539">
        <f ca="1"/>
        <v>8.11</v>
      </c>
    </row>
    <row r="168" spans="1:2" x14ac:dyDescent="0.25">
      <c r="A168" vm="223">
        <f ca="1"/>
        <v>45903</v>
      </c>
      <c r="B168" vm="431">
        <f ca="1"/>
        <v>8.1</v>
      </c>
    </row>
    <row r="169" spans="1:2" x14ac:dyDescent="0.25">
      <c r="A169" vm="229">
        <f ca="1"/>
        <v>45904</v>
      </c>
      <c r="B169" vm="475">
        <f ca="1"/>
        <v>8.14</v>
      </c>
    </row>
    <row r="170" spans="1:2" x14ac:dyDescent="0.25">
      <c r="A170" vm="235">
        <f ca="1"/>
        <v>45905</v>
      </c>
      <c r="B170" vm="539">
        <f ca="1"/>
        <v>8.11</v>
      </c>
    </row>
    <row r="171" spans="1:2" x14ac:dyDescent="0.25">
      <c r="A171" vm="242">
        <f ca="1"/>
        <v>45908</v>
      </c>
      <c r="B171" vm="697">
        <f ca="1"/>
        <v>8.2100000000000009</v>
      </c>
    </row>
    <row r="172" spans="1:2" x14ac:dyDescent="0.25">
      <c r="A172" vm="250">
        <f ca="1"/>
        <v>45909</v>
      </c>
      <c r="B172" vm="539">
        <f ca="1"/>
        <v>8.11</v>
      </c>
    </row>
    <row r="173" spans="1:2" x14ac:dyDescent="0.25">
      <c r="A173" vm="257">
        <f ca="1"/>
        <v>45910</v>
      </c>
      <c r="B173" vm="704">
        <f ca="1"/>
        <v>7.93</v>
      </c>
    </row>
    <row r="174" spans="1:2" x14ac:dyDescent="0.25">
      <c r="A174" vm="264">
        <f ca="1"/>
        <v>45911</v>
      </c>
      <c r="B174" vm="414">
        <f ca="1"/>
        <v>8.32</v>
      </c>
    </row>
    <row r="175" spans="1:2" x14ac:dyDescent="0.25">
      <c r="A175" vm="271">
        <f ca="1"/>
        <v>45912</v>
      </c>
      <c r="B175" vm="493">
        <f ca="1"/>
        <v>8.16</v>
      </c>
    </row>
    <row r="176" spans="1:2" x14ac:dyDescent="0.25">
      <c r="A176" vm="279">
        <f ca="1"/>
        <v>45915</v>
      </c>
      <c r="B176" vm="485">
        <f ca="1"/>
        <v>8.19</v>
      </c>
    </row>
    <row r="177" spans="1:2" x14ac:dyDescent="0.25">
      <c r="A177" vm="285">
        <f ca="1"/>
        <v>45916</v>
      </c>
      <c r="B177" vm="493">
        <f ca="1"/>
        <v>8.16</v>
      </c>
    </row>
    <row r="178" spans="1:2" x14ac:dyDescent="0.25">
      <c r="A178" vm="292">
        <f ca="1"/>
        <v>45917</v>
      </c>
      <c r="B178" vm="485">
        <f ca="1"/>
        <v>8.19</v>
      </c>
    </row>
    <row r="179" spans="1:2" x14ac:dyDescent="0.25">
      <c r="A179" vm="298">
        <f ca="1"/>
        <v>45918</v>
      </c>
      <c r="B179" vm="251">
        <f ca="1"/>
        <v>8.2200000000000006</v>
      </c>
    </row>
    <row r="180" spans="1:2" x14ac:dyDescent="0.25">
      <c r="A180" vm="303">
        <f ca="1"/>
        <v>45919</v>
      </c>
      <c r="B180" vm="475">
        <f ca="1"/>
        <v>8.14</v>
      </c>
    </row>
    <row r="181" spans="1:2" x14ac:dyDescent="0.25">
      <c r="A181" vm="310">
        <f ca="1"/>
        <v>45922</v>
      </c>
      <c r="B181" vm="396">
        <f ca="1"/>
        <v>8.08</v>
      </c>
    </row>
    <row r="182" spans="1:2" x14ac:dyDescent="0.25">
      <c r="A182" vm="317">
        <f ca="1"/>
        <v>45923</v>
      </c>
      <c r="B182" vm="499">
        <f ca="1"/>
        <v>8.23</v>
      </c>
    </row>
    <row r="183" spans="1:2" x14ac:dyDescent="0.25">
      <c r="A183" vm="323">
        <f ca="1"/>
        <v>45924</v>
      </c>
      <c r="B183" vm="259">
        <f ca="1"/>
        <v>8.24</v>
      </c>
    </row>
    <row r="184" spans="1:2" x14ac:dyDescent="0.25">
      <c r="A184" vm="328">
        <f ca="1"/>
        <v>45925</v>
      </c>
      <c r="B184" vm="477">
        <f ca="1"/>
        <v>8</v>
      </c>
    </row>
    <row r="185" spans="1:2" x14ac:dyDescent="0.25">
      <c r="A185" vm="334">
        <f ca="1"/>
        <v>45926</v>
      </c>
      <c r="B185" vm="475">
        <f ca="1"/>
        <v>8.14</v>
      </c>
    </row>
    <row r="186" spans="1:2" x14ac:dyDescent="0.25">
      <c r="A186" vm="340">
        <f ca="1"/>
        <v>45929</v>
      </c>
      <c r="B186" vm="1940">
        <f ca="1"/>
        <v>8.18</v>
      </c>
    </row>
    <row r="187" spans="1:2" x14ac:dyDescent="0.25">
      <c r="A187" vm="346">
        <f ca="1"/>
        <v>45930</v>
      </c>
      <c r="B187" vm="396">
        <f ca="1"/>
        <v>8.08</v>
      </c>
    </row>
    <row r="188" spans="1:2" x14ac:dyDescent="0.25">
      <c r="A188" vm="352">
        <f ca="1"/>
        <v>45931</v>
      </c>
      <c r="B188" vm="678">
        <f ca="1"/>
        <v>7.96</v>
      </c>
    </row>
    <row r="189" spans="1:2" x14ac:dyDescent="0.25">
      <c r="A189" vm="357">
        <f ca="1"/>
        <v>45932</v>
      </c>
      <c r="B189" vm="477">
        <f ca="1"/>
        <v>8</v>
      </c>
    </row>
    <row r="190" spans="1:2" x14ac:dyDescent="0.25">
      <c r="A190" vm="362">
        <f ca="1"/>
        <v>45933</v>
      </c>
      <c r="B190" vm="477">
        <f ca="1"/>
        <v>8</v>
      </c>
    </row>
    <row r="191" spans="1:2" x14ac:dyDescent="0.25">
      <c r="A191" vm="370">
        <f ca="1"/>
        <v>45936</v>
      </c>
      <c r="B191" vm="539">
        <f ca="1"/>
        <v>8.11</v>
      </c>
    </row>
    <row r="192" spans="1:2" x14ac:dyDescent="0.25">
      <c r="A192" vm="378">
        <f ca="1"/>
        <v>45937</v>
      </c>
      <c r="B192" vm="689">
        <f ca="1"/>
        <v>7.8</v>
      </c>
    </row>
    <row r="193" spans="1:2" x14ac:dyDescent="0.25">
      <c r="A193" vm="383">
        <f ca="1"/>
        <v>45938</v>
      </c>
      <c r="B193" vm="709">
        <f ca="1"/>
        <v>7.78</v>
      </c>
    </row>
    <row r="194" spans="1:2" x14ac:dyDescent="0.25">
      <c r="A194" vm="389">
        <f ca="1"/>
        <v>45939</v>
      </c>
      <c r="B194" vm="464">
        <f ca="1"/>
        <v>7.76</v>
      </c>
    </row>
    <row r="195" spans="1:2" x14ac:dyDescent="0.25">
      <c r="A195" vm="395">
        <f ca="1"/>
        <v>45940</v>
      </c>
      <c r="B195" vm="1705">
        <f ca="1"/>
        <v>7.54</v>
      </c>
    </row>
    <row r="196" spans="1:2" x14ac:dyDescent="0.25">
      <c r="A196" vm="402">
        <f ca="1"/>
        <v>45943</v>
      </c>
      <c r="B196" vm="1668">
        <f ca="1"/>
        <v>7.72</v>
      </c>
    </row>
    <row r="197" spans="1:2" x14ac:dyDescent="0.25">
      <c r="A197" vm="407">
        <f ca="1"/>
        <v>45944</v>
      </c>
      <c r="B197" vm="483">
        <f ca="1"/>
        <v>7.97</v>
      </c>
    </row>
    <row r="198" spans="1:2" x14ac:dyDescent="0.25">
      <c r="A198" vm="411">
        <f ca="1"/>
        <v>45945</v>
      </c>
      <c r="B198" vm="495">
        <f ca="1"/>
        <v>8.0500000000000007</v>
      </c>
    </row>
    <row r="199" spans="1:2" x14ac:dyDescent="0.25">
      <c r="A199" vm="416">
        <f ca="1"/>
        <v>45946</v>
      </c>
      <c r="B199" vm="483">
        <f ca="1"/>
        <v>7.97</v>
      </c>
    </row>
    <row r="200" spans="1:2" x14ac:dyDescent="0.25">
      <c r="A200" vm="422">
        <f ca="1"/>
        <v>45947</v>
      </c>
      <c r="B200" vm="425">
        <f ca="1"/>
        <v>8.09</v>
      </c>
    </row>
    <row r="201" spans="1:2" x14ac:dyDescent="0.25">
      <c r="A201" vm="430">
        <f ca="1"/>
        <v>45950</v>
      </c>
      <c r="B201" vm="698">
        <f ca="1"/>
        <v>8.1199999999999992</v>
      </c>
    </row>
    <row r="202" spans="1:2" x14ac:dyDescent="0.25">
      <c r="A202" vm="436">
        <f ca="1"/>
        <v>45951</v>
      </c>
      <c r="B202" vm="471">
        <f ca="1"/>
        <v>8.1300000000000008</v>
      </c>
    </row>
    <row r="203" spans="1:2" x14ac:dyDescent="0.25">
      <c r="A203" vm="442">
        <f ca="1"/>
        <v>45952</v>
      </c>
      <c r="B203" vm="690">
        <f ca="1"/>
        <v>7.98</v>
      </c>
    </row>
    <row r="204" spans="1:2" x14ac:dyDescent="0.25">
      <c r="A204" vm="448">
        <f ca="1"/>
        <v>45953</v>
      </c>
      <c r="B204" vm="693">
        <f ca="1"/>
        <v>7.9</v>
      </c>
    </row>
    <row r="205" spans="1:2" x14ac:dyDescent="0.25">
      <c r="A205" vm="455">
        <f ca="1"/>
        <v>45954</v>
      </c>
      <c r="B205" vm="1737">
        <f ca="1"/>
        <v>8.01</v>
      </c>
    </row>
    <row r="206" spans="1:2" x14ac:dyDescent="0.25">
      <c r="A206" vm="462">
        <f ca="1"/>
        <v>45957</v>
      </c>
      <c r="B206" vm="667">
        <f ca="1"/>
        <v>8.0399999999999991</v>
      </c>
    </row>
    <row r="207" spans="1:2" x14ac:dyDescent="0.25">
      <c r="A207" vm="467">
        <f ca="1"/>
        <v>45958</v>
      </c>
      <c r="B207" vm="471">
        <f ca="1"/>
        <v>8.1300000000000008</v>
      </c>
    </row>
    <row r="208" spans="1:2" x14ac:dyDescent="0.25">
      <c r="A208" vm="474">
        <f ca="1"/>
        <v>45959</v>
      </c>
      <c r="B208" vm="674">
        <f ca="1"/>
        <v>7.84</v>
      </c>
    </row>
    <row r="209" spans="1:2" x14ac:dyDescent="0.25">
      <c r="A209" vm="481">
        <f ca="1"/>
        <v>45960</v>
      </c>
      <c r="B209" vm="693">
        <f ca="1"/>
        <v>7.9</v>
      </c>
    </row>
    <row r="210" spans="1:2" x14ac:dyDescent="0.25">
      <c r="A210" vm="487">
        <f ca="1"/>
        <v>45961</v>
      </c>
      <c r="B210" vm="675">
        <f ca="1"/>
        <v>7.86</v>
      </c>
    </row>
    <row r="211" spans="1:2" x14ac:dyDescent="0.25">
      <c r="A211" vm="490">
        <f ca="1"/>
        <v>45964</v>
      </c>
      <c r="B211" vm="1283">
        <f ca="1"/>
        <v>7.67</v>
      </c>
    </row>
    <row r="212" spans="1:2" x14ac:dyDescent="0.25">
      <c r="A212" vm="494">
        <f ca="1"/>
        <v>45965</v>
      </c>
      <c r="B212" vm="1283">
        <f ca="1"/>
        <v>7.67</v>
      </c>
    </row>
    <row r="213" spans="1:2" x14ac:dyDescent="0.25">
      <c r="A213" vm="500">
        <f ca="1"/>
        <v>45966</v>
      </c>
      <c r="B213" vm="705">
        <f ca="1"/>
        <v>7.91</v>
      </c>
    </row>
    <row r="214" spans="1:2" x14ac:dyDescent="0.25">
      <c r="A214" vm="506">
        <f ca="1"/>
        <v>45967</v>
      </c>
      <c r="B214" vm="473">
        <f ca="1"/>
        <v>7.77</v>
      </c>
    </row>
    <row r="215" spans="1:2" x14ac:dyDescent="0.25">
      <c r="A215" vm="510">
        <f ca="1"/>
        <v>45968</v>
      </c>
      <c r="B215" vm="678">
        <f ca="1"/>
        <v>7.96</v>
      </c>
    </row>
    <row r="216" spans="1:2" x14ac:dyDescent="0.25">
      <c r="A216" vm="514">
        <f ca="1"/>
        <v>45971</v>
      </c>
      <c r="B216" vm="677">
        <f ca="1"/>
        <v>7.65</v>
      </c>
    </row>
    <row r="217" spans="1:2" x14ac:dyDescent="0.25">
      <c r="A217" vm="518">
        <f ca="1"/>
        <v>45972</v>
      </c>
      <c r="B217" vm="694">
        <f ca="1"/>
        <v>7.87</v>
      </c>
    </row>
    <row r="218" spans="1:2" x14ac:dyDescent="0.25">
      <c r="A218" vm="521">
        <f ca="1"/>
        <v>45973</v>
      </c>
      <c r="B218" vm="1942">
        <f ca="1"/>
        <v>7.37</v>
      </c>
    </row>
    <row r="219" spans="1:2" x14ac:dyDescent="0.25">
      <c r="A219" vm="525">
        <f ca="1"/>
        <v>45974</v>
      </c>
      <c r="B219" vm="1948">
        <f ca="1"/>
        <v>7.17</v>
      </c>
    </row>
    <row r="220" spans="1:2" x14ac:dyDescent="0.25">
      <c r="A220" vm="528">
        <f ca="1"/>
        <v>45975</v>
      </c>
      <c r="B220" vm="1428">
        <f ca="1"/>
        <v>7.18</v>
      </c>
    </row>
    <row r="221" spans="1:2" x14ac:dyDescent="0.25">
      <c r="A221" vm="533">
        <f ca="1"/>
        <v>45978</v>
      </c>
      <c r="B221" vm="429">
        <f ca="1"/>
        <v>7.14</v>
      </c>
    </row>
    <row r="222" spans="1:2" x14ac:dyDescent="0.25">
      <c r="A222" vm="540">
        <f ca="1"/>
        <v>45979</v>
      </c>
      <c r="B222" vm="1268">
        <f ca="1"/>
        <v>6.98</v>
      </c>
    </row>
    <row r="223" spans="1:2" x14ac:dyDescent="0.25">
      <c r="A223" vm="543">
        <f ca="1"/>
        <v>45980</v>
      </c>
      <c r="B223" vm="776">
        <f ca="1"/>
        <v>6.93</v>
      </c>
    </row>
    <row r="224" spans="1:2" x14ac:dyDescent="0.25">
      <c r="A224" vm="548">
        <f ca="1"/>
        <v>45981</v>
      </c>
      <c r="B224" vm="441">
        <f ca="1"/>
        <v>6.83</v>
      </c>
    </row>
    <row r="225" spans="1:2" x14ac:dyDescent="0.25">
      <c r="A225" vm="553">
        <f ca="1"/>
        <v>45982</v>
      </c>
      <c r="B225" vm="727">
        <f ca="1"/>
        <v>7.11</v>
      </c>
    </row>
    <row r="226" spans="1:2" x14ac:dyDescent="0.25">
      <c r="A226" vm="559">
        <f ca="1"/>
        <v>45985</v>
      </c>
      <c r="B226" vm="1436">
        <f ca="1"/>
        <v>7.32</v>
      </c>
    </row>
    <row r="227" spans="1:2" x14ac:dyDescent="0.25">
      <c r="A227" vm="562">
        <f ca="1"/>
        <v>45986</v>
      </c>
      <c r="B227" vm="719">
        <f ca="1"/>
        <v>7.74</v>
      </c>
    </row>
    <row r="228" spans="1:2" x14ac:dyDescent="0.25">
      <c r="A228" vm="566">
        <f ca="1"/>
        <v>45987</v>
      </c>
      <c r="B228" vm="682">
        <f ca="1"/>
        <v>7.7</v>
      </c>
    </row>
    <row r="229" spans="1:2" x14ac:dyDescent="0.25">
      <c r="A229" vm="572">
        <f ca="1"/>
        <v>45989</v>
      </c>
      <c r="B229" vm="452">
        <f ca="1"/>
        <v>7.71</v>
      </c>
    </row>
    <row r="230" spans="1:2" x14ac:dyDescent="0.25">
      <c r="A230" vm="574">
        <f ca="1"/>
        <v>45992</v>
      </c>
      <c r="B230" vm="709">
        <f ca="1"/>
        <v>7.78</v>
      </c>
    </row>
    <row r="231" spans="1:2" x14ac:dyDescent="0.25">
      <c r="A231" vm="579">
        <f ca="1"/>
        <v>45993</v>
      </c>
      <c r="B231" vm="704">
        <f ca="1"/>
        <v>7.93</v>
      </c>
    </row>
    <row r="232" spans="1:2" x14ac:dyDescent="0.25">
      <c r="A232" vm="581">
        <f ca="1"/>
        <v>45994</v>
      </c>
      <c r="B232" vm="477">
        <f ca="1"/>
        <v>8</v>
      </c>
    </row>
    <row r="233" spans="1:2" x14ac:dyDescent="0.25">
      <c r="A233" vm="585">
        <f ca="1"/>
        <v>45995</v>
      </c>
      <c r="B233" vm="427">
        <f ca="1"/>
        <v>7.88</v>
      </c>
    </row>
    <row r="234" spans="1:2" x14ac:dyDescent="0.25">
      <c r="A234" vm="590">
        <f ca="1"/>
        <v>45996</v>
      </c>
      <c r="B234" vm="1682">
        <f ca="1"/>
        <v>7.92</v>
      </c>
    </row>
    <row r="235" spans="1:2" x14ac:dyDescent="0.25">
      <c r="A235" vm="595">
        <f ca="1"/>
        <v>45999</v>
      </c>
      <c r="B235" vm="1949">
        <f ca="1"/>
        <v>7.41</v>
      </c>
    </row>
  </sheetData>
  <pageMargins left="0.75" right="0.75" top="1" bottom="1" header="0.5" footer="0.5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workbookViewId="0"/>
  </sheetViews>
  <sheetFormatPr defaultRowHeight="15" x14ac:dyDescent="0.25"/>
  <sheetData>
    <row r="1" spans="1:1" x14ac:dyDescent="0.25">
      <c r="A1" t="e">
        <f ca="1">_xludf.STOCKHISTORY("TMC", DATE(YEAR(TODAY()),1,1), TODAY(), 0, 1, 0, 5)</f>
        <v>#NAME?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workbookViewId="0"/>
  </sheetViews>
  <sheetFormatPr defaultRowHeight="15" x14ac:dyDescent="0.25"/>
  <sheetData>
    <row r="1" spans="1:1" x14ac:dyDescent="0.25">
      <c r="A1" t="e">
        <f ca="1">_xludf.STOCKHISTORY("FOLD", DATE(YEAR(TODAY()),1,1), TODAY(), 0, 1, 0, 5)</f>
        <v>#NAME?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"/>
  <sheetViews>
    <sheetView workbookViewId="0"/>
  </sheetViews>
  <sheetFormatPr defaultRowHeight="15" x14ac:dyDescent="0.25"/>
  <sheetData>
    <row r="1" spans="1:1" x14ac:dyDescent="0.25">
      <c r="A1" t="e">
        <f ca="1">_xludf.STOCKHISTORY("NUVB", DATE(YEAR(TODAY()),1,1), TODAY(), 0, 1, 0, 5)</f>
        <v>#NAME?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Master</vt:lpstr>
      <vt:lpstr>CRGY</vt:lpstr>
      <vt:lpstr>LFST</vt:lpstr>
      <vt:lpstr>NG</vt:lpstr>
      <vt:lpstr>BGC</vt:lpstr>
      <vt:lpstr>ONDS</vt:lpstr>
      <vt:lpstr>VNET</vt:lpstr>
      <vt:lpstr>IBRX</vt:lpstr>
      <vt:lpstr>PAYO</vt:lpstr>
      <vt:lpstr>BULL</vt:lpstr>
      <vt:lpstr>IEP</vt:lpstr>
      <vt:lpstr>GBTG</vt:lpstr>
      <vt:lpstr>TMC</vt:lpstr>
      <vt:lpstr>FOLD</vt:lpstr>
      <vt:lpstr>NUVB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David Jackson</cp:lastModifiedBy>
  <dcterms:created xsi:type="dcterms:W3CDTF">2025-12-06T02:44:28Z</dcterms:created>
  <dcterms:modified xsi:type="dcterms:W3CDTF">2025-12-09T05:05:24Z</dcterms:modified>
</cp:coreProperties>
</file>