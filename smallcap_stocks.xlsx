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ocuments\r_tradingeview\"/>
    </mc:Choice>
  </mc:AlternateContent>
  <xr:revisionPtr revIDLastSave="0" documentId="13_ncr:1_{81083693-09D8-42DE-A384-D0DF7D270693}" xr6:coauthVersionLast="47" xr6:coauthVersionMax="47" xr10:uidLastSave="{00000000-0000-0000-0000-000000000000}"/>
  <bookViews>
    <workbookView xWindow="150" yWindow="90" windowWidth="12795" windowHeight="10620" firstSheet="1" activeTab="2" xr2:uid="{00000000-000D-0000-FFFF-FFFF00000000}"/>
  </bookViews>
  <sheets>
    <sheet name="Master" sheetId="1" r:id="rId1"/>
    <sheet name="CRGY" sheetId="2" r:id="rId2"/>
    <sheet name="Ford" sheetId="3" r:id="rId3"/>
    <sheet name="NG" sheetId="11" r:id="rId4"/>
    <sheet name="BGC" sheetId="10" r:id="rId5"/>
    <sheet name="ONDS" sheetId="12" r:id="rId6"/>
    <sheet name="VNET" sheetId="4" r:id="rId7"/>
    <sheet name="GBTG" sheetId="9" r:id="rId8"/>
    <sheet name="TMC" sheetId="13" r:id="rId9"/>
    <sheet name="FOLD" sheetId="14" r:id="rId10"/>
    <sheet name="NUVB" sheetId="15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15" a="1"/>
  <c r="A2" i="11" a="1"/>
  <c r="A2" i="2" a="1"/>
  <c r="A1" i="14" a="1"/>
  <c r="A1" i="13" a="1"/>
  <c r="A1" i="9" a="1"/>
  <c r="A2" i="12" a="1"/>
  <c r="A1" i="4" a="1"/>
  <c r="C2" i="4" a="1"/>
  <c r="A2" i="10" a="1"/>
  <c r="I7" i="3" l="1"/>
  <c r="I15" i="3"/>
  <c r="I23" i="3"/>
  <c r="I31" i="3"/>
  <c r="I39" i="3"/>
  <c r="I47" i="3"/>
  <c r="I55" i="3"/>
  <c r="I63" i="3"/>
  <c r="I71" i="3"/>
  <c r="I79" i="3"/>
  <c r="I87" i="3"/>
  <c r="I95" i="3"/>
  <c r="I103" i="3"/>
  <c r="I111" i="3"/>
  <c r="I119" i="3"/>
  <c r="I127" i="3"/>
  <c r="I135" i="3"/>
  <c r="I143" i="3"/>
  <c r="I151" i="3"/>
  <c r="I159" i="3"/>
  <c r="I167" i="3"/>
  <c r="I175" i="3"/>
  <c r="I183" i="3"/>
  <c r="I191" i="3"/>
  <c r="I199" i="3"/>
  <c r="I207" i="3"/>
  <c r="I215" i="3"/>
  <c r="I223" i="3"/>
  <c r="I231" i="3"/>
  <c r="I17" i="3"/>
  <c r="I33" i="3"/>
  <c r="I41" i="3"/>
  <c r="I57" i="3"/>
  <c r="I73" i="3"/>
  <c r="I89" i="3"/>
  <c r="I105" i="3"/>
  <c r="I121" i="3"/>
  <c r="I129" i="3"/>
  <c r="I145" i="3"/>
  <c r="I161" i="3"/>
  <c r="I169" i="3"/>
  <c r="I185" i="3"/>
  <c r="I201" i="3"/>
  <c r="I217" i="3"/>
  <c r="I107" i="3"/>
  <c r="I123" i="3"/>
  <c r="I147" i="3"/>
  <c r="I179" i="3"/>
  <c r="I203" i="3"/>
  <c r="I235" i="3"/>
  <c r="I181" i="3"/>
  <c r="I205" i="3"/>
  <c r="I14" i="3"/>
  <c r="I62" i="3"/>
  <c r="I118" i="3"/>
  <c r="I158" i="3"/>
  <c r="I206" i="3"/>
  <c r="I8" i="3"/>
  <c r="I16" i="3"/>
  <c r="I24" i="3"/>
  <c r="I32" i="3"/>
  <c r="I40" i="3"/>
  <c r="I48" i="3"/>
  <c r="I56" i="3"/>
  <c r="I64" i="3"/>
  <c r="I72" i="3"/>
  <c r="I80" i="3"/>
  <c r="I88" i="3"/>
  <c r="I96" i="3"/>
  <c r="I104" i="3"/>
  <c r="I112" i="3"/>
  <c r="I120" i="3"/>
  <c r="I128" i="3"/>
  <c r="I136" i="3"/>
  <c r="I144" i="3"/>
  <c r="I152" i="3"/>
  <c r="I160" i="3"/>
  <c r="I168" i="3"/>
  <c r="I176" i="3"/>
  <c r="I184" i="3"/>
  <c r="I192" i="3"/>
  <c r="I200" i="3"/>
  <c r="I208" i="3"/>
  <c r="I216" i="3"/>
  <c r="I224" i="3"/>
  <c r="I232" i="3"/>
  <c r="I25" i="3"/>
  <c r="I49" i="3"/>
  <c r="I65" i="3"/>
  <c r="I81" i="3"/>
  <c r="I97" i="3"/>
  <c r="I113" i="3"/>
  <c r="I137" i="3"/>
  <c r="I153" i="3"/>
  <c r="I177" i="3"/>
  <c r="I193" i="3"/>
  <c r="I209" i="3"/>
  <c r="I233" i="3"/>
  <c r="I115" i="3"/>
  <c r="I139" i="3"/>
  <c r="I163" i="3"/>
  <c r="I195" i="3"/>
  <c r="I227" i="3"/>
  <c r="I165" i="3"/>
  <c r="I197" i="3"/>
  <c r="I237" i="3"/>
  <c r="I54" i="3"/>
  <c r="I70" i="3"/>
  <c r="I110" i="3"/>
  <c r="I166" i="3"/>
  <c r="I214" i="3"/>
  <c r="I9" i="3"/>
  <c r="I225" i="3"/>
  <c r="I155" i="3"/>
  <c r="I187" i="3"/>
  <c r="I219" i="3"/>
  <c r="I173" i="3"/>
  <c r="I213" i="3"/>
  <c r="I30" i="3"/>
  <c r="I102" i="3"/>
  <c r="I150" i="3"/>
  <c r="I190" i="3"/>
  <c r="I10" i="3"/>
  <c r="I18" i="3"/>
  <c r="I26" i="3"/>
  <c r="I34" i="3"/>
  <c r="I42" i="3"/>
  <c r="I50" i="3"/>
  <c r="I58" i="3"/>
  <c r="I66" i="3"/>
  <c r="I74" i="3"/>
  <c r="I82" i="3"/>
  <c r="I90" i="3"/>
  <c r="I98" i="3"/>
  <c r="I106" i="3"/>
  <c r="I114" i="3"/>
  <c r="I122" i="3"/>
  <c r="I130" i="3"/>
  <c r="I138" i="3"/>
  <c r="I146" i="3"/>
  <c r="I154" i="3"/>
  <c r="I162" i="3"/>
  <c r="I170" i="3"/>
  <c r="I178" i="3"/>
  <c r="I186" i="3"/>
  <c r="I194" i="3"/>
  <c r="I202" i="3"/>
  <c r="I210" i="3"/>
  <c r="I218" i="3"/>
  <c r="I226" i="3"/>
  <c r="I234" i="3"/>
  <c r="I19" i="3"/>
  <c r="I27" i="3"/>
  <c r="I35" i="3"/>
  <c r="I43" i="3"/>
  <c r="I51" i="3"/>
  <c r="I59" i="3"/>
  <c r="I67" i="3"/>
  <c r="I75" i="3"/>
  <c r="I83" i="3"/>
  <c r="I91" i="3"/>
  <c r="I38" i="3"/>
  <c r="I78" i="3"/>
  <c r="I126" i="3"/>
  <c r="I198" i="3"/>
  <c r="I11" i="3"/>
  <c r="I99" i="3"/>
  <c r="I131" i="3"/>
  <c r="I171" i="3"/>
  <c r="I211" i="3"/>
  <c r="I157" i="3"/>
  <c r="I229" i="3"/>
  <c r="I46" i="3"/>
  <c r="I94" i="3"/>
  <c r="I142" i="3"/>
  <c r="I182" i="3"/>
  <c r="I230" i="3"/>
  <c r="I12" i="3"/>
  <c r="I20" i="3"/>
  <c r="I28" i="3"/>
  <c r="I36" i="3"/>
  <c r="I44" i="3"/>
  <c r="I52" i="3"/>
  <c r="I60" i="3"/>
  <c r="I68" i="3"/>
  <c r="I76" i="3"/>
  <c r="I84" i="3"/>
  <c r="I92" i="3"/>
  <c r="I100" i="3"/>
  <c r="I108" i="3"/>
  <c r="I116" i="3"/>
  <c r="I124" i="3"/>
  <c r="I132" i="3"/>
  <c r="I140" i="3"/>
  <c r="I148" i="3"/>
  <c r="I156" i="3"/>
  <c r="I164" i="3"/>
  <c r="I172" i="3"/>
  <c r="I180" i="3"/>
  <c r="I188" i="3"/>
  <c r="I196" i="3"/>
  <c r="I204" i="3"/>
  <c r="I212" i="3"/>
  <c r="I220" i="3"/>
  <c r="I228" i="3"/>
  <c r="I236" i="3"/>
  <c r="I13" i="3"/>
  <c r="I21" i="3"/>
  <c r="I29" i="3"/>
  <c r="I37" i="3"/>
  <c r="I45" i="3"/>
  <c r="I53" i="3"/>
  <c r="I61" i="3"/>
  <c r="I69" i="3"/>
  <c r="I77" i="3"/>
  <c r="I85" i="3"/>
  <c r="I93" i="3"/>
  <c r="I101" i="3"/>
  <c r="I109" i="3"/>
  <c r="I117" i="3"/>
  <c r="I125" i="3"/>
  <c r="I133" i="3"/>
  <c r="I141" i="3"/>
  <c r="I149" i="3"/>
  <c r="I189" i="3"/>
  <c r="I221" i="3"/>
  <c r="I22" i="3"/>
  <c r="I86" i="3"/>
  <c r="I134" i="3"/>
  <c r="I174" i="3"/>
  <c r="I222" i="3"/>
  <c r="I6" i="3"/>
  <c r="F3" i="3"/>
  <c r="F11" i="3"/>
  <c r="F19" i="3"/>
  <c r="F27" i="3"/>
  <c r="F35" i="3"/>
  <c r="F43" i="3"/>
  <c r="F51" i="3"/>
  <c r="F59" i="3"/>
  <c r="F67" i="3"/>
  <c r="F75" i="3"/>
  <c r="F83" i="3"/>
  <c r="F91" i="3"/>
  <c r="F99" i="3"/>
  <c r="F107" i="3"/>
  <c r="F115" i="3"/>
  <c r="F123" i="3"/>
  <c r="F131" i="3"/>
  <c r="F139" i="3"/>
  <c r="F147" i="3"/>
  <c r="F155" i="3"/>
  <c r="F163" i="3"/>
  <c r="F171" i="3"/>
  <c r="F179" i="3"/>
  <c r="F187" i="3"/>
  <c r="F195" i="3"/>
  <c r="F203" i="3"/>
  <c r="F211" i="3"/>
  <c r="F219" i="3"/>
  <c r="F227" i="3"/>
  <c r="F235" i="3"/>
  <c r="F199" i="3"/>
  <c r="F4" i="3"/>
  <c r="F12" i="3"/>
  <c r="F20" i="3"/>
  <c r="F28" i="3"/>
  <c r="F36" i="3"/>
  <c r="F44" i="3"/>
  <c r="F52" i="3"/>
  <c r="F60" i="3"/>
  <c r="F68" i="3"/>
  <c r="F76" i="3"/>
  <c r="F84" i="3"/>
  <c r="F92" i="3"/>
  <c r="F100" i="3"/>
  <c r="F108" i="3"/>
  <c r="F116" i="3"/>
  <c r="F124" i="3"/>
  <c r="F132" i="3"/>
  <c r="F140" i="3"/>
  <c r="F148" i="3"/>
  <c r="F156" i="3"/>
  <c r="F164" i="3"/>
  <c r="F172" i="3"/>
  <c r="F180" i="3"/>
  <c r="F188" i="3"/>
  <c r="F196" i="3"/>
  <c r="F204" i="3"/>
  <c r="F212" i="3"/>
  <c r="F220" i="3"/>
  <c r="F228" i="3"/>
  <c r="F236" i="3"/>
  <c r="F70" i="3"/>
  <c r="F118" i="3"/>
  <c r="F142" i="3"/>
  <c r="F182" i="3"/>
  <c r="F206" i="3"/>
  <c r="F230" i="3"/>
  <c r="F23" i="3"/>
  <c r="F31" i="3"/>
  <c r="F47" i="3"/>
  <c r="F71" i="3"/>
  <c r="F95" i="3"/>
  <c r="F127" i="3"/>
  <c r="F143" i="3"/>
  <c r="F167" i="3"/>
  <c r="F207" i="3"/>
  <c r="F5" i="3"/>
  <c r="F13" i="3"/>
  <c r="F21" i="3"/>
  <c r="F29" i="3"/>
  <c r="F37" i="3"/>
  <c r="F45" i="3"/>
  <c r="F53" i="3"/>
  <c r="F61" i="3"/>
  <c r="F69" i="3"/>
  <c r="F77" i="3"/>
  <c r="F85" i="3"/>
  <c r="F93" i="3"/>
  <c r="F101" i="3"/>
  <c r="F109" i="3"/>
  <c r="F117" i="3"/>
  <c r="F125" i="3"/>
  <c r="F133" i="3"/>
  <c r="F141" i="3"/>
  <c r="F149" i="3"/>
  <c r="F157" i="3"/>
  <c r="F165" i="3"/>
  <c r="F173" i="3"/>
  <c r="F181" i="3"/>
  <c r="F189" i="3"/>
  <c r="F197" i="3"/>
  <c r="F205" i="3"/>
  <c r="F213" i="3"/>
  <c r="F221" i="3"/>
  <c r="F229" i="3"/>
  <c r="F237" i="3"/>
  <c r="F78" i="3"/>
  <c r="F110" i="3"/>
  <c r="F134" i="3"/>
  <c r="F158" i="3"/>
  <c r="F174" i="3"/>
  <c r="F190" i="3"/>
  <c r="F214" i="3"/>
  <c r="F222" i="3"/>
  <c r="F7" i="3"/>
  <c r="F39" i="3"/>
  <c r="F63" i="3"/>
  <c r="F79" i="3"/>
  <c r="F103" i="3"/>
  <c r="F119" i="3"/>
  <c r="F151" i="3"/>
  <c r="F183" i="3"/>
  <c r="F231" i="3"/>
  <c r="F6" i="3"/>
  <c r="F14" i="3"/>
  <c r="F22" i="3"/>
  <c r="F30" i="3"/>
  <c r="F38" i="3"/>
  <c r="F46" i="3"/>
  <c r="F54" i="3"/>
  <c r="F62" i="3"/>
  <c r="F86" i="3"/>
  <c r="F94" i="3"/>
  <c r="F102" i="3"/>
  <c r="F126" i="3"/>
  <c r="F150" i="3"/>
  <c r="F166" i="3"/>
  <c r="F198" i="3"/>
  <c r="F15" i="3"/>
  <c r="F55" i="3"/>
  <c r="F87" i="3"/>
  <c r="F111" i="3"/>
  <c r="F135" i="3"/>
  <c r="F159" i="3"/>
  <c r="F191" i="3"/>
  <c r="F8" i="3"/>
  <c r="F16" i="3"/>
  <c r="F24" i="3"/>
  <c r="F32" i="3"/>
  <c r="F40" i="3"/>
  <c r="F48" i="3"/>
  <c r="F56" i="3"/>
  <c r="F64" i="3"/>
  <c r="F72" i="3"/>
  <c r="F80" i="3"/>
  <c r="F88" i="3"/>
  <c r="F96" i="3"/>
  <c r="F104" i="3"/>
  <c r="F112" i="3"/>
  <c r="F120" i="3"/>
  <c r="F128" i="3"/>
  <c r="F136" i="3"/>
  <c r="F144" i="3"/>
  <c r="F152" i="3"/>
  <c r="F160" i="3"/>
  <c r="F168" i="3"/>
  <c r="F176" i="3"/>
  <c r="F184" i="3"/>
  <c r="F192" i="3"/>
  <c r="F200" i="3"/>
  <c r="F208" i="3"/>
  <c r="F216" i="3"/>
  <c r="F224" i="3"/>
  <c r="F232" i="3"/>
  <c r="F18" i="3"/>
  <c r="F34" i="3"/>
  <c r="F50" i="3"/>
  <c r="F66" i="3"/>
  <c r="F82" i="3"/>
  <c r="F98" i="3"/>
  <c r="F114" i="3"/>
  <c r="F130" i="3"/>
  <c r="F146" i="3"/>
  <c r="F170" i="3"/>
  <c r="F186" i="3"/>
  <c r="F210" i="3"/>
  <c r="F218" i="3"/>
  <c r="F234" i="3"/>
  <c r="F215" i="3"/>
  <c r="F9" i="3"/>
  <c r="F17" i="3"/>
  <c r="F25" i="3"/>
  <c r="F33" i="3"/>
  <c r="F41" i="3"/>
  <c r="F49" i="3"/>
  <c r="F57" i="3"/>
  <c r="F65" i="3"/>
  <c r="F73" i="3"/>
  <c r="F81" i="3"/>
  <c r="F89" i="3"/>
  <c r="F97" i="3"/>
  <c r="F105" i="3"/>
  <c r="F113" i="3"/>
  <c r="F121" i="3"/>
  <c r="F129" i="3"/>
  <c r="F137" i="3"/>
  <c r="F145" i="3"/>
  <c r="F153" i="3"/>
  <c r="F161" i="3"/>
  <c r="F169" i="3"/>
  <c r="F177" i="3"/>
  <c r="F185" i="3"/>
  <c r="F193" i="3"/>
  <c r="F201" i="3"/>
  <c r="F209" i="3"/>
  <c r="F217" i="3"/>
  <c r="F225" i="3"/>
  <c r="F233" i="3"/>
  <c r="F10" i="3"/>
  <c r="F26" i="3"/>
  <c r="F42" i="3"/>
  <c r="F58" i="3"/>
  <c r="F74" i="3"/>
  <c r="F90" i="3"/>
  <c r="F106" i="3"/>
  <c r="F122" i="3"/>
  <c r="F138" i="3"/>
  <c r="F154" i="3"/>
  <c r="F162" i="3"/>
  <c r="F178" i="3"/>
  <c r="F194" i="3"/>
  <c r="F202" i="3"/>
  <c r="F226" i="3"/>
  <c r="F175" i="3"/>
  <c r="F223" i="3"/>
  <c r="F2" i="3"/>
  <c r="D3" i="3"/>
  <c r="D11" i="3"/>
  <c r="D19" i="3"/>
  <c r="D27" i="3"/>
  <c r="D35" i="3"/>
  <c r="D43" i="3"/>
  <c r="D51" i="3"/>
  <c r="D59" i="3"/>
  <c r="D67" i="3"/>
  <c r="D75" i="3"/>
  <c r="D83" i="3"/>
  <c r="D91" i="3"/>
  <c r="D99" i="3"/>
  <c r="D107" i="3"/>
  <c r="D115" i="3"/>
  <c r="D123" i="3"/>
  <c r="D131" i="3"/>
  <c r="D139" i="3"/>
  <c r="D147" i="3"/>
  <c r="D155" i="3"/>
  <c r="D163" i="3"/>
  <c r="D171" i="3"/>
  <c r="D179" i="3"/>
  <c r="D187" i="3"/>
  <c r="D195" i="3"/>
  <c r="D203" i="3"/>
  <c r="D211" i="3"/>
  <c r="D219" i="3"/>
  <c r="D227" i="3"/>
  <c r="D235" i="3"/>
  <c r="D12" i="3"/>
  <c r="D20" i="3"/>
  <c r="D36" i="3"/>
  <c r="D52" i="3"/>
  <c r="D68" i="3"/>
  <c r="D108" i="3"/>
  <c r="D124" i="3"/>
  <c r="D140" i="3"/>
  <c r="D156" i="3"/>
  <c r="D172" i="3"/>
  <c r="D180" i="3"/>
  <c r="D196" i="3"/>
  <c r="D220" i="3"/>
  <c r="D236" i="3"/>
  <c r="D13" i="3"/>
  <c r="D21" i="3"/>
  <c r="D37" i="3"/>
  <c r="D53" i="3"/>
  <c r="D69" i="3"/>
  <c r="D85" i="3"/>
  <c r="D101" i="3"/>
  <c r="D117" i="3"/>
  <c r="D133" i="3"/>
  <c r="D149" i="3"/>
  <c r="D165" i="3"/>
  <c r="D181" i="3"/>
  <c r="D197" i="3"/>
  <c r="D213" i="3"/>
  <c r="D229" i="3"/>
  <c r="D14" i="3"/>
  <c r="D30" i="3"/>
  <c r="D46" i="3"/>
  <c r="D62" i="3"/>
  <c r="D86" i="3"/>
  <c r="D102" i="3"/>
  <c r="D118" i="3"/>
  <c r="D134" i="3"/>
  <c r="D150" i="3"/>
  <c r="D166" i="3"/>
  <c r="D182" i="3"/>
  <c r="D198" i="3"/>
  <c r="D214" i="3"/>
  <c r="D222" i="3"/>
  <c r="D230" i="3"/>
  <c r="D49" i="3"/>
  <c r="D73" i="3"/>
  <c r="D89" i="3"/>
  <c r="D113" i="3"/>
  <c r="D129" i="3"/>
  <c r="D145" i="3"/>
  <c r="D177" i="3"/>
  <c r="D193" i="3"/>
  <c r="D225" i="3"/>
  <c r="D6" i="3"/>
  <c r="D78" i="3"/>
  <c r="D161" i="3"/>
  <c r="D201" i="3"/>
  <c r="D7" i="3"/>
  <c r="D15" i="3"/>
  <c r="D23" i="3"/>
  <c r="D31" i="3"/>
  <c r="D39" i="3"/>
  <c r="D47" i="3"/>
  <c r="D55" i="3"/>
  <c r="D63" i="3"/>
  <c r="D71" i="3"/>
  <c r="D79" i="3"/>
  <c r="D87" i="3"/>
  <c r="D95" i="3"/>
  <c r="D103" i="3"/>
  <c r="D111" i="3"/>
  <c r="D119" i="3"/>
  <c r="D127" i="3"/>
  <c r="D135" i="3"/>
  <c r="D143" i="3"/>
  <c r="D151" i="3"/>
  <c r="D159" i="3"/>
  <c r="D167" i="3"/>
  <c r="D175" i="3"/>
  <c r="D183" i="3"/>
  <c r="D191" i="3"/>
  <c r="D199" i="3"/>
  <c r="D207" i="3"/>
  <c r="D215" i="3"/>
  <c r="D223" i="3"/>
  <c r="D231" i="3"/>
  <c r="D8" i="3"/>
  <c r="D16" i="3"/>
  <c r="D24" i="3"/>
  <c r="D32" i="3"/>
  <c r="D40" i="3"/>
  <c r="D48" i="3"/>
  <c r="D56" i="3"/>
  <c r="D64" i="3"/>
  <c r="D72" i="3"/>
  <c r="D80" i="3"/>
  <c r="D88" i="3"/>
  <c r="D96" i="3"/>
  <c r="D104" i="3"/>
  <c r="D112" i="3"/>
  <c r="D120" i="3"/>
  <c r="D128" i="3"/>
  <c r="D136" i="3"/>
  <c r="D144" i="3"/>
  <c r="D152" i="3"/>
  <c r="D160" i="3"/>
  <c r="D168" i="3"/>
  <c r="D176" i="3"/>
  <c r="D184" i="3"/>
  <c r="D192" i="3"/>
  <c r="D200" i="3"/>
  <c r="D208" i="3"/>
  <c r="D216" i="3"/>
  <c r="D224" i="3"/>
  <c r="D232" i="3"/>
  <c r="D9" i="3"/>
  <c r="D17" i="3"/>
  <c r="D25" i="3"/>
  <c r="D33" i="3"/>
  <c r="D41" i="3"/>
  <c r="D97" i="3"/>
  <c r="D153" i="3"/>
  <c r="D217" i="3"/>
  <c r="D10" i="3"/>
  <c r="D18" i="3"/>
  <c r="D26" i="3"/>
  <c r="D34" i="3"/>
  <c r="D42" i="3"/>
  <c r="D50" i="3"/>
  <c r="D58" i="3"/>
  <c r="D66" i="3"/>
  <c r="D74" i="3"/>
  <c r="D82" i="3"/>
  <c r="D90" i="3"/>
  <c r="D98" i="3"/>
  <c r="D106" i="3"/>
  <c r="D114" i="3"/>
  <c r="D122" i="3"/>
  <c r="D130" i="3"/>
  <c r="D138" i="3"/>
  <c r="D146" i="3"/>
  <c r="D154" i="3"/>
  <c r="D162" i="3"/>
  <c r="D170" i="3"/>
  <c r="D178" i="3"/>
  <c r="D186" i="3"/>
  <c r="D194" i="3"/>
  <c r="D202" i="3"/>
  <c r="D210" i="3"/>
  <c r="D218" i="3"/>
  <c r="D226" i="3"/>
  <c r="D234" i="3"/>
  <c r="D4" i="3"/>
  <c r="D28" i="3"/>
  <c r="D44" i="3"/>
  <c r="D60" i="3"/>
  <c r="D76" i="3"/>
  <c r="D84" i="3"/>
  <c r="D92" i="3"/>
  <c r="D100" i="3"/>
  <c r="D116" i="3"/>
  <c r="D132" i="3"/>
  <c r="D148" i="3"/>
  <c r="D164" i="3"/>
  <c r="D188" i="3"/>
  <c r="D204" i="3"/>
  <c r="D212" i="3"/>
  <c r="D228" i="3"/>
  <c r="D5" i="3"/>
  <c r="D29" i="3"/>
  <c r="D45" i="3"/>
  <c r="D61" i="3"/>
  <c r="D77" i="3"/>
  <c r="D93" i="3"/>
  <c r="D109" i="3"/>
  <c r="D125" i="3"/>
  <c r="D141" i="3"/>
  <c r="D157" i="3"/>
  <c r="D173" i="3"/>
  <c r="D189" i="3"/>
  <c r="D205" i="3"/>
  <c r="D221" i="3"/>
  <c r="D237" i="3"/>
  <c r="D22" i="3"/>
  <c r="D38" i="3"/>
  <c r="D54" i="3"/>
  <c r="D70" i="3"/>
  <c r="D94" i="3"/>
  <c r="D110" i="3"/>
  <c r="D126" i="3"/>
  <c r="D142" i="3"/>
  <c r="D158" i="3"/>
  <c r="D174" i="3"/>
  <c r="D190" i="3"/>
  <c r="D206" i="3"/>
  <c r="D57" i="3"/>
  <c r="D65" i="3"/>
  <c r="D81" i="3"/>
  <c r="D105" i="3"/>
  <c r="D121" i="3"/>
  <c r="D137" i="3"/>
  <c r="D169" i="3"/>
  <c r="D185" i="3"/>
  <c r="D209" i="3"/>
  <c r="D233" i="3"/>
  <c r="D2" i="3"/>
  <c r="A2" i="10"/>
  <c r="C2" i="4"/>
  <c r="D67" i="4"/>
  <c r="D202" i="4"/>
  <c r="D166" i="4"/>
  <c r="D48" i="4"/>
  <c r="D11" i="4"/>
  <c r="D201" i="4"/>
  <c r="D110" i="4"/>
  <c r="D170" i="4"/>
  <c r="D211" i="4"/>
  <c r="D141" i="4"/>
  <c r="D82" i="4"/>
  <c r="D192" i="4"/>
  <c r="D84" i="4"/>
  <c r="D10" i="4"/>
  <c r="D103" i="4"/>
  <c r="D99" i="4"/>
  <c r="D29" i="4"/>
  <c r="D198" i="4"/>
  <c r="D80" i="4"/>
  <c r="D100" i="4"/>
  <c r="D74" i="4"/>
  <c r="D119" i="4"/>
  <c r="D43" i="4"/>
  <c r="D168" i="4"/>
  <c r="D7" i="4"/>
  <c r="D161" i="4"/>
  <c r="D105" i="4"/>
  <c r="D146" i="4"/>
  <c r="D172" i="4"/>
  <c r="D61" i="4"/>
  <c r="D5" i="4"/>
  <c r="D56" i="4"/>
  <c r="D205" i="4"/>
  <c r="D57" i="4"/>
  <c r="D226" i="4"/>
  <c r="D163" i="4"/>
  <c r="D121" i="4"/>
  <c r="D164" i="4"/>
  <c r="D183" i="4"/>
  <c r="D232" i="4"/>
  <c r="D181" i="4"/>
  <c r="D185" i="4"/>
  <c r="D125" i="4"/>
  <c r="D176" i="4"/>
  <c r="D69" i="4"/>
  <c r="D76" i="4"/>
  <c r="D95" i="4"/>
  <c r="D212" i="4"/>
  <c r="D231" i="4"/>
  <c r="D208" i="4"/>
  <c r="D145" i="4"/>
  <c r="D127" i="4"/>
  <c r="D40" i="4"/>
  <c r="D189" i="4"/>
  <c r="D131" i="4"/>
  <c r="D195" i="4"/>
  <c r="D178" i="4"/>
  <c r="D60" i="4"/>
  <c r="D129" i="4"/>
  <c r="D79" i="4"/>
  <c r="D124" i="4"/>
  <c r="D154" i="4"/>
  <c r="D143" i="4"/>
  <c r="D115" i="4"/>
  <c r="D68" i="4"/>
  <c r="D177" i="4"/>
  <c r="D87" i="4"/>
  <c r="A1" i="4"/>
  <c r="D233" i="4"/>
  <c r="D118" i="4"/>
  <c r="D234" i="4"/>
  <c r="D155" i="4"/>
  <c r="D85" i="4"/>
  <c r="D89" i="4"/>
  <c r="D136" i="4"/>
  <c r="D156" i="4"/>
  <c r="D6" i="4"/>
  <c r="D175" i="4"/>
  <c r="D171" i="4"/>
  <c r="D101" i="4"/>
  <c r="D153" i="4"/>
  <c r="D152" i="4"/>
  <c r="D30" i="4"/>
  <c r="D218" i="4"/>
  <c r="D52" i="4"/>
  <c r="D22" i="4"/>
  <c r="D17" i="4"/>
  <c r="D214" i="4"/>
  <c r="D135" i="4"/>
  <c r="D188" i="4"/>
  <c r="D207" i="4"/>
  <c r="D132" i="4"/>
  <c r="D186" i="4"/>
  <c r="D83" i="4"/>
  <c r="D182" i="4"/>
  <c r="D64" i="4"/>
  <c r="D149" i="4"/>
  <c r="D200" i="4"/>
  <c r="D70" i="4"/>
  <c r="D137" i="4"/>
  <c r="D194" i="4"/>
  <c r="D217" i="4"/>
  <c r="D97" i="4"/>
  <c r="D63" i="4"/>
  <c r="D109" i="4"/>
  <c r="D120" i="4"/>
  <c r="D227" i="4"/>
  <c r="D78" i="4"/>
  <c r="D122" i="4"/>
  <c r="D116" i="4"/>
  <c r="D15" i="4"/>
  <c r="D133" i="4"/>
  <c r="D58" i="4"/>
  <c r="D140" i="4"/>
  <c r="D59" i="4"/>
  <c r="D38" i="4"/>
  <c r="D179" i="4"/>
  <c r="D151" i="4"/>
  <c r="D13" i="4"/>
  <c r="D219" i="4"/>
  <c r="D130" i="4"/>
  <c r="D220" i="4"/>
  <c r="D33" i="4"/>
  <c r="D165" i="4"/>
  <c r="D216" i="4"/>
  <c r="D225" i="4"/>
  <c r="D160" i="4"/>
  <c r="D96" i="4"/>
  <c r="D157" i="4"/>
  <c r="D41" i="4"/>
  <c r="D9" i="4"/>
  <c r="D184" i="4"/>
  <c r="D210" i="4"/>
  <c r="D27" i="4"/>
  <c r="D3" i="4"/>
  <c r="D169" i="4"/>
  <c r="D102" i="4"/>
  <c r="D106" i="4"/>
  <c r="D42" i="4"/>
  <c r="D196" i="4"/>
  <c r="D46" i="4"/>
  <c r="D215" i="4"/>
  <c r="D147" i="4"/>
  <c r="D77" i="4"/>
  <c r="D65" i="4"/>
  <c r="D128" i="4"/>
  <c r="D20" i="4"/>
  <c r="D213" i="4"/>
  <c r="D39" i="4"/>
  <c r="D73" i="4"/>
  <c r="D66" i="4"/>
  <c r="D134" i="4"/>
  <c r="D16" i="4"/>
  <c r="D36" i="4"/>
  <c r="D229" i="4"/>
  <c r="D55" i="4"/>
  <c r="D35" i="4"/>
  <c r="D199" i="4"/>
  <c r="D224" i="4"/>
  <c r="D71" i="4"/>
  <c r="D114" i="4"/>
  <c r="D113" i="4"/>
  <c r="D222" i="4"/>
  <c r="D191" i="4"/>
  <c r="D230" i="4"/>
  <c r="D112" i="4"/>
  <c r="D75" i="4"/>
  <c r="D174" i="4"/>
  <c r="D12" i="4"/>
  <c r="D31" i="4"/>
  <c r="D148" i="4"/>
  <c r="D167" i="4"/>
  <c r="D93" i="4"/>
  <c r="D144" i="4"/>
  <c r="D14" i="4"/>
  <c r="D51" i="4"/>
  <c r="D187" i="4"/>
  <c r="D90" i="4"/>
  <c r="D158" i="4"/>
  <c r="D18" i="4"/>
  <c r="D139" i="4"/>
  <c r="D25" i="4"/>
  <c r="D209" i="4"/>
  <c r="D19" i="4"/>
  <c r="D62" i="4"/>
  <c r="D162" i="4"/>
  <c r="D228" i="4"/>
  <c r="D123" i="4"/>
  <c r="D2" i="4"/>
  <c r="D159" i="4"/>
  <c r="D72" i="4"/>
  <c r="D107" i="4"/>
  <c r="D117" i="4"/>
  <c r="D34" i="4"/>
  <c r="D223" i="4"/>
  <c r="D28" i="4"/>
  <c r="D98" i="4"/>
  <c r="D173" i="4"/>
  <c r="D44" i="4"/>
  <c r="D4" i="4"/>
  <c r="D91" i="4"/>
  <c r="D92" i="4"/>
  <c r="D37" i="4"/>
  <c r="D86" i="4"/>
  <c r="D197" i="4"/>
  <c r="D221" i="4"/>
  <c r="D142" i="4"/>
  <c r="D150" i="4"/>
  <c r="D23" i="4"/>
  <c r="D206" i="4"/>
  <c r="D53" i="4"/>
  <c r="D126" i="4"/>
  <c r="D24" i="4"/>
  <c r="D138" i="4"/>
  <c r="D111" i="4"/>
  <c r="D203" i="4"/>
  <c r="D108" i="4"/>
  <c r="D26" i="4"/>
  <c r="D45" i="4"/>
  <c r="D50" i="4"/>
  <c r="D49" i="4"/>
  <c r="D47" i="4"/>
  <c r="D193" i="4"/>
  <c r="D190" i="4"/>
  <c r="D8" i="4"/>
  <c r="D180" i="4"/>
  <c r="D32" i="4"/>
  <c r="D88" i="4"/>
  <c r="D54" i="4"/>
  <c r="D94" i="4"/>
  <c r="D21" i="4"/>
  <c r="D204" i="4"/>
  <c r="D104" i="4"/>
  <c r="D81" i="4"/>
  <c r="A2" i="12"/>
  <c r="A1" i="9"/>
  <c r="A1" i="13"/>
  <c r="A1" i="14"/>
  <c r="A2" i="2"/>
  <c r="A2" i="11"/>
  <c r="A1" i="15"/>
  <c r="A1" i="3"/>
  <c r="E2" i="3" l="1"/>
  <c r="E3" i="3"/>
  <c r="E11" i="3"/>
  <c r="E19" i="3"/>
  <c r="E27" i="3"/>
  <c r="E35" i="3"/>
  <c r="E43" i="3"/>
  <c r="E51" i="3"/>
  <c r="E59" i="3"/>
  <c r="E67" i="3"/>
  <c r="E75" i="3"/>
  <c r="E83" i="3"/>
  <c r="E91" i="3"/>
  <c r="E99" i="3"/>
  <c r="E107" i="3"/>
  <c r="E115" i="3"/>
  <c r="E123" i="3"/>
  <c r="E131" i="3"/>
  <c r="E139" i="3"/>
  <c r="E147" i="3"/>
  <c r="E155" i="3"/>
  <c r="E163" i="3"/>
  <c r="E171" i="3"/>
  <c r="E179" i="3"/>
  <c r="E187" i="3"/>
  <c r="E195" i="3"/>
  <c r="E203" i="3"/>
  <c r="E211" i="3"/>
  <c r="E219" i="3"/>
  <c r="E227" i="3"/>
  <c r="E235" i="3"/>
  <c r="E94" i="3"/>
  <c r="E134" i="3"/>
  <c r="E150" i="3"/>
  <c r="E182" i="3"/>
  <c r="E206" i="3"/>
  <c r="E95" i="3"/>
  <c r="E143" i="3"/>
  <c r="E183" i="3"/>
  <c r="E231" i="3"/>
  <c r="E96" i="3"/>
  <c r="E136" i="3"/>
  <c r="E176" i="3"/>
  <c r="E216" i="3"/>
  <c r="E18" i="3"/>
  <c r="E122" i="3"/>
  <c r="E194" i="3"/>
  <c r="E4" i="3"/>
  <c r="E12" i="3"/>
  <c r="E20" i="3"/>
  <c r="E28" i="3"/>
  <c r="E36" i="3"/>
  <c r="E44" i="3"/>
  <c r="E52" i="3"/>
  <c r="E60" i="3"/>
  <c r="E68" i="3"/>
  <c r="E76" i="3"/>
  <c r="E84" i="3"/>
  <c r="E92" i="3"/>
  <c r="E100" i="3"/>
  <c r="E108" i="3"/>
  <c r="E116" i="3"/>
  <c r="E124" i="3"/>
  <c r="E132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102" i="3"/>
  <c r="E166" i="3"/>
  <c r="E190" i="3"/>
  <c r="E222" i="3"/>
  <c r="E103" i="3"/>
  <c r="E167" i="3"/>
  <c r="E215" i="3"/>
  <c r="E112" i="3"/>
  <c r="E128" i="3"/>
  <c r="E192" i="3"/>
  <c r="E10" i="3"/>
  <c r="E138" i="3"/>
  <c r="E202" i="3"/>
  <c r="E5" i="3"/>
  <c r="E13" i="3"/>
  <c r="E21" i="3"/>
  <c r="E29" i="3"/>
  <c r="E37" i="3"/>
  <c r="E45" i="3"/>
  <c r="E53" i="3"/>
  <c r="E61" i="3"/>
  <c r="E69" i="3"/>
  <c r="E77" i="3"/>
  <c r="E85" i="3"/>
  <c r="E93" i="3"/>
  <c r="E101" i="3"/>
  <c r="E109" i="3"/>
  <c r="E117" i="3"/>
  <c r="E125" i="3"/>
  <c r="E133" i="3"/>
  <c r="E141" i="3"/>
  <c r="E149" i="3"/>
  <c r="E157" i="3"/>
  <c r="E165" i="3"/>
  <c r="E173" i="3"/>
  <c r="E181" i="3"/>
  <c r="E189" i="3"/>
  <c r="E197" i="3"/>
  <c r="E205" i="3"/>
  <c r="E213" i="3"/>
  <c r="E221" i="3"/>
  <c r="E229" i="3"/>
  <c r="E237" i="3"/>
  <c r="E86" i="3"/>
  <c r="E118" i="3"/>
  <c r="E142" i="3"/>
  <c r="E174" i="3"/>
  <c r="E214" i="3"/>
  <c r="E111" i="3"/>
  <c r="E135" i="3"/>
  <c r="E175" i="3"/>
  <c r="E207" i="3"/>
  <c r="E104" i="3"/>
  <c r="E144" i="3"/>
  <c r="E184" i="3"/>
  <c r="E232" i="3"/>
  <c r="E225" i="3"/>
  <c r="E50" i="3"/>
  <c r="E82" i="3"/>
  <c r="E114" i="3"/>
  <c r="E170" i="3"/>
  <c r="E234" i="3"/>
  <c r="E6" i="3"/>
  <c r="E14" i="3"/>
  <c r="E22" i="3"/>
  <c r="E30" i="3"/>
  <c r="E38" i="3"/>
  <c r="E46" i="3"/>
  <c r="E54" i="3"/>
  <c r="E62" i="3"/>
  <c r="E70" i="3"/>
  <c r="E78" i="3"/>
  <c r="E110" i="3"/>
  <c r="E126" i="3"/>
  <c r="E158" i="3"/>
  <c r="E198" i="3"/>
  <c r="E230" i="3"/>
  <c r="E127" i="3"/>
  <c r="E159" i="3"/>
  <c r="E191" i="3"/>
  <c r="E223" i="3"/>
  <c r="E80" i="3"/>
  <c r="E152" i="3"/>
  <c r="E208" i="3"/>
  <c r="E34" i="3"/>
  <c r="E106" i="3"/>
  <c r="E162" i="3"/>
  <c r="E218" i="3"/>
  <c r="E7" i="3"/>
  <c r="E15" i="3"/>
  <c r="E23" i="3"/>
  <c r="E31" i="3"/>
  <c r="E39" i="3"/>
  <c r="E47" i="3"/>
  <c r="E55" i="3"/>
  <c r="E63" i="3"/>
  <c r="E71" i="3"/>
  <c r="E79" i="3"/>
  <c r="E87" i="3"/>
  <c r="E119" i="3"/>
  <c r="E151" i="3"/>
  <c r="E199" i="3"/>
  <c r="E72" i="3"/>
  <c r="E168" i="3"/>
  <c r="E224" i="3"/>
  <c r="E42" i="3"/>
  <c r="E90" i="3"/>
  <c r="E146" i="3"/>
  <c r="E178" i="3"/>
  <c r="E226" i="3"/>
  <c r="E8" i="3"/>
  <c r="E16" i="3"/>
  <c r="E24" i="3"/>
  <c r="E32" i="3"/>
  <c r="E40" i="3"/>
  <c r="E48" i="3"/>
  <c r="E56" i="3"/>
  <c r="E64" i="3"/>
  <c r="E88" i="3"/>
  <c r="E120" i="3"/>
  <c r="E160" i="3"/>
  <c r="E200" i="3"/>
  <c r="E26" i="3"/>
  <c r="E74" i="3"/>
  <c r="E130" i="3"/>
  <c r="E186" i="3"/>
  <c r="E9" i="3"/>
  <c r="E17" i="3"/>
  <c r="E25" i="3"/>
  <c r="E33" i="3"/>
  <c r="E41" i="3"/>
  <c r="E49" i="3"/>
  <c r="E57" i="3"/>
  <c r="E65" i="3"/>
  <c r="E73" i="3"/>
  <c r="E81" i="3"/>
  <c r="E89" i="3"/>
  <c r="E97" i="3"/>
  <c r="E105" i="3"/>
  <c r="E113" i="3"/>
  <c r="E121" i="3"/>
  <c r="E129" i="3"/>
  <c r="E137" i="3"/>
  <c r="E145" i="3"/>
  <c r="E153" i="3"/>
  <c r="E161" i="3"/>
  <c r="E169" i="3"/>
  <c r="E177" i="3"/>
  <c r="E185" i="3"/>
  <c r="E193" i="3"/>
  <c r="E201" i="3"/>
  <c r="E209" i="3"/>
  <c r="E217" i="3"/>
  <c r="E233" i="3"/>
  <c r="E58" i="3"/>
  <c r="E66" i="3"/>
  <c r="E98" i="3"/>
  <c r="E154" i="3"/>
  <c r="E210" i="3"/>
  <c r="G233" i="3" l="1"/>
  <c r="H233" i="3"/>
  <c r="G79" i="3"/>
  <c r="H79" i="3"/>
  <c r="G126" i="3"/>
  <c r="H126" i="3"/>
  <c r="G50" i="3"/>
  <c r="H50" i="3"/>
  <c r="G192" i="3"/>
  <c r="H192" i="3"/>
  <c r="G183" i="3"/>
  <c r="H183" i="3"/>
  <c r="G116" i="3"/>
  <c r="H116" i="3"/>
  <c r="G193" i="3"/>
  <c r="H193" i="3"/>
  <c r="G199" i="3"/>
  <c r="H199" i="3"/>
  <c r="G127" i="3"/>
  <c r="H127" i="3"/>
  <c r="G66" i="3"/>
  <c r="H66" i="3"/>
  <c r="G58" i="3"/>
  <c r="H58" i="3"/>
  <c r="G169" i="3"/>
  <c r="H169" i="3"/>
  <c r="G105" i="3"/>
  <c r="H105" i="3"/>
  <c r="G41" i="3"/>
  <c r="H41" i="3"/>
  <c r="G26" i="3"/>
  <c r="H26" i="3"/>
  <c r="G40" i="3"/>
  <c r="H40" i="3"/>
  <c r="G90" i="3"/>
  <c r="H90" i="3"/>
  <c r="G87" i="3"/>
  <c r="H87" i="3"/>
  <c r="G23" i="3"/>
  <c r="H23" i="3"/>
  <c r="G152" i="3"/>
  <c r="H152" i="3"/>
  <c r="G158" i="3"/>
  <c r="H158" i="3"/>
  <c r="G38" i="3"/>
  <c r="H38" i="3"/>
  <c r="G82" i="3"/>
  <c r="H82" i="3"/>
  <c r="G175" i="3"/>
  <c r="H175" i="3"/>
  <c r="G237" i="3"/>
  <c r="H237" i="3"/>
  <c r="G173" i="3"/>
  <c r="H173" i="3"/>
  <c r="G109" i="3"/>
  <c r="H109" i="3"/>
  <c r="G45" i="3"/>
  <c r="H45" i="3"/>
  <c r="G10" i="3"/>
  <c r="H10" i="3"/>
  <c r="G190" i="3"/>
  <c r="H190" i="3"/>
  <c r="G196" i="3"/>
  <c r="H196" i="3"/>
  <c r="G132" i="3"/>
  <c r="H132" i="3"/>
  <c r="G68" i="3"/>
  <c r="H68" i="3"/>
  <c r="G4" i="3"/>
  <c r="H4" i="3"/>
  <c r="G231" i="3"/>
  <c r="H231" i="3"/>
  <c r="G94" i="3"/>
  <c r="H94" i="3"/>
  <c r="G179" i="3"/>
  <c r="H179" i="3"/>
  <c r="G115" i="3"/>
  <c r="H115" i="3"/>
  <c r="G51" i="3"/>
  <c r="H51" i="3"/>
  <c r="G200" i="3"/>
  <c r="H200" i="3"/>
  <c r="G165" i="3"/>
  <c r="H165" i="3"/>
  <c r="G37" i="3"/>
  <c r="H37" i="3"/>
  <c r="G124" i="3"/>
  <c r="H124" i="3"/>
  <c r="G60" i="3"/>
  <c r="H60" i="3"/>
  <c r="G107" i="3"/>
  <c r="H107" i="3"/>
  <c r="G153" i="3"/>
  <c r="H153" i="3"/>
  <c r="G224" i="3"/>
  <c r="H224" i="3"/>
  <c r="G7" i="3"/>
  <c r="H7" i="3"/>
  <c r="G110" i="3"/>
  <c r="H110" i="3"/>
  <c r="G22" i="3"/>
  <c r="H22" i="3"/>
  <c r="G111" i="3"/>
  <c r="H111" i="3"/>
  <c r="G93" i="3"/>
  <c r="H93" i="3"/>
  <c r="G180" i="3"/>
  <c r="H180" i="3"/>
  <c r="G52" i="3"/>
  <c r="H52" i="3"/>
  <c r="G99" i="3"/>
  <c r="H99" i="3"/>
  <c r="G35" i="3"/>
  <c r="H35" i="3"/>
  <c r="G145" i="3"/>
  <c r="H145" i="3"/>
  <c r="G120" i="3"/>
  <c r="H120" i="3"/>
  <c r="G16" i="3"/>
  <c r="H16" i="3"/>
  <c r="G168" i="3"/>
  <c r="H168" i="3"/>
  <c r="G63" i="3"/>
  <c r="H63" i="3"/>
  <c r="G218" i="3"/>
  <c r="H218" i="3"/>
  <c r="G191" i="3"/>
  <c r="H191" i="3"/>
  <c r="G78" i="3"/>
  <c r="H78" i="3"/>
  <c r="G14" i="3"/>
  <c r="H14" i="3"/>
  <c r="G232" i="3"/>
  <c r="H232" i="3"/>
  <c r="G214" i="3"/>
  <c r="H214" i="3"/>
  <c r="G213" i="3"/>
  <c r="H213" i="3"/>
  <c r="G149" i="3"/>
  <c r="H149" i="3"/>
  <c r="G85" i="3"/>
  <c r="H85" i="3"/>
  <c r="G21" i="3"/>
  <c r="H21" i="3"/>
  <c r="G112" i="3"/>
  <c r="H112" i="3"/>
  <c r="G236" i="3"/>
  <c r="H236" i="3"/>
  <c r="G172" i="3"/>
  <c r="H172" i="3"/>
  <c r="G108" i="3"/>
  <c r="H108" i="3"/>
  <c r="G44" i="3"/>
  <c r="H44" i="3"/>
  <c r="G18" i="3"/>
  <c r="H18" i="3"/>
  <c r="G95" i="3"/>
  <c r="H95" i="3"/>
  <c r="G219" i="3"/>
  <c r="H219" i="3"/>
  <c r="G155" i="3"/>
  <c r="H155" i="3"/>
  <c r="G91" i="3"/>
  <c r="H91" i="3"/>
  <c r="G27" i="3"/>
  <c r="H27" i="3"/>
  <c r="G97" i="3"/>
  <c r="H97" i="3"/>
  <c r="G32" i="3"/>
  <c r="H32" i="3"/>
  <c r="G15" i="3"/>
  <c r="H15" i="3"/>
  <c r="G229" i="3"/>
  <c r="H229" i="3"/>
  <c r="G188" i="3"/>
  <c r="H188" i="3"/>
  <c r="G171" i="3"/>
  <c r="H171" i="3"/>
  <c r="G163" i="3"/>
  <c r="H163" i="3"/>
  <c r="G209" i="3"/>
  <c r="H209" i="3"/>
  <c r="G81" i="3"/>
  <c r="H81" i="3"/>
  <c r="G17" i="3"/>
  <c r="H17" i="3"/>
  <c r="G210" i="3"/>
  <c r="H210" i="3"/>
  <c r="G201" i="3"/>
  <c r="H201" i="3"/>
  <c r="G137" i="3"/>
  <c r="H137" i="3"/>
  <c r="G73" i="3"/>
  <c r="H73" i="3"/>
  <c r="G9" i="3"/>
  <c r="H9" i="3"/>
  <c r="G88" i="3"/>
  <c r="H88" i="3"/>
  <c r="G8" i="3"/>
  <c r="H8" i="3"/>
  <c r="G72" i="3"/>
  <c r="H72" i="3"/>
  <c r="G55" i="3"/>
  <c r="H55" i="3"/>
  <c r="G162" i="3"/>
  <c r="H162" i="3"/>
  <c r="G159" i="3"/>
  <c r="H159" i="3"/>
  <c r="G70" i="3"/>
  <c r="H70" i="3"/>
  <c r="G6" i="3"/>
  <c r="H6" i="3"/>
  <c r="G184" i="3"/>
  <c r="H184" i="3"/>
  <c r="G174" i="3"/>
  <c r="H174" i="3"/>
  <c r="G205" i="3"/>
  <c r="H205" i="3"/>
  <c r="G141" i="3"/>
  <c r="H141" i="3"/>
  <c r="G77" i="3"/>
  <c r="H77" i="3"/>
  <c r="G13" i="3"/>
  <c r="H13" i="3"/>
  <c r="G215" i="3"/>
  <c r="H215" i="3"/>
  <c r="G228" i="3"/>
  <c r="H228" i="3"/>
  <c r="G164" i="3"/>
  <c r="H164" i="3"/>
  <c r="G100" i="3"/>
  <c r="H100" i="3"/>
  <c r="G36" i="3"/>
  <c r="H36" i="3"/>
  <c r="G216" i="3"/>
  <c r="H216" i="3"/>
  <c r="G206" i="3"/>
  <c r="H206" i="3"/>
  <c r="G211" i="3"/>
  <c r="H211" i="3"/>
  <c r="G147" i="3"/>
  <c r="H147" i="3"/>
  <c r="G83" i="3"/>
  <c r="H83" i="3"/>
  <c r="G19" i="3"/>
  <c r="H19" i="3"/>
  <c r="G227" i="3"/>
  <c r="H227" i="3"/>
  <c r="G186" i="3"/>
  <c r="H186" i="3"/>
  <c r="G197" i="3"/>
  <c r="H197" i="3"/>
  <c r="G133" i="3"/>
  <c r="H133" i="3"/>
  <c r="G69" i="3"/>
  <c r="H69" i="3"/>
  <c r="G5" i="3"/>
  <c r="H5" i="3"/>
  <c r="G220" i="3"/>
  <c r="H220" i="3"/>
  <c r="G156" i="3"/>
  <c r="H156" i="3"/>
  <c r="G92" i="3"/>
  <c r="H92" i="3"/>
  <c r="G28" i="3"/>
  <c r="H28" i="3"/>
  <c r="G176" i="3"/>
  <c r="H176" i="3"/>
  <c r="G182" i="3"/>
  <c r="H182" i="3"/>
  <c r="G203" i="3"/>
  <c r="H203" i="3"/>
  <c r="G139" i="3"/>
  <c r="H139" i="3"/>
  <c r="G75" i="3"/>
  <c r="H75" i="3"/>
  <c r="G11" i="3"/>
  <c r="H11" i="3"/>
  <c r="G33" i="3"/>
  <c r="H33" i="3"/>
  <c r="G42" i="3"/>
  <c r="H42" i="3"/>
  <c r="G80" i="3"/>
  <c r="H80" i="3"/>
  <c r="G30" i="3"/>
  <c r="H30" i="3"/>
  <c r="G101" i="3"/>
  <c r="H101" i="3"/>
  <c r="G194" i="3"/>
  <c r="H194" i="3"/>
  <c r="G217" i="3"/>
  <c r="H217" i="3"/>
  <c r="G25" i="3"/>
  <c r="H25" i="3"/>
  <c r="G223" i="3"/>
  <c r="H223" i="3"/>
  <c r="G221" i="3"/>
  <c r="H221" i="3"/>
  <c r="G128" i="3"/>
  <c r="H128" i="3"/>
  <c r="G122" i="3"/>
  <c r="H122" i="3"/>
  <c r="G154" i="3"/>
  <c r="H154" i="3"/>
  <c r="G226" i="3"/>
  <c r="H226" i="3"/>
  <c r="G47" i="3"/>
  <c r="H47" i="3"/>
  <c r="G106" i="3"/>
  <c r="H106" i="3"/>
  <c r="G62" i="3"/>
  <c r="H62" i="3"/>
  <c r="G144" i="3"/>
  <c r="H144" i="3"/>
  <c r="G142" i="3"/>
  <c r="H142" i="3"/>
  <c r="G167" i="3"/>
  <c r="H167" i="3"/>
  <c r="G98" i="3"/>
  <c r="H98" i="3"/>
  <c r="G185" i="3"/>
  <c r="H185" i="3"/>
  <c r="G121" i="3"/>
  <c r="H121" i="3"/>
  <c r="G57" i="3"/>
  <c r="H57" i="3"/>
  <c r="G130" i="3"/>
  <c r="H130" i="3"/>
  <c r="G56" i="3"/>
  <c r="H56" i="3"/>
  <c r="G178" i="3"/>
  <c r="H178" i="3"/>
  <c r="G151" i="3"/>
  <c r="H151" i="3"/>
  <c r="G39" i="3"/>
  <c r="H39" i="3"/>
  <c r="G34" i="3"/>
  <c r="H34" i="3"/>
  <c r="G230" i="3"/>
  <c r="H230" i="3"/>
  <c r="G54" i="3"/>
  <c r="H54" i="3"/>
  <c r="G170" i="3"/>
  <c r="H170" i="3"/>
  <c r="G104" i="3"/>
  <c r="H104" i="3"/>
  <c r="G118" i="3"/>
  <c r="H118" i="3"/>
  <c r="G189" i="3"/>
  <c r="H189" i="3"/>
  <c r="G125" i="3"/>
  <c r="H125" i="3"/>
  <c r="G61" i="3"/>
  <c r="H61" i="3"/>
  <c r="G202" i="3"/>
  <c r="H202" i="3"/>
  <c r="G103" i="3"/>
  <c r="H103" i="3"/>
  <c r="G212" i="3"/>
  <c r="H212" i="3"/>
  <c r="G148" i="3"/>
  <c r="H148" i="3"/>
  <c r="G84" i="3"/>
  <c r="H84" i="3"/>
  <c r="G20" i="3"/>
  <c r="H20" i="3"/>
  <c r="G136" i="3"/>
  <c r="H136" i="3"/>
  <c r="G150" i="3"/>
  <c r="H150" i="3"/>
  <c r="G195" i="3"/>
  <c r="H195" i="3"/>
  <c r="G131" i="3"/>
  <c r="H131" i="3"/>
  <c r="G67" i="3"/>
  <c r="H67" i="3"/>
  <c r="G3" i="3"/>
  <c r="H3" i="3"/>
  <c r="G161" i="3"/>
  <c r="H161" i="3"/>
  <c r="G135" i="3"/>
  <c r="H135" i="3"/>
  <c r="G166" i="3"/>
  <c r="H166" i="3"/>
  <c r="G235" i="3"/>
  <c r="H235" i="3"/>
  <c r="G43" i="3"/>
  <c r="H43" i="3"/>
  <c r="G89" i="3"/>
  <c r="H89" i="3"/>
  <c r="G160" i="3"/>
  <c r="H160" i="3"/>
  <c r="G24" i="3"/>
  <c r="H24" i="3"/>
  <c r="G71" i="3"/>
  <c r="H71" i="3"/>
  <c r="G225" i="3"/>
  <c r="H225" i="3"/>
  <c r="G157" i="3"/>
  <c r="H157" i="3"/>
  <c r="G29" i="3"/>
  <c r="H29" i="3"/>
  <c r="G102" i="3"/>
  <c r="H102" i="3"/>
  <c r="G143" i="3"/>
  <c r="H143" i="3"/>
  <c r="G129" i="3"/>
  <c r="H129" i="3"/>
  <c r="G65" i="3"/>
  <c r="H65" i="3"/>
  <c r="G64" i="3"/>
  <c r="H64" i="3"/>
  <c r="G234" i="3"/>
  <c r="H234" i="3"/>
  <c r="G177" i="3"/>
  <c r="H177" i="3"/>
  <c r="G113" i="3"/>
  <c r="H113" i="3"/>
  <c r="G49" i="3"/>
  <c r="H49" i="3"/>
  <c r="G74" i="3"/>
  <c r="H74" i="3"/>
  <c r="G48" i="3"/>
  <c r="H48" i="3"/>
  <c r="G146" i="3"/>
  <c r="H146" i="3"/>
  <c r="G119" i="3"/>
  <c r="H119" i="3"/>
  <c r="G31" i="3"/>
  <c r="H31" i="3"/>
  <c r="G208" i="3"/>
  <c r="H208" i="3"/>
  <c r="G198" i="3"/>
  <c r="H198" i="3"/>
  <c r="G46" i="3"/>
  <c r="H46" i="3"/>
  <c r="G114" i="3"/>
  <c r="H114" i="3"/>
  <c r="G207" i="3"/>
  <c r="H207" i="3"/>
  <c r="G86" i="3"/>
  <c r="H86" i="3"/>
  <c r="G181" i="3"/>
  <c r="H181" i="3"/>
  <c r="G117" i="3"/>
  <c r="H117" i="3"/>
  <c r="G53" i="3"/>
  <c r="H53" i="3"/>
  <c r="G138" i="3"/>
  <c r="H138" i="3"/>
  <c r="G222" i="3"/>
  <c r="H222" i="3"/>
  <c r="G204" i="3"/>
  <c r="H204" i="3"/>
  <c r="G140" i="3"/>
  <c r="H140" i="3"/>
  <c r="G76" i="3"/>
  <c r="H76" i="3"/>
  <c r="G12" i="3"/>
  <c r="H12" i="3"/>
  <c r="G96" i="3"/>
  <c r="H96" i="3"/>
  <c r="G134" i="3"/>
  <c r="H134" i="3"/>
  <c r="G187" i="3"/>
  <c r="H187" i="3"/>
  <c r="G123" i="3"/>
  <c r="H123" i="3"/>
  <c r="G59" i="3"/>
  <c r="H59" i="3"/>
  <c r="G2" i="3"/>
  <c r="H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0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</futureMetadata>
  <cellMetadata count="1">
    <bk>
      <rc t="1" v="0"/>
    </bk>
  </cellMetadata>
  <valueMetadata count="308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</valueMetadata>
</metadata>
</file>

<file path=xl/sharedStrings.xml><?xml version="1.0" encoding="utf-8"?>
<sst xmlns="http://schemas.openxmlformats.org/spreadsheetml/2006/main" count="42" uniqueCount="38">
  <si>
    <t>Ticker</t>
  </si>
  <si>
    <t>Company Name</t>
  </si>
  <si>
    <t>CRGY</t>
  </si>
  <si>
    <t>Crescent Energy Company</t>
  </si>
  <si>
    <t>LFST</t>
  </si>
  <si>
    <t>LifeStance Health Group, Inc.</t>
  </si>
  <si>
    <t>VNET</t>
  </si>
  <si>
    <t>VNET Group, Inc.</t>
  </si>
  <si>
    <t>IBRX</t>
  </si>
  <si>
    <t>ImmunityBio, Inc.</t>
  </si>
  <si>
    <t>PAYO</t>
  </si>
  <si>
    <t>Payoneer Global Inc.</t>
  </si>
  <si>
    <t>BULL</t>
  </si>
  <si>
    <t>Webull Corporation</t>
  </si>
  <si>
    <t>IEP</t>
  </si>
  <si>
    <t>Icahn Enterprises L.P.</t>
  </si>
  <si>
    <t>GBTG</t>
  </si>
  <si>
    <t>Global Business Travel Group</t>
  </si>
  <si>
    <t>BGC</t>
  </si>
  <si>
    <t>BGC Group, Inc.</t>
  </si>
  <si>
    <t>NG</t>
  </si>
  <si>
    <t>Novagold Resources Inc.</t>
  </si>
  <si>
    <t>ONDS</t>
  </si>
  <si>
    <t>Ondas Holdings Inc.</t>
  </si>
  <si>
    <t>TMC</t>
  </si>
  <si>
    <t>TMC the metals company Inc.</t>
  </si>
  <si>
    <t>FOLD</t>
  </si>
  <si>
    <t>Amicus Therapeutics, Inc.</t>
  </si>
  <si>
    <t>NUVB</t>
  </si>
  <si>
    <t>Nuvation Bio Inc.</t>
  </si>
  <si>
    <t>Loess 20</t>
  </si>
  <si>
    <t>STD</t>
  </si>
  <si>
    <t>P x V</t>
  </si>
  <si>
    <t>VWAP</t>
  </si>
  <si>
    <t>Upper</t>
  </si>
  <si>
    <t>Lower</t>
  </si>
  <si>
    <t>5d SMA</t>
  </si>
  <si>
    <t>SdDev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</si>
</sst>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microsoft.com/office/2017/06/relationships/rdSupportingPropertyBagStructure" Target="richData/rdsupportingpropertybagstructure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ichStyles" Target="richData/rich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microsoft.com/office/2017/06/relationships/rdArray" Target="richData/rdarray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234470691163573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CRGY!$B$1:$B$2</c:f>
              <c:strCache>
                <c:ptCount val="2"/>
                <c:pt idx="0">
                  <c:v>Crescent Energy Company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CRGY!$A$3:$A$237</c:f>
              <c:numCache>
                <c:formatCode>m/d/yyyy</c:formatCode>
                <c:ptCount val="23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</c:numCache>
            </c:numRef>
          </c:cat>
          <c:val>
            <c:numRef>
              <c:f>CRGY!$B$3:$B$237</c:f>
              <c:numCache>
                <c:formatCode>_([$$-409]* #,##0.00_);_([$$-409]* \(#,##0.00\);_([$$-409]* "-"??_);_(@_)</c:formatCode>
                <c:ptCount val="235"/>
                <c:pt idx="0">
                  <c:v>14.88</c:v>
                </c:pt>
                <c:pt idx="1">
                  <c:v>15.05</c:v>
                </c:pt>
                <c:pt idx="2">
                  <c:v>15.37</c:v>
                </c:pt>
                <c:pt idx="3">
                  <c:v>15.72</c:v>
                </c:pt>
                <c:pt idx="4">
                  <c:v>15.73</c:v>
                </c:pt>
                <c:pt idx="5">
                  <c:v>15.86</c:v>
                </c:pt>
                <c:pt idx="6">
                  <c:v>16.41</c:v>
                </c:pt>
                <c:pt idx="7">
                  <c:v>16.59</c:v>
                </c:pt>
                <c:pt idx="8">
                  <c:v>16.68</c:v>
                </c:pt>
                <c:pt idx="9">
                  <c:v>16.739999999999998</c:v>
                </c:pt>
                <c:pt idx="10">
                  <c:v>16.62</c:v>
                </c:pt>
                <c:pt idx="11">
                  <c:v>16.260000000000002</c:v>
                </c:pt>
                <c:pt idx="12">
                  <c:v>16.16</c:v>
                </c:pt>
                <c:pt idx="13">
                  <c:v>16.34</c:v>
                </c:pt>
                <c:pt idx="14">
                  <c:v>15.99</c:v>
                </c:pt>
                <c:pt idx="15">
                  <c:v>15.82</c:v>
                </c:pt>
                <c:pt idx="16">
                  <c:v>15.63</c:v>
                </c:pt>
                <c:pt idx="17">
                  <c:v>15.64</c:v>
                </c:pt>
                <c:pt idx="18">
                  <c:v>15.45</c:v>
                </c:pt>
                <c:pt idx="19">
                  <c:v>15.06</c:v>
                </c:pt>
                <c:pt idx="20">
                  <c:v>15.03</c:v>
                </c:pt>
                <c:pt idx="21">
                  <c:v>15.24</c:v>
                </c:pt>
                <c:pt idx="22">
                  <c:v>15.09</c:v>
                </c:pt>
                <c:pt idx="23">
                  <c:v>14.63</c:v>
                </c:pt>
                <c:pt idx="24">
                  <c:v>14.66</c:v>
                </c:pt>
                <c:pt idx="25">
                  <c:v>15.02</c:v>
                </c:pt>
                <c:pt idx="26">
                  <c:v>15.02</c:v>
                </c:pt>
                <c:pt idx="27">
                  <c:v>14.48</c:v>
                </c:pt>
                <c:pt idx="28">
                  <c:v>14.52</c:v>
                </c:pt>
                <c:pt idx="29">
                  <c:v>14.87</c:v>
                </c:pt>
                <c:pt idx="30">
                  <c:v>15.15</c:v>
                </c:pt>
                <c:pt idx="31">
                  <c:v>15.18</c:v>
                </c:pt>
                <c:pt idx="32">
                  <c:v>15.01</c:v>
                </c:pt>
                <c:pt idx="33">
                  <c:v>14.26</c:v>
                </c:pt>
                <c:pt idx="34">
                  <c:v>14.2</c:v>
                </c:pt>
                <c:pt idx="35">
                  <c:v>13.69</c:v>
                </c:pt>
                <c:pt idx="36">
                  <c:v>13.47</c:v>
                </c:pt>
                <c:pt idx="37">
                  <c:v>12.78</c:v>
                </c:pt>
                <c:pt idx="38">
                  <c:v>12.62</c:v>
                </c:pt>
                <c:pt idx="39">
                  <c:v>11.55</c:v>
                </c:pt>
                <c:pt idx="40">
                  <c:v>11.29</c:v>
                </c:pt>
                <c:pt idx="41">
                  <c:v>11.04</c:v>
                </c:pt>
                <c:pt idx="42">
                  <c:v>10.82</c:v>
                </c:pt>
                <c:pt idx="43">
                  <c:v>10.64</c:v>
                </c:pt>
                <c:pt idx="44">
                  <c:v>10.3</c:v>
                </c:pt>
                <c:pt idx="45">
                  <c:v>10.51</c:v>
                </c:pt>
                <c:pt idx="46">
                  <c:v>10.72</c:v>
                </c:pt>
                <c:pt idx="47">
                  <c:v>10.49</c:v>
                </c:pt>
                <c:pt idx="48">
                  <c:v>10.91</c:v>
                </c:pt>
                <c:pt idx="49">
                  <c:v>11.04</c:v>
                </c:pt>
                <c:pt idx="50">
                  <c:v>11.2</c:v>
                </c:pt>
                <c:pt idx="51">
                  <c:v>11.72</c:v>
                </c:pt>
                <c:pt idx="52">
                  <c:v>11.65</c:v>
                </c:pt>
                <c:pt idx="53">
                  <c:v>11.46</c:v>
                </c:pt>
                <c:pt idx="54">
                  <c:v>11.66</c:v>
                </c:pt>
                <c:pt idx="55">
                  <c:v>11.56</c:v>
                </c:pt>
                <c:pt idx="56">
                  <c:v>11.47</c:v>
                </c:pt>
                <c:pt idx="57">
                  <c:v>11.27</c:v>
                </c:pt>
                <c:pt idx="58">
                  <c:v>11.14</c:v>
                </c:pt>
                <c:pt idx="59">
                  <c:v>11.24</c:v>
                </c:pt>
                <c:pt idx="60">
                  <c:v>11.08</c:v>
                </c:pt>
                <c:pt idx="61">
                  <c:v>11.18</c:v>
                </c:pt>
                <c:pt idx="62">
                  <c:v>9.26</c:v>
                </c:pt>
                <c:pt idx="63">
                  <c:v>7.82</c:v>
                </c:pt>
                <c:pt idx="64">
                  <c:v>7.88</c:v>
                </c:pt>
                <c:pt idx="65">
                  <c:v>7.29</c:v>
                </c:pt>
                <c:pt idx="66">
                  <c:v>8.57</c:v>
                </c:pt>
                <c:pt idx="67">
                  <c:v>7.43</c:v>
                </c:pt>
                <c:pt idx="68">
                  <c:v>7.71</c:v>
                </c:pt>
                <c:pt idx="69">
                  <c:v>7.89</c:v>
                </c:pt>
                <c:pt idx="70">
                  <c:v>7.76</c:v>
                </c:pt>
                <c:pt idx="71">
                  <c:v>8.1300000000000008</c:v>
                </c:pt>
                <c:pt idx="72">
                  <c:v>8.3800000000000008</c:v>
                </c:pt>
                <c:pt idx="73">
                  <c:v>8.1</c:v>
                </c:pt>
                <c:pt idx="74">
                  <c:v>8.3000000000000007</c:v>
                </c:pt>
                <c:pt idx="75">
                  <c:v>8.27</c:v>
                </c:pt>
                <c:pt idx="76">
                  <c:v>8.5</c:v>
                </c:pt>
                <c:pt idx="77">
                  <c:v>8.7200000000000006</c:v>
                </c:pt>
                <c:pt idx="78">
                  <c:v>8.69</c:v>
                </c:pt>
                <c:pt idx="79">
                  <c:v>8.56</c:v>
                </c:pt>
                <c:pt idx="80">
                  <c:v>8.2799999999999994</c:v>
                </c:pt>
                <c:pt idx="81">
                  <c:v>8.49</c:v>
                </c:pt>
                <c:pt idx="82">
                  <c:v>8.6199999999999992</c:v>
                </c:pt>
                <c:pt idx="83">
                  <c:v>8.23</c:v>
                </c:pt>
                <c:pt idx="84">
                  <c:v>7.95</c:v>
                </c:pt>
                <c:pt idx="85">
                  <c:v>7.94</c:v>
                </c:pt>
                <c:pt idx="86">
                  <c:v>8.3699999999999992</c:v>
                </c:pt>
                <c:pt idx="87">
                  <c:v>8.56</c:v>
                </c:pt>
                <c:pt idx="88">
                  <c:v>9.1</c:v>
                </c:pt>
                <c:pt idx="89">
                  <c:v>9.5</c:v>
                </c:pt>
                <c:pt idx="90">
                  <c:v>9.4700000000000006</c:v>
                </c:pt>
                <c:pt idx="91">
                  <c:v>9.19</c:v>
                </c:pt>
                <c:pt idx="92">
                  <c:v>9.1300000000000008</c:v>
                </c:pt>
                <c:pt idx="93">
                  <c:v>8.9700000000000006</c:v>
                </c:pt>
                <c:pt idx="94">
                  <c:v>9.0399999999999991</c:v>
                </c:pt>
                <c:pt idx="95">
                  <c:v>8.69</c:v>
                </c:pt>
                <c:pt idx="96">
                  <c:v>8.6199999999999992</c:v>
                </c:pt>
                <c:pt idx="97">
                  <c:v>8.5399999999999991</c:v>
                </c:pt>
                <c:pt idx="98">
                  <c:v>8.68</c:v>
                </c:pt>
                <c:pt idx="99">
                  <c:v>8.6300000000000008</c:v>
                </c:pt>
                <c:pt idx="100">
                  <c:v>8.6999999999999993</c:v>
                </c:pt>
                <c:pt idx="101">
                  <c:v>8.39</c:v>
                </c:pt>
                <c:pt idx="102">
                  <c:v>8.58</c:v>
                </c:pt>
                <c:pt idx="103">
                  <c:v>9.09</c:v>
                </c:pt>
                <c:pt idx="104">
                  <c:v>8.7799999999999994</c:v>
                </c:pt>
                <c:pt idx="105">
                  <c:v>8.67</c:v>
                </c:pt>
                <c:pt idx="106">
                  <c:v>9.0299999999999994</c:v>
                </c:pt>
                <c:pt idx="107">
                  <c:v>9.08</c:v>
                </c:pt>
                <c:pt idx="108">
                  <c:v>9.17</c:v>
                </c:pt>
                <c:pt idx="109">
                  <c:v>9.4600000000000009</c:v>
                </c:pt>
                <c:pt idx="110">
                  <c:v>9.52</c:v>
                </c:pt>
                <c:pt idx="111">
                  <c:v>9.7799999999999994</c:v>
                </c:pt>
                <c:pt idx="112">
                  <c:v>9.56</c:v>
                </c:pt>
                <c:pt idx="113">
                  <c:v>9.58</c:v>
                </c:pt>
                <c:pt idx="114">
                  <c:v>9.52</c:v>
                </c:pt>
                <c:pt idx="115">
                  <c:v>9.4700000000000006</c:v>
                </c:pt>
                <c:pt idx="116">
                  <c:v>8.9700000000000006</c:v>
                </c:pt>
                <c:pt idx="117">
                  <c:v>8.77</c:v>
                </c:pt>
                <c:pt idx="118">
                  <c:v>8.6</c:v>
                </c:pt>
                <c:pt idx="119">
                  <c:v>8.9499999999999993</c:v>
                </c:pt>
                <c:pt idx="120">
                  <c:v>8.9499999999999993</c:v>
                </c:pt>
                <c:pt idx="121">
                  <c:v>8.6</c:v>
                </c:pt>
                <c:pt idx="122">
                  <c:v>8.8800000000000008</c:v>
                </c:pt>
                <c:pt idx="123">
                  <c:v>9.1199999999999992</c:v>
                </c:pt>
                <c:pt idx="124">
                  <c:v>9.1300000000000008</c:v>
                </c:pt>
                <c:pt idx="125">
                  <c:v>8.83</c:v>
                </c:pt>
                <c:pt idx="126">
                  <c:v>9.3800000000000008</c:v>
                </c:pt>
                <c:pt idx="127">
                  <c:v>9.16</c:v>
                </c:pt>
                <c:pt idx="128">
                  <c:v>9.2899999999999991</c:v>
                </c:pt>
                <c:pt idx="129">
                  <c:v>9.25</c:v>
                </c:pt>
                <c:pt idx="130">
                  <c:v>8.76</c:v>
                </c:pt>
                <c:pt idx="131">
                  <c:v>8.2899999999999991</c:v>
                </c:pt>
                <c:pt idx="132">
                  <c:v>8.23</c:v>
                </c:pt>
                <c:pt idx="133">
                  <c:v>8.43</c:v>
                </c:pt>
                <c:pt idx="134">
                  <c:v>8.73</c:v>
                </c:pt>
                <c:pt idx="135">
                  <c:v>8.4499999999999993</c:v>
                </c:pt>
                <c:pt idx="136">
                  <c:v>8.64</c:v>
                </c:pt>
                <c:pt idx="137">
                  <c:v>8.92</c:v>
                </c:pt>
                <c:pt idx="138">
                  <c:v>9.2799999999999994</c:v>
                </c:pt>
                <c:pt idx="139">
                  <c:v>9.1999999999999993</c:v>
                </c:pt>
                <c:pt idx="140">
                  <c:v>9.5299999999999994</c:v>
                </c:pt>
                <c:pt idx="141">
                  <c:v>9.65</c:v>
                </c:pt>
                <c:pt idx="142">
                  <c:v>9.4499999999999993</c:v>
                </c:pt>
                <c:pt idx="143">
                  <c:v>9.24</c:v>
                </c:pt>
                <c:pt idx="144">
                  <c:v>8.9600000000000009</c:v>
                </c:pt>
                <c:pt idx="145">
                  <c:v>8.8800000000000008</c:v>
                </c:pt>
                <c:pt idx="146">
                  <c:v>9.36</c:v>
                </c:pt>
                <c:pt idx="147">
                  <c:v>9.23</c:v>
                </c:pt>
                <c:pt idx="148">
                  <c:v>9.1999999999999993</c:v>
                </c:pt>
                <c:pt idx="149">
                  <c:v>9.23</c:v>
                </c:pt>
                <c:pt idx="150">
                  <c:v>8.99</c:v>
                </c:pt>
                <c:pt idx="151">
                  <c:v>9.34</c:v>
                </c:pt>
                <c:pt idx="152">
                  <c:v>9.56</c:v>
                </c:pt>
                <c:pt idx="153">
                  <c:v>9.65</c:v>
                </c:pt>
                <c:pt idx="154">
                  <c:v>9.42</c:v>
                </c:pt>
                <c:pt idx="155">
                  <c:v>9.32</c:v>
                </c:pt>
                <c:pt idx="156">
                  <c:v>9.2200000000000006</c:v>
                </c:pt>
                <c:pt idx="157">
                  <c:v>9.2799999999999994</c:v>
                </c:pt>
                <c:pt idx="158">
                  <c:v>9.3800000000000008</c:v>
                </c:pt>
                <c:pt idx="159">
                  <c:v>9.94</c:v>
                </c:pt>
                <c:pt idx="160">
                  <c:v>9.5399999999999991</c:v>
                </c:pt>
                <c:pt idx="161">
                  <c:v>9.02</c:v>
                </c:pt>
                <c:pt idx="162">
                  <c:v>9.3000000000000007</c:v>
                </c:pt>
                <c:pt idx="163">
                  <c:v>9.61</c:v>
                </c:pt>
                <c:pt idx="164">
                  <c:v>9.5399999999999991</c:v>
                </c:pt>
                <c:pt idx="165">
                  <c:v>9.9</c:v>
                </c:pt>
                <c:pt idx="166">
                  <c:v>9.43</c:v>
                </c:pt>
                <c:pt idx="167">
                  <c:v>9.24</c:v>
                </c:pt>
                <c:pt idx="168">
                  <c:v>8.76</c:v>
                </c:pt>
                <c:pt idx="169">
                  <c:v>8.34</c:v>
                </c:pt>
                <c:pt idx="170">
                  <c:v>8.2200000000000006</c:v>
                </c:pt>
                <c:pt idx="171">
                  <c:v>8.6999999999999993</c:v>
                </c:pt>
                <c:pt idx="172">
                  <c:v>8.8000000000000007</c:v>
                </c:pt>
                <c:pt idx="173">
                  <c:v>8.67</c:v>
                </c:pt>
                <c:pt idx="174">
                  <c:v>8.42</c:v>
                </c:pt>
                <c:pt idx="175">
                  <c:v>8.76</c:v>
                </c:pt>
                <c:pt idx="176">
                  <c:v>8.76</c:v>
                </c:pt>
                <c:pt idx="177">
                  <c:v>8.7799999999999994</c:v>
                </c:pt>
                <c:pt idx="178">
                  <c:v>8.41</c:v>
                </c:pt>
                <c:pt idx="179">
                  <c:v>8.5</c:v>
                </c:pt>
                <c:pt idx="180">
                  <c:v>9.09</c:v>
                </c:pt>
                <c:pt idx="181">
                  <c:v>9.58</c:v>
                </c:pt>
                <c:pt idx="182">
                  <c:v>9.4600000000000009</c:v>
                </c:pt>
                <c:pt idx="183">
                  <c:v>9.77</c:v>
                </c:pt>
                <c:pt idx="184">
                  <c:v>9.06</c:v>
                </c:pt>
                <c:pt idx="185">
                  <c:v>8.92</c:v>
                </c:pt>
                <c:pt idx="186">
                  <c:v>9.01</c:v>
                </c:pt>
                <c:pt idx="187">
                  <c:v>8.68</c:v>
                </c:pt>
                <c:pt idx="188">
                  <c:v>9.0399999999999991</c:v>
                </c:pt>
                <c:pt idx="189">
                  <c:v>9.17</c:v>
                </c:pt>
                <c:pt idx="190">
                  <c:v>9.1199999999999992</c:v>
                </c:pt>
                <c:pt idx="191">
                  <c:v>9.16</c:v>
                </c:pt>
                <c:pt idx="192">
                  <c:v>8.9600000000000009</c:v>
                </c:pt>
                <c:pt idx="193">
                  <c:v>8.08</c:v>
                </c:pt>
                <c:pt idx="194">
                  <c:v>8.6</c:v>
                </c:pt>
                <c:pt idx="195">
                  <c:v>8.36</c:v>
                </c:pt>
                <c:pt idx="196">
                  <c:v>8.3699999999999992</c:v>
                </c:pt>
                <c:pt idx="197">
                  <c:v>8.41</c:v>
                </c:pt>
                <c:pt idx="198">
                  <c:v>8.25</c:v>
                </c:pt>
                <c:pt idx="199">
                  <c:v>8.1</c:v>
                </c:pt>
                <c:pt idx="200">
                  <c:v>7.99</c:v>
                </c:pt>
                <c:pt idx="201">
                  <c:v>8.06</c:v>
                </c:pt>
                <c:pt idx="202">
                  <c:v>8.5299999999999994</c:v>
                </c:pt>
                <c:pt idx="203">
                  <c:v>8.3800000000000008</c:v>
                </c:pt>
                <c:pt idx="204">
                  <c:v>8.42</c:v>
                </c:pt>
                <c:pt idx="205">
                  <c:v>8.09</c:v>
                </c:pt>
                <c:pt idx="206">
                  <c:v>8.14</c:v>
                </c:pt>
                <c:pt idx="207">
                  <c:v>8.15</c:v>
                </c:pt>
                <c:pt idx="208">
                  <c:v>8.43</c:v>
                </c:pt>
                <c:pt idx="209">
                  <c:v>8.5399999999999991</c:v>
                </c:pt>
                <c:pt idx="210">
                  <c:v>8.0500000000000007</c:v>
                </c:pt>
                <c:pt idx="211">
                  <c:v>8.08</c:v>
                </c:pt>
                <c:pt idx="212">
                  <c:v>8.48</c:v>
                </c:pt>
                <c:pt idx="213">
                  <c:v>8.86</c:v>
                </c:pt>
                <c:pt idx="214">
                  <c:v>8.9600000000000009</c:v>
                </c:pt>
                <c:pt idx="215">
                  <c:v>9.69</c:v>
                </c:pt>
                <c:pt idx="216">
                  <c:v>9.1199999999999992</c:v>
                </c:pt>
                <c:pt idx="217">
                  <c:v>9.16</c:v>
                </c:pt>
                <c:pt idx="218">
                  <c:v>9.33</c:v>
                </c:pt>
                <c:pt idx="219">
                  <c:v>8.8699999999999992</c:v>
                </c:pt>
                <c:pt idx="220">
                  <c:v>8.98</c:v>
                </c:pt>
                <c:pt idx="221">
                  <c:v>9.01</c:v>
                </c:pt>
                <c:pt idx="222">
                  <c:v>8.74</c:v>
                </c:pt>
                <c:pt idx="223">
                  <c:v>8.83</c:v>
                </c:pt>
                <c:pt idx="224">
                  <c:v>9.16</c:v>
                </c:pt>
                <c:pt idx="225">
                  <c:v>9.19</c:v>
                </c:pt>
                <c:pt idx="226">
                  <c:v>9.25</c:v>
                </c:pt>
                <c:pt idx="227">
                  <c:v>9.43</c:v>
                </c:pt>
                <c:pt idx="228">
                  <c:v>9.35</c:v>
                </c:pt>
                <c:pt idx="229">
                  <c:v>9.35</c:v>
                </c:pt>
                <c:pt idx="230">
                  <c:v>9.6999999999999993</c:v>
                </c:pt>
                <c:pt idx="231">
                  <c:v>9.77</c:v>
                </c:pt>
                <c:pt idx="232">
                  <c:v>9.98</c:v>
                </c:pt>
                <c:pt idx="233">
                  <c:v>9.91</c:v>
                </c:pt>
                <c:pt idx="234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6-49F6-85EE-9344C8E4F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84175"/>
        <c:axId val="58479375"/>
      </c:lineChart>
      <c:dateAx>
        <c:axId val="584841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375"/>
        <c:crosses val="autoZero"/>
        <c:auto val="1"/>
        <c:lblOffset val="100"/>
        <c:baseTimeUnit val="days"/>
      </c:dateAx>
      <c:valAx>
        <c:axId val="5847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Ford!$E$1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Ford!$A$2:$A$237</c:f>
              <c:numCache>
                <c:formatCode>m/d/yyyy</c:formatCode>
                <c:ptCount val="23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</c:numCache>
            </c:numRef>
          </c:cat>
          <c:val>
            <c:numRef>
              <c:f>Ford!$E$2:$E$237</c:f>
              <c:numCache>
                <c:formatCode>General</c:formatCode>
                <c:ptCount val="236"/>
                <c:pt idx="0">
                  <c:v>9.4972999999999992</c:v>
                </c:pt>
                <c:pt idx="1">
                  <c:v>9.618409507604996</c:v>
                </c:pt>
                <c:pt idx="2">
                  <c:v>9.6627671282149556</c:v>
                </c:pt>
                <c:pt idx="3">
                  <c:v>9.6495859022279049</c:v>
                </c:pt>
                <c:pt idx="4">
                  <c:v>9.6377659578455948</c:v>
                </c:pt>
                <c:pt idx="5">
                  <c:v>9.6123617394726946</c:v>
                </c:pt>
                <c:pt idx="6">
                  <c:v>9.6045292405822167</c:v>
                </c:pt>
                <c:pt idx="7">
                  <c:v>9.6063535099317541</c:v>
                </c:pt>
                <c:pt idx="8">
                  <c:v>9.628186899978628</c:v>
                </c:pt>
                <c:pt idx="9">
                  <c:v>9.644377275861121</c:v>
                </c:pt>
                <c:pt idx="10">
                  <c:v>9.6772750823007225</c:v>
                </c:pt>
                <c:pt idx="11">
                  <c:v>9.7281897116980467</c:v>
                </c:pt>
                <c:pt idx="12">
                  <c:v>9.7394835002364566</c:v>
                </c:pt>
                <c:pt idx="13">
                  <c:v>9.7561026188245936</c:v>
                </c:pt>
                <c:pt idx="14">
                  <c:v>9.7655855369206677</c:v>
                </c:pt>
                <c:pt idx="15">
                  <c:v>9.7986456677622797</c:v>
                </c:pt>
                <c:pt idx="16">
                  <c:v>9.8089749267377044</c:v>
                </c:pt>
                <c:pt idx="17">
                  <c:v>9.8234587006802929</c:v>
                </c:pt>
                <c:pt idx="18">
                  <c:v>9.833441551408054</c:v>
                </c:pt>
                <c:pt idx="19">
                  <c:v>9.8402271485046953</c:v>
                </c:pt>
                <c:pt idx="20">
                  <c:v>9.8306341194488702</c:v>
                </c:pt>
                <c:pt idx="21">
                  <c:v>9.8382047003481752</c:v>
                </c:pt>
                <c:pt idx="22">
                  <c:v>9.8392097769727584</c:v>
                </c:pt>
                <c:pt idx="23">
                  <c:v>9.7531248567929403</c:v>
                </c:pt>
                <c:pt idx="24">
                  <c:v>9.7071220858042029</c:v>
                </c:pt>
                <c:pt idx="25">
                  <c:v>9.6859531955167686</c:v>
                </c:pt>
                <c:pt idx="26">
                  <c:v>9.6700639990204067</c:v>
                </c:pt>
                <c:pt idx="27">
                  <c:v>9.6522313649240523</c:v>
                </c:pt>
                <c:pt idx="28">
                  <c:v>9.63803696513056</c:v>
                </c:pt>
                <c:pt idx="29">
                  <c:v>9.6309543668715225</c:v>
                </c:pt>
                <c:pt idx="30">
                  <c:v>9.6222615958616284</c:v>
                </c:pt>
                <c:pt idx="31">
                  <c:v>9.6165694350018729</c:v>
                </c:pt>
                <c:pt idx="32">
                  <c:v>9.6130044588654009</c:v>
                </c:pt>
                <c:pt idx="33">
                  <c:v>9.6054825848515293</c:v>
                </c:pt>
                <c:pt idx="34">
                  <c:v>9.5985124000169364</c:v>
                </c:pt>
                <c:pt idx="35">
                  <c:v>9.5927400646464012</c:v>
                </c:pt>
                <c:pt idx="36">
                  <c:v>9.5889344172118758</c:v>
                </c:pt>
                <c:pt idx="37">
                  <c:v>9.581682858460038</c:v>
                </c:pt>
                <c:pt idx="38">
                  <c:v>9.5802470719479693</c:v>
                </c:pt>
                <c:pt idx="39">
                  <c:v>9.5710639557830053</c:v>
                </c:pt>
                <c:pt idx="40">
                  <c:v>9.5486243437174938</c:v>
                </c:pt>
                <c:pt idx="41">
                  <c:v>9.5531621464005934</c:v>
                </c:pt>
                <c:pt idx="42">
                  <c:v>9.555283907203945</c:v>
                </c:pt>
                <c:pt idx="43">
                  <c:v>9.5689063999695296</c:v>
                </c:pt>
                <c:pt idx="44">
                  <c:v>9.5853378060082548</c:v>
                </c:pt>
                <c:pt idx="45">
                  <c:v>9.5905873692947683</c:v>
                </c:pt>
                <c:pt idx="46">
                  <c:v>9.5905696919551033</c:v>
                </c:pt>
                <c:pt idx="47">
                  <c:v>9.5886977767343406</c:v>
                </c:pt>
                <c:pt idx="48">
                  <c:v>9.5915345479916372</c:v>
                </c:pt>
                <c:pt idx="49">
                  <c:v>9.5985027179835232</c:v>
                </c:pt>
                <c:pt idx="50">
                  <c:v>9.6061051680963416</c:v>
                </c:pt>
                <c:pt idx="51">
                  <c:v>9.6205306776747381</c:v>
                </c:pt>
                <c:pt idx="52">
                  <c:v>9.6290572608814706</c:v>
                </c:pt>
                <c:pt idx="53">
                  <c:v>9.646143808319783</c:v>
                </c:pt>
                <c:pt idx="54">
                  <c:v>9.6578022704538249</c:v>
                </c:pt>
                <c:pt idx="55">
                  <c:v>9.6675790203314858</c:v>
                </c:pt>
                <c:pt idx="56">
                  <c:v>9.6836383028253579</c:v>
                </c:pt>
                <c:pt idx="57">
                  <c:v>9.6922105848075812</c:v>
                </c:pt>
                <c:pt idx="58">
                  <c:v>9.692853329565791</c:v>
                </c:pt>
                <c:pt idx="59">
                  <c:v>9.7006426967207275</c:v>
                </c:pt>
                <c:pt idx="60">
                  <c:v>9.705875493185582</c:v>
                </c:pt>
                <c:pt idx="61">
                  <c:v>9.7154815116549216</c:v>
                </c:pt>
                <c:pt idx="62">
                  <c:v>9.7095803025452163</c:v>
                </c:pt>
                <c:pt idx="63">
                  <c:v>9.7061621062228767</c:v>
                </c:pt>
                <c:pt idx="64">
                  <c:v>9.687859228584621</c:v>
                </c:pt>
                <c:pt idx="65">
                  <c:v>9.6602466173883492</c:v>
                </c:pt>
                <c:pt idx="66">
                  <c:v>9.6559237728749245</c:v>
                </c:pt>
                <c:pt idx="67">
                  <c:v>9.644770834581978</c:v>
                </c:pt>
                <c:pt idx="68">
                  <c:v>9.638808003964396</c:v>
                </c:pt>
                <c:pt idx="69">
                  <c:v>9.6405195912468375</c:v>
                </c:pt>
                <c:pt idx="70">
                  <c:v>9.6375414119037544</c:v>
                </c:pt>
                <c:pt idx="71">
                  <c:v>9.6336464251271838</c:v>
                </c:pt>
                <c:pt idx="72">
                  <c:v>9.6335895899529245</c:v>
                </c:pt>
                <c:pt idx="73">
                  <c:v>9.6317526603808474</c:v>
                </c:pt>
                <c:pt idx="74">
                  <c:v>9.6320130938182409</c:v>
                </c:pt>
                <c:pt idx="75">
                  <c:v>9.6347237416948488</c:v>
                </c:pt>
                <c:pt idx="76">
                  <c:v>9.6389533531249629</c:v>
                </c:pt>
                <c:pt idx="77">
                  <c:v>9.6429768950003147</c:v>
                </c:pt>
                <c:pt idx="78">
                  <c:v>9.6462349317945044</c:v>
                </c:pt>
                <c:pt idx="79">
                  <c:v>9.6541308386224536</c:v>
                </c:pt>
                <c:pt idx="80">
                  <c:v>9.6594101753759141</c:v>
                </c:pt>
                <c:pt idx="81">
                  <c:v>9.6664768782591057</c:v>
                </c:pt>
                <c:pt idx="82">
                  <c:v>9.6718417446309655</c:v>
                </c:pt>
                <c:pt idx="83">
                  <c:v>9.6773824090532017</c:v>
                </c:pt>
                <c:pt idx="84">
                  <c:v>9.6878088774270115</c:v>
                </c:pt>
                <c:pt idx="85">
                  <c:v>9.6949053981282685</c:v>
                </c:pt>
                <c:pt idx="86">
                  <c:v>9.701261667265733</c:v>
                </c:pt>
                <c:pt idx="87">
                  <c:v>9.7068582838807185</c:v>
                </c:pt>
                <c:pt idx="88">
                  <c:v>9.7154239131036775</c:v>
                </c:pt>
                <c:pt idx="89">
                  <c:v>9.7227321648898659</c:v>
                </c:pt>
                <c:pt idx="90">
                  <c:v>9.7304007883582866</c:v>
                </c:pt>
                <c:pt idx="91">
                  <c:v>9.7374503385190607</c:v>
                </c:pt>
                <c:pt idx="92">
                  <c:v>9.7441158198898048</c:v>
                </c:pt>
                <c:pt idx="93">
                  <c:v>9.7499334377232323</c:v>
                </c:pt>
                <c:pt idx="94">
                  <c:v>9.755591614348468</c:v>
                </c:pt>
                <c:pt idx="95">
                  <c:v>9.7617042097021276</c:v>
                </c:pt>
                <c:pt idx="96">
                  <c:v>9.7676949398391137</c:v>
                </c:pt>
                <c:pt idx="97">
                  <c:v>9.7721385051361569</c:v>
                </c:pt>
                <c:pt idx="98">
                  <c:v>9.7765652551728905</c:v>
                </c:pt>
                <c:pt idx="99">
                  <c:v>9.7802508729167279</c:v>
                </c:pt>
                <c:pt idx="100">
                  <c:v>9.7843065689341842</c:v>
                </c:pt>
                <c:pt idx="101">
                  <c:v>9.7924170545443712</c:v>
                </c:pt>
                <c:pt idx="102">
                  <c:v>9.7952326941777788</c:v>
                </c:pt>
                <c:pt idx="103">
                  <c:v>9.7994173107409654</c:v>
                </c:pt>
                <c:pt idx="104">
                  <c:v>9.8040990209244221</c:v>
                </c:pt>
                <c:pt idx="105">
                  <c:v>9.8074618929531479</c:v>
                </c:pt>
                <c:pt idx="106">
                  <c:v>9.8115127588110145</c:v>
                </c:pt>
                <c:pt idx="107">
                  <c:v>9.81433995607504</c:v>
                </c:pt>
                <c:pt idx="108">
                  <c:v>9.8201062555404537</c:v>
                </c:pt>
                <c:pt idx="109">
                  <c:v>9.8265804979468285</c:v>
                </c:pt>
                <c:pt idx="110">
                  <c:v>9.8310020015524291</c:v>
                </c:pt>
                <c:pt idx="111">
                  <c:v>9.8354103130119945</c:v>
                </c:pt>
                <c:pt idx="112">
                  <c:v>9.8401995446403951</c:v>
                </c:pt>
                <c:pt idx="113">
                  <c:v>9.8449131837522472</c:v>
                </c:pt>
                <c:pt idx="114">
                  <c:v>9.8487866300697036</c:v>
                </c:pt>
                <c:pt idx="115">
                  <c:v>9.8556437623180848</c:v>
                </c:pt>
                <c:pt idx="116">
                  <c:v>9.8611082075259535</c:v>
                </c:pt>
                <c:pt idx="117">
                  <c:v>9.8663623751446536</c:v>
                </c:pt>
                <c:pt idx="118">
                  <c:v>9.8707468096897042</c:v>
                </c:pt>
                <c:pt idx="119">
                  <c:v>9.8759288634328843</c:v>
                </c:pt>
                <c:pt idx="120">
                  <c:v>9.8887321010818034</c:v>
                </c:pt>
                <c:pt idx="121">
                  <c:v>9.8951628216920682</c:v>
                </c:pt>
                <c:pt idx="122">
                  <c:v>9.9104187901274816</c:v>
                </c:pt>
                <c:pt idx="123">
                  <c:v>9.927285357361237</c:v>
                </c:pt>
                <c:pt idx="124">
                  <c:v>9.9356668158215733</c:v>
                </c:pt>
                <c:pt idx="125">
                  <c:v>9.9446349385579627</c:v>
                </c:pt>
                <c:pt idx="126">
                  <c:v>9.9540354831868694</c:v>
                </c:pt>
                <c:pt idx="127">
                  <c:v>9.9627457345774566</c:v>
                </c:pt>
                <c:pt idx="128">
                  <c:v>9.9722184735514379</c:v>
                </c:pt>
                <c:pt idx="129">
                  <c:v>9.9807212157659499</c:v>
                </c:pt>
                <c:pt idx="130">
                  <c:v>9.9891732046711414</c:v>
                </c:pt>
                <c:pt idx="131">
                  <c:v>9.9965140927924665</c:v>
                </c:pt>
                <c:pt idx="132">
                  <c:v>10.006018285339543</c:v>
                </c:pt>
                <c:pt idx="133">
                  <c:v>10.011686356033499</c:v>
                </c:pt>
                <c:pt idx="134">
                  <c:v>10.017225080056715</c:v>
                </c:pt>
                <c:pt idx="135">
                  <c:v>10.02313469987361</c:v>
                </c:pt>
                <c:pt idx="136">
                  <c:v>10.029563856268865</c:v>
                </c:pt>
                <c:pt idx="137">
                  <c:v>10.036663267571063</c:v>
                </c:pt>
                <c:pt idx="138">
                  <c:v>10.042006656735021</c:v>
                </c:pt>
                <c:pt idx="139">
                  <c:v>10.047121980055142</c:v>
                </c:pt>
                <c:pt idx="140">
                  <c:v>10.051678607663325</c:v>
                </c:pt>
                <c:pt idx="141">
                  <c:v>10.055757468487005</c:v>
                </c:pt>
                <c:pt idx="142">
                  <c:v>10.06015267253199</c:v>
                </c:pt>
                <c:pt idx="143">
                  <c:v>10.067005490699906</c:v>
                </c:pt>
                <c:pt idx="144">
                  <c:v>10.070704513676471</c:v>
                </c:pt>
                <c:pt idx="145">
                  <c:v>10.074022042775216</c:v>
                </c:pt>
                <c:pt idx="146">
                  <c:v>10.077869219060439</c:v>
                </c:pt>
                <c:pt idx="147">
                  <c:v>10.082318312800771</c:v>
                </c:pt>
                <c:pt idx="148">
                  <c:v>10.087967349080962</c:v>
                </c:pt>
                <c:pt idx="149">
                  <c:v>10.091878749041523</c:v>
                </c:pt>
                <c:pt idx="150">
                  <c:v>10.097637062307005</c:v>
                </c:pt>
                <c:pt idx="151">
                  <c:v>10.10242326228812</c:v>
                </c:pt>
                <c:pt idx="152">
                  <c:v>10.107938733254434</c:v>
                </c:pt>
                <c:pt idx="153">
                  <c:v>10.112439055451031</c:v>
                </c:pt>
                <c:pt idx="154">
                  <c:v>10.116371576261447</c:v>
                </c:pt>
                <c:pt idx="155">
                  <c:v>10.119565373476341</c:v>
                </c:pt>
                <c:pt idx="156">
                  <c:v>10.124972207176445</c:v>
                </c:pt>
                <c:pt idx="157">
                  <c:v>10.129007813295834</c:v>
                </c:pt>
                <c:pt idx="158">
                  <c:v>10.132951151585692</c:v>
                </c:pt>
                <c:pt idx="159">
                  <c:v>10.138894493627623</c:v>
                </c:pt>
                <c:pt idx="160">
                  <c:v>10.143664356461111</c:v>
                </c:pt>
                <c:pt idx="161">
                  <c:v>10.14884356260661</c:v>
                </c:pt>
                <c:pt idx="162">
                  <c:v>10.153298859303947</c:v>
                </c:pt>
                <c:pt idx="163">
                  <c:v>10.157939084680544</c:v>
                </c:pt>
                <c:pt idx="164">
                  <c:v>10.162364235771623</c:v>
                </c:pt>
                <c:pt idx="165">
                  <c:v>10.167942784642616</c:v>
                </c:pt>
                <c:pt idx="166">
                  <c:v>10.172231491971251</c:v>
                </c:pt>
                <c:pt idx="167">
                  <c:v>10.175316931746927</c:v>
                </c:pt>
                <c:pt idx="168">
                  <c:v>10.179897902680526</c:v>
                </c:pt>
                <c:pt idx="169">
                  <c:v>10.183583547545195</c:v>
                </c:pt>
                <c:pt idx="170">
                  <c:v>10.186886327033978</c:v>
                </c:pt>
                <c:pt idx="171">
                  <c:v>10.190428652551521</c:v>
                </c:pt>
                <c:pt idx="172">
                  <c:v>10.196560344861123</c:v>
                </c:pt>
                <c:pt idx="173">
                  <c:v>10.201069374251061</c:v>
                </c:pt>
                <c:pt idx="174">
                  <c:v>10.205358560736</c:v>
                </c:pt>
                <c:pt idx="175">
                  <c:v>10.210275150282076</c:v>
                </c:pt>
                <c:pt idx="176">
                  <c:v>10.2162443087255</c:v>
                </c:pt>
                <c:pt idx="177">
                  <c:v>10.22126257859788</c:v>
                </c:pt>
                <c:pt idx="178">
                  <c:v>10.227235862443083</c:v>
                </c:pt>
                <c:pt idx="179">
                  <c:v>10.232206619346172</c:v>
                </c:pt>
                <c:pt idx="180">
                  <c:v>10.237140774175764</c:v>
                </c:pt>
                <c:pt idx="181">
                  <c:v>10.242084715614295</c:v>
                </c:pt>
                <c:pt idx="182">
                  <c:v>10.247560121087064</c:v>
                </c:pt>
                <c:pt idx="183">
                  <c:v>10.259658233706276</c:v>
                </c:pt>
                <c:pt idx="184">
                  <c:v>10.268511340210148</c:v>
                </c:pt>
                <c:pt idx="185">
                  <c:v>10.275431174255333</c:v>
                </c:pt>
                <c:pt idx="186">
                  <c:v>10.283879368772203</c:v>
                </c:pt>
                <c:pt idx="187">
                  <c:v>10.292150629256197</c:v>
                </c:pt>
                <c:pt idx="188">
                  <c:v>10.305807651333543</c:v>
                </c:pt>
                <c:pt idx="189">
                  <c:v>10.3180987711123</c:v>
                </c:pt>
                <c:pt idx="190">
                  <c:v>10.331999528670313</c:v>
                </c:pt>
                <c:pt idx="191">
                  <c:v>10.338182203916041</c:v>
                </c:pt>
                <c:pt idx="192">
                  <c:v>10.342736131726163</c:v>
                </c:pt>
                <c:pt idx="193">
                  <c:v>10.347745025303562</c:v>
                </c:pt>
                <c:pt idx="194">
                  <c:v>10.352615713901285</c:v>
                </c:pt>
                <c:pt idx="195">
                  <c:v>10.358972623173276</c:v>
                </c:pt>
                <c:pt idx="196">
                  <c:v>10.365791897039031</c:v>
                </c:pt>
                <c:pt idx="197">
                  <c:v>10.373916549052149</c:v>
                </c:pt>
                <c:pt idx="198">
                  <c:v>10.382914909358217</c:v>
                </c:pt>
                <c:pt idx="199">
                  <c:v>10.389654239455172</c:v>
                </c:pt>
                <c:pt idx="200">
                  <c:v>10.423834323800508</c:v>
                </c:pt>
                <c:pt idx="201">
                  <c:v>10.467015442662337</c:v>
                </c:pt>
                <c:pt idx="202">
                  <c:v>10.512490199491635</c:v>
                </c:pt>
                <c:pt idx="203">
                  <c:v>10.561978421707094</c:v>
                </c:pt>
                <c:pt idx="204">
                  <c:v>10.580789916428241</c:v>
                </c:pt>
                <c:pt idx="205">
                  <c:v>10.592938437401177</c:v>
                </c:pt>
                <c:pt idx="206">
                  <c:v>10.609462431631394</c:v>
                </c:pt>
                <c:pt idx="207">
                  <c:v>10.619113533295758</c:v>
                </c:pt>
                <c:pt idx="208">
                  <c:v>10.627516566889891</c:v>
                </c:pt>
                <c:pt idx="209">
                  <c:v>10.636791828064688</c:v>
                </c:pt>
                <c:pt idx="210">
                  <c:v>10.644101102562894</c:v>
                </c:pt>
                <c:pt idx="211">
                  <c:v>10.653479827282911</c:v>
                </c:pt>
                <c:pt idx="212">
                  <c:v>10.663196704241908</c:v>
                </c:pt>
                <c:pt idx="213">
                  <c:v>10.672914682646766</c:v>
                </c:pt>
                <c:pt idx="214">
                  <c:v>10.680252829337489</c:v>
                </c:pt>
                <c:pt idx="215">
                  <c:v>10.690148629731114</c:v>
                </c:pt>
                <c:pt idx="216">
                  <c:v>10.698209654915191</c:v>
                </c:pt>
                <c:pt idx="217">
                  <c:v>10.706896926382072</c:v>
                </c:pt>
                <c:pt idx="218">
                  <c:v>10.71481197107275</c:v>
                </c:pt>
                <c:pt idx="219">
                  <c:v>10.722243973520635</c:v>
                </c:pt>
                <c:pt idx="220">
                  <c:v>10.729763680502641</c:v>
                </c:pt>
                <c:pt idx="221">
                  <c:v>10.734771154664905</c:v>
                </c:pt>
                <c:pt idx="222">
                  <c:v>10.742205620628862</c:v>
                </c:pt>
                <c:pt idx="223">
                  <c:v>10.749338249555073</c:v>
                </c:pt>
                <c:pt idx="224">
                  <c:v>10.754724165096402</c:v>
                </c:pt>
                <c:pt idx="225">
                  <c:v>10.76058861622449</c:v>
                </c:pt>
                <c:pt idx="226">
                  <c:v>10.765591133459523</c:v>
                </c:pt>
                <c:pt idx="227">
                  <c:v>10.768989232834281</c:v>
                </c:pt>
                <c:pt idx="228">
                  <c:v>10.774620448525326</c:v>
                </c:pt>
                <c:pt idx="229">
                  <c:v>10.780355591656924</c:v>
                </c:pt>
                <c:pt idx="230">
                  <c:v>10.785116034629205</c:v>
                </c:pt>
                <c:pt idx="231">
                  <c:v>10.790193080568899</c:v>
                </c:pt>
                <c:pt idx="232">
                  <c:v>10.79567314975699</c:v>
                </c:pt>
                <c:pt idx="233">
                  <c:v>10.800495839985459</c:v>
                </c:pt>
                <c:pt idx="234">
                  <c:v>10.80392171746553</c:v>
                </c:pt>
                <c:pt idx="235">
                  <c:v>10.812374775217309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F-4FB3-83A7-DBEBA50998E2}"/>
            </c:ext>
          </c:extLst>
        </c:ser>
        <c:ser>
          <c:idx val="1"/>
          <c:order val="1"/>
          <c:tx>
            <c:strRef>
              <c:f>Ford!$G$1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Ford!$A$2:$A$237</c:f>
              <c:numCache>
                <c:formatCode>m/d/yyyy</c:formatCode>
                <c:ptCount val="23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</c:numCache>
            </c:numRef>
          </c:cat>
          <c:val>
            <c:numRef>
              <c:f>Ford!$G$2:$G$237</c:f>
              <c:numCache>
                <c:formatCode>General</c:formatCode>
                <c:ptCount val="236"/>
                <c:pt idx="0">
                  <c:v>9.4972999999999992</c:v>
                </c:pt>
                <c:pt idx="1">
                  <c:v>9.844809507604996</c:v>
                </c:pt>
                <c:pt idx="2">
                  <c:v>9.8970119763736477</c:v>
                </c:pt>
                <c:pt idx="3">
                  <c:v>9.8581175005529555</c:v>
                </c:pt>
                <c:pt idx="4">
                  <c:v>9.8306673585662736</c:v>
                </c:pt>
                <c:pt idx="5">
                  <c:v>9.8162282235580722</c:v>
                </c:pt>
                <c:pt idx="6">
                  <c:v>9.7972635040812914</c:v>
                </c:pt>
                <c:pt idx="7">
                  <c:v>9.7871800220918903</c:v>
                </c:pt>
                <c:pt idx="8">
                  <c:v>9.8348257153062431</c:v>
                </c:pt>
                <c:pt idx="9">
                  <c:v>9.8821050832375406</c:v>
                </c:pt>
                <c:pt idx="10">
                  <c:v>9.98778757682582</c:v>
                </c:pt>
                <c:pt idx="11">
                  <c:v>10.166056167747529</c:v>
                </c:pt>
                <c:pt idx="12">
                  <c:v>10.166681405401633</c:v>
                </c:pt>
                <c:pt idx="13">
                  <c:v>10.188470112741422</c:v>
                </c:pt>
                <c:pt idx="14">
                  <c:v>10.194921608547546</c:v>
                </c:pt>
                <c:pt idx="15">
                  <c:v>10.266096554052755</c:v>
                </c:pt>
                <c:pt idx="16">
                  <c:v>10.265895056197857</c:v>
                </c:pt>
                <c:pt idx="17">
                  <c:v>10.280881943785991</c:v>
                </c:pt>
                <c:pt idx="18">
                  <c:v>10.285641722807679</c:v>
                </c:pt>
                <c:pt idx="19">
                  <c:v>10.282683580145145</c:v>
                </c:pt>
                <c:pt idx="20">
                  <c:v>10.264624229579978</c:v>
                </c:pt>
                <c:pt idx="21">
                  <c:v>10.267973180881013</c:v>
                </c:pt>
                <c:pt idx="22">
                  <c:v>10.259564734369409</c:v>
                </c:pt>
                <c:pt idx="23">
                  <c:v>10.256572079835127</c:v>
                </c:pt>
                <c:pt idx="24">
                  <c:v>10.2744729534126</c:v>
                </c:pt>
                <c:pt idx="25">
                  <c:v>10.301777934090214</c:v>
                </c:pt>
                <c:pt idx="26">
                  <c:v>10.3281305429932</c:v>
                </c:pt>
                <c:pt idx="27">
                  <c:v>10.341284599553324</c:v>
                </c:pt>
                <c:pt idx="28">
                  <c:v>10.339577526867505</c:v>
                </c:pt>
                <c:pt idx="29">
                  <c:v>10.332579978211992</c:v>
                </c:pt>
                <c:pt idx="30">
                  <c:v>10.3258352446072</c:v>
                </c:pt>
                <c:pt idx="31">
                  <c:v>10.318162454382589</c:v>
                </c:pt>
                <c:pt idx="32">
                  <c:v>10.309769199797154</c:v>
                </c:pt>
                <c:pt idx="33">
                  <c:v>10.302951090521416</c:v>
                </c:pt>
                <c:pt idx="34">
                  <c:v>10.292464480371605</c:v>
                </c:pt>
                <c:pt idx="35">
                  <c:v>10.280349699181995</c:v>
                </c:pt>
                <c:pt idx="36">
                  <c:v>10.268952691146715</c:v>
                </c:pt>
                <c:pt idx="37">
                  <c:v>10.260804232979822</c:v>
                </c:pt>
                <c:pt idx="38">
                  <c:v>10.250858155672901</c:v>
                </c:pt>
                <c:pt idx="39">
                  <c:v>10.236689560684139</c:v>
                </c:pt>
                <c:pt idx="40">
                  <c:v>10.222645145236578</c:v>
                </c:pt>
                <c:pt idx="41">
                  <c:v>10.219365114389946</c:v>
                </c:pt>
                <c:pt idx="42">
                  <c:v>10.213719555635905</c:v>
                </c:pt>
                <c:pt idx="43">
                  <c:v>10.226280461125727</c:v>
                </c:pt>
                <c:pt idx="44">
                  <c:v>10.244045539710772</c:v>
                </c:pt>
                <c:pt idx="45">
                  <c:v>10.242550597988687</c:v>
                </c:pt>
                <c:pt idx="46">
                  <c:v>10.235581578173887</c:v>
                </c:pt>
                <c:pt idx="47">
                  <c:v>10.227343741462757</c:v>
                </c:pt>
                <c:pt idx="48">
                  <c:v>10.224596840573533</c:v>
                </c:pt>
                <c:pt idx="49">
                  <c:v>10.231229043100473</c:v>
                </c:pt>
                <c:pt idx="50">
                  <c:v>10.23944410254617</c:v>
                </c:pt>
                <c:pt idx="51">
                  <c:v>10.265581049773212</c:v>
                </c:pt>
                <c:pt idx="52">
                  <c:v>10.276211734565173</c:v>
                </c:pt>
                <c:pt idx="53">
                  <c:v>10.294612158685945</c:v>
                </c:pt>
                <c:pt idx="54">
                  <c:v>10.320309277281577</c:v>
                </c:pt>
                <c:pt idx="55">
                  <c:v>10.345214065498702</c:v>
                </c:pt>
                <c:pt idx="56">
                  <c:v>10.375481294334248</c:v>
                </c:pt>
                <c:pt idx="57">
                  <c:v>10.380464565801763</c:v>
                </c:pt>
                <c:pt idx="58">
                  <c:v>10.37531596390834</c:v>
                </c:pt>
                <c:pt idx="59">
                  <c:v>10.383174814613765</c:v>
                </c:pt>
                <c:pt idx="60">
                  <c:v>10.385771422098315</c:v>
                </c:pt>
                <c:pt idx="61">
                  <c:v>10.399601910780309</c:v>
                </c:pt>
                <c:pt idx="62">
                  <c:v>10.389442096349464</c:v>
                </c:pt>
                <c:pt idx="63">
                  <c:v>10.381331365991075</c:v>
                </c:pt>
                <c:pt idx="64">
                  <c:v>10.367177994108509</c:v>
                </c:pt>
                <c:pt idx="65">
                  <c:v>10.377269374512029</c:v>
                </c:pt>
                <c:pt idx="66">
                  <c:v>10.36883188347478</c:v>
                </c:pt>
                <c:pt idx="67">
                  <c:v>10.363907914386777</c:v>
                </c:pt>
                <c:pt idx="68">
                  <c:v>10.357165431671836</c:v>
                </c:pt>
                <c:pt idx="69">
                  <c:v>10.353829392539662</c:v>
                </c:pt>
                <c:pt idx="70">
                  <c:v>10.347535757279953</c:v>
                </c:pt>
                <c:pt idx="71">
                  <c:v>10.341253554280357</c:v>
                </c:pt>
                <c:pt idx="72">
                  <c:v>10.336354411753748</c:v>
                </c:pt>
                <c:pt idx="73">
                  <c:v>10.331031860512693</c:v>
                </c:pt>
                <c:pt idx="74">
                  <c:v>10.326614801880254</c:v>
                </c:pt>
                <c:pt idx="75">
                  <c:v>10.325370630177405</c:v>
                </c:pt>
                <c:pt idx="76">
                  <c:v>10.331283900803681</c:v>
                </c:pt>
                <c:pt idx="77">
                  <c:v>10.336215644769441</c:v>
                </c:pt>
                <c:pt idx="78">
                  <c:v>10.339694744613439</c:v>
                </c:pt>
                <c:pt idx="79">
                  <c:v>10.351550075505836</c:v>
                </c:pt>
                <c:pt idx="80">
                  <c:v>10.356494301073122</c:v>
                </c:pt>
                <c:pt idx="81">
                  <c:v>10.368033495765436</c:v>
                </c:pt>
                <c:pt idx="82">
                  <c:v>10.381209007446881</c:v>
                </c:pt>
                <c:pt idx="83">
                  <c:v>10.390143524209543</c:v>
                </c:pt>
                <c:pt idx="84">
                  <c:v>10.41429190595017</c:v>
                </c:pt>
                <c:pt idx="85">
                  <c:v>10.427599387776196</c:v>
                </c:pt>
                <c:pt idx="86">
                  <c:v>10.439739579313285</c:v>
                </c:pt>
                <c:pt idx="87">
                  <c:v>10.456471810242776</c:v>
                </c:pt>
                <c:pt idx="88">
                  <c:v>10.480772304426869</c:v>
                </c:pt>
                <c:pt idx="89">
                  <c:v>10.505095896837268</c:v>
                </c:pt>
                <c:pt idx="90">
                  <c:v>10.531000645032005</c:v>
                </c:pt>
                <c:pt idx="91">
                  <c:v>10.559983977031148</c:v>
                </c:pt>
                <c:pt idx="92">
                  <c:v>10.589565589753985</c:v>
                </c:pt>
                <c:pt idx="93">
                  <c:v>10.614246176274872</c:v>
                </c:pt>
                <c:pt idx="94">
                  <c:v>10.636165133191463</c:v>
                </c:pt>
                <c:pt idx="95">
                  <c:v>10.648584114423903</c:v>
                </c:pt>
                <c:pt idx="96">
                  <c:v>10.659288634546353</c:v>
                </c:pt>
                <c:pt idx="97">
                  <c:v>10.666012253595127</c:v>
                </c:pt>
                <c:pt idx="98">
                  <c:v>10.671373308555701</c:v>
                </c:pt>
                <c:pt idx="99">
                  <c:v>10.673271285574804</c:v>
                </c:pt>
                <c:pt idx="100">
                  <c:v>10.676332078769548</c:v>
                </c:pt>
                <c:pt idx="101">
                  <c:v>10.686678802736211</c:v>
                </c:pt>
                <c:pt idx="102">
                  <c:v>10.685601655863262</c:v>
                </c:pt>
                <c:pt idx="103">
                  <c:v>10.688189883428455</c:v>
                </c:pt>
                <c:pt idx="104">
                  <c:v>10.692051053634327</c:v>
                </c:pt>
                <c:pt idx="105">
                  <c:v>10.692612430033133</c:v>
                </c:pt>
                <c:pt idx="106">
                  <c:v>10.696124239645261</c:v>
                </c:pt>
                <c:pt idx="107">
                  <c:v>10.69985167372691</c:v>
                </c:pt>
                <c:pt idx="108">
                  <c:v>10.712959294733823</c:v>
                </c:pt>
                <c:pt idx="109">
                  <c:v>10.728227226472562</c:v>
                </c:pt>
                <c:pt idx="110">
                  <c:v>10.737258070688272</c:v>
                </c:pt>
                <c:pt idx="111">
                  <c:v>10.743659279648019</c:v>
                </c:pt>
                <c:pt idx="112">
                  <c:v>10.755017433525277</c:v>
                </c:pt>
                <c:pt idx="113">
                  <c:v>10.761151540339588</c:v>
                </c:pt>
                <c:pt idx="114">
                  <c:v>10.766526222865231</c:v>
                </c:pt>
                <c:pt idx="115">
                  <c:v>10.77841706136762</c:v>
                </c:pt>
                <c:pt idx="116">
                  <c:v>10.793138689743303</c:v>
                </c:pt>
                <c:pt idx="117">
                  <c:v>10.806591386090918</c:v>
                </c:pt>
                <c:pt idx="118">
                  <c:v>10.812683020627368</c:v>
                </c:pt>
                <c:pt idx="119">
                  <c:v>10.822780337758891</c:v>
                </c:pt>
                <c:pt idx="120">
                  <c:v>10.844861729787489</c:v>
                </c:pt>
                <c:pt idx="121">
                  <c:v>10.861622426151493</c:v>
                </c:pt>
                <c:pt idx="122">
                  <c:v>10.905680403210743</c:v>
                </c:pt>
                <c:pt idx="123">
                  <c:v>10.970518550928356</c:v>
                </c:pt>
                <c:pt idx="124">
                  <c:v>11.025397345220176</c:v>
                </c:pt>
                <c:pt idx="125">
                  <c:v>11.066953519643672</c:v>
                </c:pt>
                <c:pt idx="126">
                  <c:v>11.110973977584457</c:v>
                </c:pt>
                <c:pt idx="127">
                  <c:v>11.159015475724487</c:v>
                </c:pt>
                <c:pt idx="128">
                  <c:v>11.209027247612624</c:v>
                </c:pt>
                <c:pt idx="129">
                  <c:v>11.249885720158295</c:v>
                </c:pt>
                <c:pt idx="130">
                  <c:v>11.293016130109613</c:v>
                </c:pt>
                <c:pt idx="131">
                  <c:v>11.321420453449219</c:v>
                </c:pt>
                <c:pt idx="132">
                  <c:v>11.34119381600671</c:v>
                </c:pt>
                <c:pt idx="133">
                  <c:v>11.354473044515363</c:v>
                </c:pt>
                <c:pt idx="134">
                  <c:v>11.367516389358068</c:v>
                </c:pt>
                <c:pt idx="135">
                  <c:v>11.384257270578651</c:v>
                </c:pt>
                <c:pt idx="136">
                  <c:v>11.398152000149629</c:v>
                </c:pt>
                <c:pt idx="137">
                  <c:v>11.417028345861434</c:v>
                </c:pt>
                <c:pt idx="138">
                  <c:v>11.430700153880085</c:v>
                </c:pt>
                <c:pt idx="139">
                  <c:v>11.449031615004294</c:v>
                </c:pt>
                <c:pt idx="140">
                  <c:v>11.461576015813998</c:v>
                </c:pt>
                <c:pt idx="141">
                  <c:v>11.469241133695467</c:v>
                </c:pt>
                <c:pt idx="142">
                  <c:v>11.473677261795315</c:v>
                </c:pt>
                <c:pt idx="143">
                  <c:v>11.483648669129916</c:v>
                </c:pt>
                <c:pt idx="144">
                  <c:v>11.486558808124784</c:v>
                </c:pt>
                <c:pt idx="145">
                  <c:v>11.490819238337568</c:v>
                </c:pt>
                <c:pt idx="146">
                  <c:v>11.497248933796131</c:v>
                </c:pt>
                <c:pt idx="147">
                  <c:v>11.506830142791587</c:v>
                </c:pt>
                <c:pt idx="148">
                  <c:v>11.518767378080002</c:v>
                </c:pt>
                <c:pt idx="149">
                  <c:v>11.529522214937323</c:v>
                </c:pt>
                <c:pt idx="150">
                  <c:v>11.538489655503566</c:v>
                </c:pt>
                <c:pt idx="151">
                  <c:v>11.548286818134951</c:v>
                </c:pt>
                <c:pt idx="152">
                  <c:v>11.562428130744435</c:v>
                </c:pt>
                <c:pt idx="153">
                  <c:v>11.57522181047748</c:v>
                </c:pt>
                <c:pt idx="154">
                  <c:v>11.587129513911581</c:v>
                </c:pt>
                <c:pt idx="155">
                  <c:v>11.598409645283352</c:v>
                </c:pt>
                <c:pt idx="156">
                  <c:v>11.614186883614112</c:v>
                </c:pt>
                <c:pt idx="157">
                  <c:v>11.626276255772041</c:v>
                </c:pt>
                <c:pt idx="158">
                  <c:v>11.634931633579653</c:v>
                </c:pt>
                <c:pt idx="159">
                  <c:v>11.65389938206652</c:v>
                </c:pt>
                <c:pt idx="160">
                  <c:v>11.673141464243063</c:v>
                </c:pt>
                <c:pt idx="161">
                  <c:v>11.692738027767666</c:v>
                </c:pt>
                <c:pt idx="162">
                  <c:v>11.712795597980712</c:v>
                </c:pt>
                <c:pt idx="163">
                  <c:v>11.727834289526996</c:v>
                </c:pt>
                <c:pt idx="164">
                  <c:v>11.743582352575476</c:v>
                </c:pt>
                <c:pt idx="165">
                  <c:v>11.759012857039343</c:v>
                </c:pt>
                <c:pt idx="166">
                  <c:v>11.770820859936224</c:v>
                </c:pt>
                <c:pt idx="167">
                  <c:v>11.782310479454971</c:v>
                </c:pt>
                <c:pt idx="168">
                  <c:v>11.796185029551095</c:v>
                </c:pt>
                <c:pt idx="169">
                  <c:v>11.807865762824719</c:v>
                </c:pt>
                <c:pt idx="170">
                  <c:v>11.81540242546429</c:v>
                </c:pt>
                <c:pt idx="171">
                  <c:v>11.82194521813055</c:v>
                </c:pt>
                <c:pt idx="172">
                  <c:v>11.836715016381284</c:v>
                </c:pt>
                <c:pt idx="173">
                  <c:v>11.848091225742172</c:v>
                </c:pt>
                <c:pt idx="174">
                  <c:v>11.859010409535017</c:v>
                </c:pt>
                <c:pt idx="175">
                  <c:v>11.869146160066222</c:v>
                </c:pt>
                <c:pt idx="176">
                  <c:v>11.880974480579077</c:v>
                </c:pt>
                <c:pt idx="177">
                  <c:v>11.893019481370207</c:v>
                </c:pt>
                <c:pt idx="178">
                  <c:v>11.903789767486316</c:v>
                </c:pt>
                <c:pt idx="179">
                  <c:v>11.914021317568173</c:v>
                </c:pt>
                <c:pt idx="180">
                  <c:v>11.925178131931281</c:v>
                </c:pt>
                <c:pt idx="181">
                  <c:v>11.934543841805899</c:v>
                </c:pt>
                <c:pt idx="182">
                  <c:v>11.944133196055084</c:v>
                </c:pt>
                <c:pt idx="183">
                  <c:v>11.966904338086529</c:v>
                </c:pt>
                <c:pt idx="184">
                  <c:v>11.98767101830966</c:v>
                </c:pt>
                <c:pt idx="185">
                  <c:v>12.003631551828303</c:v>
                </c:pt>
                <c:pt idx="186">
                  <c:v>12.027012743756561</c:v>
                </c:pt>
                <c:pt idx="187">
                  <c:v>12.048674839324709</c:v>
                </c:pt>
                <c:pt idx="188">
                  <c:v>12.085657934296378</c:v>
                </c:pt>
                <c:pt idx="189">
                  <c:v>12.121201782209322</c:v>
                </c:pt>
                <c:pt idx="190">
                  <c:v>12.14158952143312</c:v>
                </c:pt>
                <c:pt idx="191">
                  <c:v>12.151388403952271</c:v>
                </c:pt>
                <c:pt idx="192">
                  <c:v>12.156484375120298</c:v>
                </c:pt>
                <c:pt idx="193">
                  <c:v>12.161049627709746</c:v>
                </c:pt>
                <c:pt idx="194">
                  <c:v>12.166791919780609</c:v>
                </c:pt>
                <c:pt idx="195">
                  <c:v>12.175235033021746</c:v>
                </c:pt>
                <c:pt idx="196">
                  <c:v>12.185447960657422</c:v>
                </c:pt>
                <c:pt idx="197">
                  <c:v>12.196584522033701</c:v>
                </c:pt>
                <c:pt idx="198">
                  <c:v>12.210962520612476</c:v>
                </c:pt>
                <c:pt idx="199">
                  <c:v>12.223958865343686</c:v>
                </c:pt>
                <c:pt idx="200">
                  <c:v>12.274535868126641</c:v>
                </c:pt>
                <c:pt idx="201">
                  <c:v>12.330997953425603</c:v>
                </c:pt>
                <c:pt idx="202">
                  <c:v>12.38768266696586</c:v>
                </c:pt>
                <c:pt idx="203">
                  <c:v>12.486099811317672</c:v>
                </c:pt>
                <c:pt idx="204">
                  <c:v>12.534905356965677</c:v>
                </c:pt>
                <c:pt idx="205">
                  <c:v>12.572745862130198</c:v>
                </c:pt>
                <c:pt idx="206">
                  <c:v>12.616771170456971</c:v>
                </c:pt>
                <c:pt idx="207">
                  <c:v>12.648779675558952</c:v>
                </c:pt>
                <c:pt idx="208">
                  <c:v>12.680401849009316</c:v>
                </c:pt>
                <c:pt idx="209">
                  <c:v>12.709547104871202</c:v>
                </c:pt>
                <c:pt idx="210">
                  <c:v>12.731754120079296</c:v>
                </c:pt>
                <c:pt idx="211">
                  <c:v>12.761993402932973</c:v>
                </c:pt>
                <c:pt idx="212">
                  <c:v>12.792146275549081</c:v>
                </c:pt>
                <c:pt idx="213">
                  <c:v>12.823578977502164</c:v>
                </c:pt>
                <c:pt idx="214">
                  <c:v>12.850931995574509</c:v>
                </c:pt>
                <c:pt idx="215">
                  <c:v>12.883162680868899</c:v>
                </c:pt>
                <c:pt idx="216">
                  <c:v>12.91612104723224</c:v>
                </c:pt>
                <c:pt idx="217">
                  <c:v>12.94535351888781</c:v>
                </c:pt>
                <c:pt idx="218">
                  <c:v>12.971441219178651</c:v>
                </c:pt>
                <c:pt idx="219">
                  <c:v>12.99101571531407</c:v>
                </c:pt>
                <c:pt idx="220">
                  <c:v>13.012713331271275</c:v>
                </c:pt>
                <c:pt idx="221">
                  <c:v>13.029508833816688</c:v>
                </c:pt>
                <c:pt idx="222">
                  <c:v>13.041487639110381</c:v>
                </c:pt>
                <c:pt idx="223">
                  <c:v>13.058795768399921</c:v>
                </c:pt>
                <c:pt idx="224">
                  <c:v>13.076118445829872</c:v>
                </c:pt>
                <c:pt idx="225">
                  <c:v>13.097104239799942</c:v>
                </c:pt>
                <c:pt idx="226">
                  <c:v>13.117168176483192</c:v>
                </c:pt>
                <c:pt idx="227">
                  <c:v>13.136792079321024</c:v>
                </c:pt>
                <c:pt idx="228">
                  <c:v>13.156171781936564</c:v>
                </c:pt>
                <c:pt idx="229">
                  <c:v>13.172167109386688</c:v>
                </c:pt>
                <c:pt idx="230">
                  <c:v>13.188899368490004</c:v>
                </c:pt>
                <c:pt idx="231">
                  <c:v>13.206421671212652</c:v>
                </c:pt>
                <c:pt idx="232">
                  <c:v>13.222355378157173</c:v>
                </c:pt>
                <c:pt idx="233">
                  <c:v>13.239017378808862</c:v>
                </c:pt>
                <c:pt idx="234">
                  <c:v>13.25308312137134</c:v>
                </c:pt>
                <c:pt idx="235">
                  <c:v>13.277091645338928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1F-4FB3-83A7-DBEBA50998E2}"/>
            </c:ext>
          </c:extLst>
        </c:ser>
        <c:ser>
          <c:idx val="2"/>
          <c:order val="2"/>
          <c:tx>
            <c:strRef>
              <c:f>Ford!$H$1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Ford!$A$2:$A$237</c:f>
              <c:numCache>
                <c:formatCode>m/d/yyyy</c:formatCode>
                <c:ptCount val="23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</c:numCache>
            </c:numRef>
          </c:cat>
          <c:val>
            <c:numRef>
              <c:f>Ford!$H$2:$H$237</c:f>
              <c:numCache>
                <c:formatCode>General</c:formatCode>
                <c:ptCount val="236"/>
                <c:pt idx="0">
                  <c:v>9.4972999999999992</c:v>
                </c:pt>
                <c:pt idx="1">
                  <c:v>9.3920095076049961</c:v>
                </c:pt>
                <c:pt idx="2">
                  <c:v>9.4285222800562636</c:v>
                </c:pt>
                <c:pt idx="3">
                  <c:v>9.4410543039028543</c:v>
                </c:pt>
                <c:pt idx="4">
                  <c:v>9.4448645571249159</c:v>
                </c:pt>
                <c:pt idx="5">
                  <c:v>9.4084952553873169</c:v>
                </c:pt>
                <c:pt idx="6">
                  <c:v>9.4117949770831419</c:v>
                </c:pt>
                <c:pt idx="7">
                  <c:v>9.4255269977716178</c:v>
                </c:pt>
                <c:pt idx="8">
                  <c:v>9.4215480846510129</c:v>
                </c:pt>
                <c:pt idx="9">
                  <c:v>9.4066494684847015</c:v>
                </c:pt>
                <c:pt idx="10">
                  <c:v>9.3667625877756251</c:v>
                </c:pt>
                <c:pt idx="11">
                  <c:v>9.2903232556485644</c:v>
                </c:pt>
                <c:pt idx="12">
                  <c:v>9.3122855950712804</c:v>
                </c:pt>
                <c:pt idx="13">
                  <c:v>9.3237351249077651</c:v>
                </c:pt>
                <c:pt idx="14">
                  <c:v>9.3362494652937897</c:v>
                </c:pt>
                <c:pt idx="15">
                  <c:v>9.3311947814718046</c:v>
                </c:pt>
                <c:pt idx="16">
                  <c:v>9.3520547972775514</c:v>
                </c:pt>
                <c:pt idx="17">
                  <c:v>9.3660354575745952</c:v>
                </c:pt>
                <c:pt idx="18">
                  <c:v>9.3812413800084293</c:v>
                </c:pt>
                <c:pt idx="19">
                  <c:v>9.3977707168642457</c:v>
                </c:pt>
                <c:pt idx="20">
                  <c:v>9.3966440093177628</c:v>
                </c:pt>
                <c:pt idx="21">
                  <c:v>9.4084362198153375</c:v>
                </c:pt>
                <c:pt idx="22">
                  <c:v>9.4188548195761079</c:v>
                </c:pt>
                <c:pt idx="23">
                  <c:v>9.2496776337507534</c:v>
                </c:pt>
                <c:pt idx="24">
                  <c:v>9.139771218195806</c:v>
                </c:pt>
                <c:pt idx="25">
                  <c:v>9.0701284569433227</c:v>
                </c:pt>
                <c:pt idx="26">
                  <c:v>9.011997455047613</c:v>
                </c:pt>
                <c:pt idx="27">
                  <c:v>8.9631781302947804</c:v>
                </c:pt>
                <c:pt idx="28">
                  <c:v>8.9364964033936154</c:v>
                </c:pt>
                <c:pt idx="29">
                  <c:v>8.9293287555310528</c:v>
                </c:pt>
                <c:pt idx="30">
                  <c:v>8.9186879471160569</c:v>
                </c:pt>
                <c:pt idx="31">
                  <c:v>8.9149764156211564</c:v>
                </c:pt>
                <c:pt idx="32">
                  <c:v>8.9162397179336477</c:v>
                </c:pt>
                <c:pt idx="33">
                  <c:v>8.9080140791816422</c:v>
                </c:pt>
                <c:pt idx="34">
                  <c:v>8.9045603196622682</c:v>
                </c:pt>
                <c:pt idx="35">
                  <c:v>8.9051304301108072</c:v>
                </c:pt>
                <c:pt idx="36">
                  <c:v>8.9089161432770361</c:v>
                </c:pt>
                <c:pt idx="37">
                  <c:v>8.9025614839402536</c:v>
                </c:pt>
                <c:pt idx="38">
                  <c:v>8.9096359882230374</c:v>
                </c:pt>
                <c:pt idx="39">
                  <c:v>8.9054383508818713</c:v>
                </c:pt>
                <c:pt idx="40">
                  <c:v>8.8746035421984093</c:v>
                </c:pt>
                <c:pt idx="41">
                  <c:v>8.8869591784112405</c:v>
                </c:pt>
                <c:pt idx="42">
                  <c:v>8.8968482587719855</c:v>
                </c:pt>
                <c:pt idx="43">
                  <c:v>8.9115323388133323</c:v>
                </c:pt>
                <c:pt idx="44">
                  <c:v>8.9266300723057377</c:v>
                </c:pt>
                <c:pt idx="45">
                  <c:v>8.9386241406008491</c:v>
                </c:pt>
                <c:pt idx="46">
                  <c:v>8.9455578057363194</c:v>
                </c:pt>
                <c:pt idx="47">
                  <c:v>8.950051812005924</c:v>
                </c:pt>
                <c:pt idx="48">
                  <c:v>8.9584722554097418</c:v>
                </c:pt>
                <c:pt idx="49">
                  <c:v>8.965776392866573</c:v>
                </c:pt>
                <c:pt idx="50">
                  <c:v>8.9727662336465137</c:v>
                </c:pt>
                <c:pt idx="51">
                  <c:v>8.975480305576264</c:v>
                </c:pt>
                <c:pt idx="52">
                  <c:v>8.9819027871977681</c:v>
                </c:pt>
                <c:pt idx="53">
                  <c:v>8.9976754579536209</c:v>
                </c:pt>
                <c:pt idx="54">
                  <c:v>8.9952952636260726</c:v>
                </c:pt>
                <c:pt idx="55">
                  <c:v>8.9899439751642696</c:v>
                </c:pt>
                <c:pt idx="56">
                  <c:v>8.9917953113164675</c:v>
                </c:pt>
                <c:pt idx="57">
                  <c:v>9.0039566038133998</c:v>
                </c:pt>
                <c:pt idx="58">
                  <c:v>9.0103906952232418</c:v>
                </c:pt>
                <c:pt idx="59">
                  <c:v>9.0181105788276898</c:v>
                </c:pt>
                <c:pt idx="60">
                  <c:v>9.0259795642728484</c:v>
                </c:pt>
                <c:pt idx="61">
                  <c:v>9.0313611125295346</c:v>
                </c:pt>
                <c:pt idx="62">
                  <c:v>9.0297185087409684</c:v>
                </c:pt>
                <c:pt idx="63">
                  <c:v>9.0309928464546783</c:v>
                </c:pt>
                <c:pt idx="64">
                  <c:v>9.0085404630607329</c:v>
                </c:pt>
                <c:pt idx="65">
                  <c:v>8.9432238602646699</c:v>
                </c:pt>
                <c:pt idx="66">
                  <c:v>8.9430156622750694</c:v>
                </c:pt>
                <c:pt idx="67">
                  <c:v>8.9256337547771789</c:v>
                </c:pt>
                <c:pt idx="68">
                  <c:v>8.9204505762569557</c:v>
                </c:pt>
                <c:pt idx="69">
                  <c:v>8.9272097899540128</c:v>
                </c:pt>
                <c:pt idx="70">
                  <c:v>8.9275470665275556</c:v>
                </c:pt>
                <c:pt idx="71">
                  <c:v>8.9260392959740109</c:v>
                </c:pt>
                <c:pt idx="72">
                  <c:v>8.9308247681521014</c:v>
                </c:pt>
                <c:pt idx="73">
                  <c:v>8.9324734602490015</c:v>
                </c:pt>
                <c:pt idx="74">
                  <c:v>8.9374113857562278</c:v>
                </c:pt>
                <c:pt idx="75">
                  <c:v>8.9440768532122927</c:v>
                </c:pt>
                <c:pt idx="76">
                  <c:v>8.9466228054462444</c:v>
                </c:pt>
                <c:pt idx="77">
                  <c:v>8.9497381452311888</c:v>
                </c:pt>
                <c:pt idx="78">
                  <c:v>8.9527751189755698</c:v>
                </c:pt>
                <c:pt idx="79">
                  <c:v>8.9567116017390713</c:v>
                </c:pt>
                <c:pt idx="80">
                  <c:v>8.9623260496787065</c:v>
                </c:pt>
                <c:pt idx="81">
                  <c:v>8.9649202607527751</c:v>
                </c:pt>
                <c:pt idx="82">
                  <c:v>8.9624744818150504</c:v>
                </c:pt>
                <c:pt idx="83">
                  <c:v>8.9646212938968599</c:v>
                </c:pt>
                <c:pt idx="84">
                  <c:v>8.9613258489038525</c:v>
                </c:pt>
                <c:pt idx="85">
                  <c:v>8.962211408480341</c:v>
                </c:pt>
                <c:pt idx="86">
                  <c:v>8.9627837552181813</c:v>
                </c:pt>
                <c:pt idx="87">
                  <c:v>8.9572447575186604</c:v>
                </c:pt>
                <c:pt idx="88">
                  <c:v>8.9500755217804855</c:v>
                </c:pt>
                <c:pt idx="89">
                  <c:v>8.9403684329424635</c:v>
                </c:pt>
                <c:pt idx="90">
                  <c:v>8.9298009316845679</c:v>
                </c:pt>
                <c:pt idx="91">
                  <c:v>8.9149167000069731</c:v>
                </c:pt>
                <c:pt idx="92">
                  <c:v>8.8986660500256249</c:v>
                </c:pt>
                <c:pt idx="93">
                  <c:v>8.8856206991715929</c:v>
                </c:pt>
                <c:pt idx="94">
                  <c:v>8.8750180955054727</c:v>
                </c:pt>
                <c:pt idx="95">
                  <c:v>8.8748243049803524</c:v>
                </c:pt>
                <c:pt idx="96">
                  <c:v>8.8761012451318742</c:v>
                </c:pt>
                <c:pt idx="97">
                  <c:v>8.8782647566771864</c:v>
                </c:pt>
                <c:pt idx="98">
                  <c:v>8.8817572017900801</c:v>
                </c:pt>
                <c:pt idx="99">
                  <c:v>8.8872304602586514</c:v>
                </c:pt>
                <c:pt idx="100">
                  <c:v>8.8922810590988206</c:v>
                </c:pt>
                <c:pt idx="101">
                  <c:v>8.8981553063525318</c:v>
                </c:pt>
                <c:pt idx="102">
                  <c:v>8.904863732492295</c:v>
                </c:pt>
                <c:pt idx="103">
                  <c:v>8.9106447380534757</c:v>
                </c:pt>
                <c:pt idx="104">
                  <c:v>8.9161469882145177</c:v>
                </c:pt>
                <c:pt idx="105">
                  <c:v>8.9223113558731626</c:v>
                </c:pt>
                <c:pt idx="106">
                  <c:v>8.9269012779767678</c:v>
                </c:pt>
                <c:pt idx="107">
                  <c:v>8.9288282384231703</c:v>
                </c:pt>
                <c:pt idx="108">
                  <c:v>8.9272532163470846</c:v>
                </c:pt>
                <c:pt idx="109">
                  <c:v>8.9249337694210951</c:v>
                </c:pt>
                <c:pt idx="110">
                  <c:v>8.9247459324165863</c:v>
                </c:pt>
                <c:pt idx="111">
                  <c:v>8.9271613463759696</c:v>
                </c:pt>
                <c:pt idx="112">
                  <c:v>8.9253816557555137</c:v>
                </c:pt>
                <c:pt idx="113">
                  <c:v>8.9286748271649063</c:v>
                </c:pt>
                <c:pt idx="114">
                  <c:v>8.9310470372741761</c:v>
                </c:pt>
                <c:pt idx="115">
                  <c:v>8.9328704632685501</c:v>
                </c:pt>
                <c:pt idx="116">
                  <c:v>8.9290777253086038</c:v>
                </c:pt>
                <c:pt idx="117">
                  <c:v>8.9261333641983889</c:v>
                </c:pt>
                <c:pt idx="118">
                  <c:v>8.9288105987520403</c:v>
                </c:pt>
                <c:pt idx="119">
                  <c:v>8.9290773891068778</c:v>
                </c:pt>
                <c:pt idx="120">
                  <c:v>8.9326024723761179</c:v>
                </c:pt>
                <c:pt idx="121">
                  <c:v>8.928703217232643</c:v>
                </c:pt>
                <c:pt idx="122">
                  <c:v>8.9151571770442199</c:v>
                </c:pt>
                <c:pt idx="123">
                  <c:v>8.8840521637941183</c:v>
                </c:pt>
                <c:pt idx="124">
                  <c:v>8.8459362864229707</c:v>
                </c:pt>
                <c:pt idx="125">
                  <c:v>8.8223163574722534</c:v>
                </c:pt>
                <c:pt idx="126">
                  <c:v>8.7970969887892814</c:v>
                </c:pt>
                <c:pt idx="127">
                  <c:v>8.7664759934304257</c:v>
                </c:pt>
                <c:pt idx="128">
                  <c:v>8.7354096994902513</c:v>
                </c:pt>
                <c:pt idx="129">
                  <c:v>8.7115567113736052</c:v>
                </c:pt>
                <c:pt idx="130">
                  <c:v>8.6853302792326694</c:v>
                </c:pt>
                <c:pt idx="131">
                  <c:v>8.6716077321357137</c:v>
                </c:pt>
                <c:pt idx="132">
                  <c:v>8.6708427546723765</c:v>
                </c:pt>
                <c:pt idx="133">
                  <c:v>8.668899667551635</c:v>
                </c:pt>
                <c:pt idx="134">
                  <c:v>8.666933770755362</c:v>
                </c:pt>
                <c:pt idx="135">
                  <c:v>8.6620121291685699</c:v>
                </c:pt>
                <c:pt idx="136">
                  <c:v>8.660975712388101</c:v>
                </c:pt>
                <c:pt idx="137">
                  <c:v>8.6562981892806921</c:v>
                </c:pt>
                <c:pt idx="138">
                  <c:v>8.6533131595899562</c:v>
                </c:pt>
                <c:pt idx="139">
                  <c:v>8.645212345105989</c:v>
                </c:pt>
                <c:pt idx="140">
                  <c:v>8.6417811995126517</c:v>
                </c:pt>
                <c:pt idx="141">
                  <c:v>8.6422738032785436</c:v>
                </c:pt>
                <c:pt idx="142">
                  <c:v>8.6466280832686646</c:v>
                </c:pt>
                <c:pt idx="143">
                  <c:v>8.6503623122698947</c:v>
                </c:pt>
                <c:pt idx="144">
                  <c:v>8.6548502192281589</c:v>
                </c:pt>
                <c:pt idx="145">
                  <c:v>8.6572248472128628</c:v>
                </c:pt>
                <c:pt idx="146">
                  <c:v>8.6584895043247467</c:v>
                </c:pt>
                <c:pt idx="147">
                  <c:v>8.6578064828099546</c:v>
                </c:pt>
                <c:pt idx="148">
                  <c:v>8.657167320081923</c:v>
                </c:pt>
                <c:pt idx="149">
                  <c:v>8.6542352831457237</c:v>
                </c:pt>
                <c:pt idx="150">
                  <c:v>8.656784469110443</c:v>
                </c:pt>
                <c:pt idx="151">
                  <c:v>8.6565597064412891</c:v>
                </c:pt>
                <c:pt idx="152">
                  <c:v>8.6534493357644333</c:v>
                </c:pt>
                <c:pt idx="153">
                  <c:v>8.6496563004245814</c:v>
                </c:pt>
                <c:pt idx="154">
                  <c:v>8.6456136386113123</c:v>
                </c:pt>
                <c:pt idx="155">
                  <c:v>8.6407211016693299</c:v>
                </c:pt>
                <c:pt idx="156">
                  <c:v>8.6357575307387773</c:v>
                </c:pt>
                <c:pt idx="157">
                  <c:v>8.6317393708196271</c:v>
                </c:pt>
                <c:pt idx="158">
                  <c:v>8.630970669591731</c:v>
                </c:pt>
                <c:pt idx="159">
                  <c:v>8.6238896051887259</c:v>
                </c:pt>
                <c:pt idx="160">
                  <c:v>8.6141872486791584</c:v>
                </c:pt>
                <c:pt idx="161">
                  <c:v>8.6049490974455534</c:v>
                </c:pt>
                <c:pt idx="162">
                  <c:v>8.5938021206271813</c:v>
                </c:pt>
                <c:pt idx="163">
                  <c:v>8.5880438798340926</c:v>
                </c:pt>
                <c:pt idx="164">
                  <c:v>8.5811461189677694</c:v>
                </c:pt>
                <c:pt idx="165">
                  <c:v>8.5768727122458888</c:v>
                </c:pt>
                <c:pt idx="166">
                  <c:v>8.5736421240062786</c:v>
                </c:pt>
                <c:pt idx="167">
                  <c:v>8.5683233840388837</c:v>
                </c:pt>
                <c:pt idx="168">
                  <c:v>8.5636107758099573</c:v>
                </c:pt>
                <c:pt idx="169">
                  <c:v>8.5593013322656724</c:v>
                </c:pt>
                <c:pt idx="170">
                  <c:v>8.5583702286036658</c:v>
                </c:pt>
                <c:pt idx="171">
                  <c:v>8.5589120869724926</c:v>
                </c:pt>
                <c:pt idx="172">
                  <c:v>8.5564056733409615</c:v>
                </c:pt>
                <c:pt idx="173">
                  <c:v>8.5540475227599497</c:v>
                </c:pt>
                <c:pt idx="174">
                  <c:v>8.5517067119369834</c:v>
                </c:pt>
                <c:pt idx="175">
                  <c:v>8.5514041404979295</c:v>
                </c:pt>
                <c:pt idx="176">
                  <c:v>8.5515141368719227</c:v>
                </c:pt>
                <c:pt idx="177">
                  <c:v>8.5495056758255537</c:v>
                </c:pt>
                <c:pt idx="178">
                  <c:v>8.5506819573998492</c:v>
                </c:pt>
                <c:pt idx="179">
                  <c:v>8.5503919211241719</c:v>
                </c:pt>
                <c:pt idx="180">
                  <c:v>8.5491034164202464</c:v>
                </c:pt>
                <c:pt idx="181">
                  <c:v>8.5496255894226909</c:v>
                </c:pt>
                <c:pt idx="182">
                  <c:v>8.5509870461190438</c:v>
                </c:pt>
                <c:pt idx="183">
                  <c:v>8.5524121293260222</c:v>
                </c:pt>
                <c:pt idx="184">
                  <c:v>8.5493516621106362</c:v>
                </c:pt>
                <c:pt idx="185">
                  <c:v>8.5472307966823635</c:v>
                </c:pt>
                <c:pt idx="186">
                  <c:v>8.5407459937878443</c:v>
                </c:pt>
                <c:pt idx="187">
                  <c:v>8.5356264191876843</c:v>
                </c:pt>
                <c:pt idx="188">
                  <c:v>8.5259573683707082</c:v>
                </c:pt>
                <c:pt idx="189">
                  <c:v>8.5149957600152781</c:v>
                </c:pt>
                <c:pt idx="190">
                  <c:v>8.5224095359075047</c:v>
                </c:pt>
                <c:pt idx="191">
                  <c:v>8.5249760038798108</c:v>
                </c:pt>
                <c:pt idx="192">
                  <c:v>8.5289878883320274</c:v>
                </c:pt>
                <c:pt idx="193">
                  <c:v>8.5344404228973776</c:v>
                </c:pt>
                <c:pt idx="194">
                  <c:v>8.5384395080219608</c:v>
                </c:pt>
                <c:pt idx="195">
                  <c:v>8.5427102133248063</c:v>
                </c:pt>
                <c:pt idx="196">
                  <c:v>8.5461358334206405</c:v>
                </c:pt>
                <c:pt idx="197">
                  <c:v>8.5512485760705967</c:v>
                </c:pt>
                <c:pt idx="198">
                  <c:v>8.5548672981039573</c:v>
                </c:pt>
                <c:pt idx="199">
                  <c:v>8.5553496135666585</c:v>
                </c:pt>
                <c:pt idx="200">
                  <c:v>8.5731327794743741</c:v>
                </c:pt>
                <c:pt idx="201">
                  <c:v>8.6030329318990706</c:v>
                </c:pt>
                <c:pt idx="202">
                  <c:v>8.6372977320174105</c:v>
                </c:pt>
                <c:pt idx="203">
                  <c:v>8.637857032096516</c:v>
                </c:pt>
                <c:pt idx="204">
                  <c:v>8.6266744758908054</c:v>
                </c:pt>
                <c:pt idx="205">
                  <c:v>8.6131310126721559</c:v>
                </c:pt>
                <c:pt idx="206">
                  <c:v>8.6021536928058175</c:v>
                </c:pt>
                <c:pt idx="207">
                  <c:v>8.5894473910325644</c:v>
                </c:pt>
                <c:pt idx="208">
                  <c:v>8.5746312847704669</c:v>
                </c:pt>
                <c:pt idx="209">
                  <c:v>8.5640365512581731</c:v>
                </c:pt>
                <c:pt idx="210">
                  <c:v>8.5564480850464921</c:v>
                </c:pt>
                <c:pt idx="211">
                  <c:v>8.5449662516328502</c:v>
                </c:pt>
                <c:pt idx="212">
                  <c:v>8.5342471329347358</c:v>
                </c:pt>
                <c:pt idx="213">
                  <c:v>8.5222503877913685</c:v>
                </c:pt>
                <c:pt idx="214">
                  <c:v>8.5095736631004684</c:v>
                </c:pt>
                <c:pt idx="215">
                  <c:v>8.4971345785933288</c:v>
                </c:pt>
                <c:pt idx="216">
                  <c:v>8.4802982625981418</c:v>
                </c:pt>
                <c:pt idx="217">
                  <c:v>8.4684403338763339</c:v>
                </c:pt>
                <c:pt idx="218">
                  <c:v>8.4581827229668498</c:v>
                </c:pt>
                <c:pt idx="219">
                  <c:v>8.4534722317272006</c:v>
                </c:pt>
                <c:pt idx="220">
                  <c:v>8.4468140297340071</c:v>
                </c:pt>
                <c:pt idx="221">
                  <c:v>8.4400334755131219</c:v>
                </c:pt>
                <c:pt idx="222">
                  <c:v>8.4429236021473439</c:v>
                </c:pt>
                <c:pt idx="223">
                  <c:v>8.4398807307102253</c:v>
                </c:pt>
                <c:pt idx="224">
                  <c:v>8.4333298843629318</c:v>
                </c:pt>
                <c:pt idx="225">
                  <c:v>8.4240729926490392</c:v>
                </c:pt>
                <c:pt idx="226">
                  <c:v>8.4140140904358542</c:v>
                </c:pt>
                <c:pt idx="227">
                  <c:v>8.401186386347538</c:v>
                </c:pt>
                <c:pt idx="228">
                  <c:v>8.3930691151140877</c:v>
                </c:pt>
                <c:pt idx="229">
                  <c:v>8.3885440739271608</c:v>
                </c:pt>
                <c:pt idx="230">
                  <c:v>8.3813327007684055</c:v>
                </c:pt>
                <c:pt idx="231">
                  <c:v>8.3739644899251466</c:v>
                </c:pt>
                <c:pt idx="232">
                  <c:v>8.3689909213568061</c:v>
                </c:pt>
                <c:pt idx="233">
                  <c:v>8.3619743011620553</c:v>
                </c:pt>
                <c:pt idx="234">
                  <c:v>8.3547603135597193</c:v>
                </c:pt>
                <c:pt idx="235">
                  <c:v>8.3476579050956907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F-4FB3-83A7-DBEBA50998E2}"/>
            </c:ext>
          </c:extLst>
        </c:ser>
        <c:ser>
          <c:idx val="3"/>
          <c:order val="3"/>
          <c:tx>
            <c:strRef>
              <c:f>Ford!$I$1</c:f>
              <c:strCache>
                <c:ptCount val="1"/>
                <c:pt idx="0">
                  <c:v>5d SMA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Ford!$A$2:$A$237</c:f>
              <c:numCache>
                <c:formatCode>m/d/yyyy</c:formatCode>
                <c:ptCount val="236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</c:numCache>
            </c:numRef>
          </c:cat>
          <c:val>
            <c:numRef>
              <c:f>Ford!$I$2:$I$237</c:f>
              <c:numCache>
                <c:formatCode>General</c:formatCode>
                <c:ptCount val="236"/>
                <c:pt idx="4">
                  <c:v>9.6351200000000006</c:v>
                </c:pt>
                <c:pt idx="5">
                  <c:v>9.6351200000000006</c:v>
                </c:pt>
                <c:pt idx="6">
                  <c:v>9.601659999999999</c:v>
                </c:pt>
                <c:pt idx="7">
                  <c:v>9.5740999999999978</c:v>
                </c:pt>
                <c:pt idx="8">
                  <c:v>9.6114999999999995</c:v>
                </c:pt>
                <c:pt idx="9">
                  <c:v>9.6646399999999986</c:v>
                </c:pt>
                <c:pt idx="10">
                  <c:v>9.7689799999999991</c:v>
                </c:pt>
                <c:pt idx="11">
                  <c:v>9.9107000000000003</c:v>
                </c:pt>
                <c:pt idx="12">
                  <c:v>9.9598999999999993</c:v>
                </c:pt>
                <c:pt idx="13">
                  <c:v>10.001239999999999</c:v>
                </c:pt>
                <c:pt idx="14">
                  <c:v>10.022899999999998</c:v>
                </c:pt>
                <c:pt idx="15">
                  <c:v>10.062259999999998</c:v>
                </c:pt>
                <c:pt idx="16">
                  <c:v>9.9933600000000009</c:v>
                </c:pt>
                <c:pt idx="17">
                  <c:v>10.0288</c:v>
                </c:pt>
                <c:pt idx="18">
                  <c:v>10.0288</c:v>
                </c:pt>
                <c:pt idx="19">
                  <c:v>10.02092</c:v>
                </c:pt>
                <c:pt idx="20">
                  <c:v>9.9244599999999998</c:v>
                </c:pt>
                <c:pt idx="21">
                  <c:v>9.9402200000000001</c:v>
                </c:pt>
                <c:pt idx="22">
                  <c:v>9.9008399999999988</c:v>
                </c:pt>
                <c:pt idx="23">
                  <c:v>9.7236799999999999</c:v>
                </c:pt>
                <c:pt idx="24">
                  <c:v>9.5583399999999994</c:v>
                </c:pt>
                <c:pt idx="25">
                  <c:v>9.4304000000000006</c:v>
                </c:pt>
                <c:pt idx="26">
                  <c:v>9.2433999999999994</c:v>
                </c:pt>
                <c:pt idx="27">
                  <c:v>9.0898799999999991</c:v>
                </c:pt>
                <c:pt idx="28">
                  <c:v>9.1075999999999997</c:v>
                </c:pt>
                <c:pt idx="29">
                  <c:v>9.1548399999999983</c:v>
                </c:pt>
                <c:pt idx="30">
                  <c:v>9.1940799999999996</c:v>
                </c:pt>
                <c:pt idx="31">
                  <c:v>9.2492199999999993</c:v>
                </c:pt>
                <c:pt idx="32">
                  <c:v>9.3104199999999988</c:v>
                </c:pt>
                <c:pt idx="33">
                  <c:v>9.3259999999999987</c:v>
                </c:pt>
                <c:pt idx="34">
                  <c:v>9.33</c:v>
                </c:pt>
                <c:pt idx="35">
                  <c:v>9.3559999999999999</c:v>
                </c:pt>
                <c:pt idx="36">
                  <c:v>9.3820000000000014</c:v>
                </c:pt>
                <c:pt idx="37">
                  <c:v>9.3619999999999983</c:v>
                </c:pt>
                <c:pt idx="38">
                  <c:v>9.4160000000000004</c:v>
                </c:pt>
                <c:pt idx="39">
                  <c:v>9.4240000000000013</c:v>
                </c:pt>
                <c:pt idx="40">
                  <c:v>9.3640000000000008</c:v>
                </c:pt>
                <c:pt idx="41">
                  <c:v>9.4</c:v>
                </c:pt>
                <c:pt idx="42">
                  <c:v>9.4640000000000004</c:v>
                </c:pt>
                <c:pt idx="43">
                  <c:v>9.5339999999999989</c:v>
                </c:pt>
                <c:pt idx="44">
                  <c:v>9.6479999999999997</c:v>
                </c:pt>
                <c:pt idx="45">
                  <c:v>9.7619999999999987</c:v>
                </c:pt>
                <c:pt idx="46">
                  <c:v>9.75</c:v>
                </c:pt>
                <c:pt idx="47">
                  <c:v>9.734</c:v>
                </c:pt>
                <c:pt idx="48">
                  <c:v>9.6999999999999993</c:v>
                </c:pt>
                <c:pt idx="49">
                  <c:v>9.6920000000000019</c:v>
                </c:pt>
                <c:pt idx="50">
                  <c:v>9.7439999999999998</c:v>
                </c:pt>
                <c:pt idx="51">
                  <c:v>9.86</c:v>
                </c:pt>
                <c:pt idx="52">
                  <c:v>9.9559999999999995</c:v>
                </c:pt>
                <c:pt idx="53">
                  <c:v>10.01</c:v>
                </c:pt>
                <c:pt idx="54">
                  <c:v>10.075999999999999</c:v>
                </c:pt>
                <c:pt idx="55">
                  <c:v>10.144</c:v>
                </c:pt>
                <c:pt idx="56">
                  <c:v>10.169999999999998</c:v>
                </c:pt>
                <c:pt idx="57">
                  <c:v>10.148</c:v>
                </c:pt>
                <c:pt idx="58">
                  <c:v>10.092000000000001</c:v>
                </c:pt>
                <c:pt idx="59">
                  <c:v>10.048</c:v>
                </c:pt>
                <c:pt idx="60">
                  <c:v>9.9779999999999998</c:v>
                </c:pt>
                <c:pt idx="61">
                  <c:v>9.9479999999999986</c:v>
                </c:pt>
                <c:pt idx="62">
                  <c:v>9.8759999999999994</c:v>
                </c:pt>
                <c:pt idx="63">
                  <c:v>9.847999999999999</c:v>
                </c:pt>
                <c:pt idx="64">
                  <c:v>9.6900000000000013</c:v>
                </c:pt>
                <c:pt idx="65">
                  <c:v>9.44</c:v>
                </c:pt>
                <c:pt idx="66">
                  <c:v>9.3099999999999987</c:v>
                </c:pt>
                <c:pt idx="67">
                  <c:v>9.23</c:v>
                </c:pt>
                <c:pt idx="68">
                  <c:v>9.18</c:v>
                </c:pt>
                <c:pt idx="69">
                  <c:v>9.2739999999999991</c:v>
                </c:pt>
                <c:pt idx="70">
                  <c:v>9.4259999999999984</c:v>
                </c:pt>
                <c:pt idx="71">
                  <c:v>9.4059999999999988</c:v>
                </c:pt>
                <c:pt idx="72">
                  <c:v>9.5040000000000013</c:v>
                </c:pt>
                <c:pt idx="73">
                  <c:v>9.532</c:v>
                </c:pt>
                <c:pt idx="74">
                  <c:v>9.52</c:v>
                </c:pt>
                <c:pt idx="75">
                  <c:v>9.5860000000000003</c:v>
                </c:pt>
                <c:pt idx="76">
                  <c:v>9.718</c:v>
                </c:pt>
                <c:pt idx="77">
                  <c:v>9.8000000000000007</c:v>
                </c:pt>
                <c:pt idx="78">
                  <c:v>9.91</c:v>
                </c:pt>
                <c:pt idx="79">
                  <c:v>10.01</c:v>
                </c:pt>
                <c:pt idx="80">
                  <c:v>10.056000000000001</c:v>
                </c:pt>
                <c:pt idx="81">
                  <c:v>10.08</c:v>
                </c:pt>
                <c:pt idx="82">
                  <c:v>10.128</c:v>
                </c:pt>
                <c:pt idx="83">
                  <c:v>10.157999999999999</c:v>
                </c:pt>
                <c:pt idx="84">
                  <c:v>10.215999999999999</c:v>
                </c:pt>
                <c:pt idx="85">
                  <c:v>10.27</c:v>
                </c:pt>
                <c:pt idx="86">
                  <c:v>10.290000000000001</c:v>
                </c:pt>
                <c:pt idx="87">
                  <c:v>10.32</c:v>
                </c:pt>
                <c:pt idx="88">
                  <c:v>10.396000000000001</c:v>
                </c:pt>
                <c:pt idx="89">
                  <c:v>10.428000000000001</c:v>
                </c:pt>
                <c:pt idx="90">
                  <c:v>10.501999999999999</c:v>
                </c:pt>
                <c:pt idx="91">
                  <c:v>10.596</c:v>
                </c:pt>
                <c:pt idx="92">
                  <c:v>10.669999999999998</c:v>
                </c:pt>
                <c:pt idx="93">
                  <c:v>10.709999999999999</c:v>
                </c:pt>
                <c:pt idx="94">
                  <c:v>10.734</c:v>
                </c:pt>
                <c:pt idx="95">
                  <c:v>10.7</c:v>
                </c:pt>
                <c:pt idx="96">
                  <c:v>10.638</c:v>
                </c:pt>
                <c:pt idx="97">
                  <c:v>10.55</c:v>
                </c:pt>
                <c:pt idx="98">
                  <c:v>10.462</c:v>
                </c:pt>
                <c:pt idx="99">
                  <c:v>10.352</c:v>
                </c:pt>
                <c:pt idx="100">
                  <c:v>10.3</c:v>
                </c:pt>
                <c:pt idx="101">
                  <c:v>10.288</c:v>
                </c:pt>
                <c:pt idx="102">
                  <c:v>10.212</c:v>
                </c:pt>
                <c:pt idx="103">
                  <c:v>10.187999999999999</c:v>
                </c:pt>
                <c:pt idx="104">
                  <c:v>10.202000000000002</c:v>
                </c:pt>
                <c:pt idx="105">
                  <c:v>10.178000000000001</c:v>
                </c:pt>
                <c:pt idx="106">
                  <c:v>10.154</c:v>
                </c:pt>
                <c:pt idx="107">
                  <c:v>10.225999999999999</c:v>
                </c:pt>
                <c:pt idx="108">
                  <c:v>10.308</c:v>
                </c:pt>
                <c:pt idx="109">
                  <c:v>10.391999999999999</c:v>
                </c:pt>
                <c:pt idx="110">
                  <c:v>10.478</c:v>
                </c:pt>
                <c:pt idx="111">
                  <c:v>10.511999999999999</c:v>
                </c:pt>
                <c:pt idx="112">
                  <c:v>10.568</c:v>
                </c:pt>
                <c:pt idx="113">
                  <c:v>10.532</c:v>
                </c:pt>
                <c:pt idx="114">
                  <c:v>10.486000000000001</c:v>
                </c:pt>
                <c:pt idx="115">
                  <c:v>10.497999999999999</c:v>
                </c:pt>
                <c:pt idx="116">
                  <c:v>10.562000000000001</c:v>
                </c:pt>
                <c:pt idx="117">
                  <c:v>10.584</c:v>
                </c:pt>
                <c:pt idx="118">
                  <c:v>10.596</c:v>
                </c:pt>
                <c:pt idx="119">
                  <c:v>10.635999999999999</c:v>
                </c:pt>
                <c:pt idx="120">
                  <c:v>10.678000000000001</c:v>
                </c:pt>
                <c:pt idx="121">
                  <c:v>10.698</c:v>
                </c:pt>
                <c:pt idx="122">
                  <c:v>10.821999999999999</c:v>
                </c:pt>
                <c:pt idx="123">
                  <c:v>11.080000000000002</c:v>
                </c:pt>
                <c:pt idx="124">
                  <c:v>11.315999999999999</c:v>
                </c:pt>
                <c:pt idx="125">
                  <c:v>11.474</c:v>
                </c:pt>
                <c:pt idx="126">
                  <c:v>11.639999999999999</c:v>
                </c:pt>
                <c:pt idx="127">
                  <c:v>11.736000000000001</c:v>
                </c:pt>
                <c:pt idx="128">
                  <c:v>11.763999999999999</c:v>
                </c:pt>
                <c:pt idx="129">
                  <c:v>11.758000000000001</c:v>
                </c:pt>
                <c:pt idx="130">
                  <c:v>11.816000000000001</c:v>
                </c:pt>
                <c:pt idx="131">
                  <c:v>11.794</c:v>
                </c:pt>
                <c:pt idx="132">
                  <c:v>11.676</c:v>
                </c:pt>
                <c:pt idx="133">
                  <c:v>11.524000000000001</c:v>
                </c:pt>
                <c:pt idx="134">
                  <c:v>11.4</c:v>
                </c:pt>
                <c:pt idx="135">
                  <c:v>11.286000000000001</c:v>
                </c:pt>
                <c:pt idx="136">
                  <c:v>11.209999999999999</c:v>
                </c:pt>
                <c:pt idx="137">
                  <c:v>11.238000000000001</c:v>
                </c:pt>
                <c:pt idx="138">
                  <c:v>11.26</c:v>
                </c:pt>
                <c:pt idx="139">
                  <c:v>11.321999999999999</c:v>
                </c:pt>
                <c:pt idx="140">
                  <c:v>11.315999999999999</c:v>
                </c:pt>
                <c:pt idx="141">
                  <c:v>11.294</c:v>
                </c:pt>
                <c:pt idx="142">
                  <c:v>11.191999999999998</c:v>
                </c:pt>
                <c:pt idx="143">
                  <c:v>11.154</c:v>
                </c:pt>
                <c:pt idx="144">
                  <c:v>11.023999999999999</c:v>
                </c:pt>
                <c:pt idx="145">
                  <c:v>10.957999999999998</c:v>
                </c:pt>
                <c:pt idx="146">
                  <c:v>10.953999999999999</c:v>
                </c:pt>
                <c:pt idx="147">
                  <c:v>11.022000000000002</c:v>
                </c:pt>
                <c:pt idx="148">
                  <c:v>11.064</c:v>
                </c:pt>
                <c:pt idx="149">
                  <c:v>11.164</c:v>
                </c:pt>
                <c:pt idx="150">
                  <c:v>11.202000000000002</c:v>
                </c:pt>
                <c:pt idx="151">
                  <c:v>11.24</c:v>
                </c:pt>
                <c:pt idx="152">
                  <c:v>11.286</c:v>
                </c:pt>
                <c:pt idx="153">
                  <c:v>11.318</c:v>
                </c:pt>
                <c:pt idx="154">
                  <c:v>11.341999999999999</c:v>
                </c:pt>
                <c:pt idx="155">
                  <c:v>11.405999999999999</c:v>
                </c:pt>
                <c:pt idx="156">
                  <c:v>11.472</c:v>
                </c:pt>
                <c:pt idx="157">
                  <c:v>11.482000000000001</c:v>
                </c:pt>
                <c:pt idx="158">
                  <c:v>11.459999999999999</c:v>
                </c:pt>
                <c:pt idx="159">
                  <c:v>11.52</c:v>
                </c:pt>
                <c:pt idx="160">
                  <c:v>11.592000000000001</c:v>
                </c:pt>
                <c:pt idx="161">
                  <c:v>11.644</c:v>
                </c:pt>
                <c:pt idx="162">
                  <c:v>11.728</c:v>
                </c:pt>
                <c:pt idx="163">
                  <c:v>11.804</c:v>
                </c:pt>
                <c:pt idx="164">
                  <c:v>11.809999999999999</c:v>
                </c:pt>
                <c:pt idx="165">
                  <c:v>11.790000000000001</c:v>
                </c:pt>
                <c:pt idx="166">
                  <c:v>11.745999999999999</c:v>
                </c:pt>
                <c:pt idx="167">
                  <c:v>11.7</c:v>
                </c:pt>
                <c:pt idx="168">
                  <c:v>11.706</c:v>
                </c:pt>
                <c:pt idx="169">
                  <c:v>11.69</c:v>
                </c:pt>
                <c:pt idx="170">
                  <c:v>11.644</c:v>
                </c:pt>
                <c:pt idx="171">
                  <c:v>11.604000000000001</c:v>
                </c:pt>
                <c:pt idx="172">
                  <c:v>11.620000000000001</c:v>
                </c:pt>
                <c:pt idx="173">
                  <c:v>11.608000000000001</c:v>
                </c:pt>
                <c:pt idx="174">
                  <c:v>11.606</c:v>
                </c:pt>
                <c:pt idx="175">
                  <c:v>11.629999999999999</c:v>
                </c:pt>
                <c:pt idx="176">
                  <c:v>11.678000000000001</c:v>
                </c:pt>
                <c:pt idx="177">
                  <c:v>11.673999999999999</c:v>
                </c:pt>
                <c:pt idx="178">
                  <c:v>11.662000000000001</c:v>
                </c:pt>
                <c:pt idx="179">
                  <c:v>11.657999999999998</c:v>
                </c:pt>
                <c:pt idx="180">
                  <c:v>11.681999999999999</c:v>
                </c:pt>
                <c:pt idx="181">
                  <c:v>11.676</c:v>
                </c:pt>
                <c:pt idx="182">
                  <c:v>11.652000000000001</c:v>
                </c:pt>
                <c:pt idx="183">
                  <c:v>11.73</c:v>
                </c:pt>
                <c:pt idx="184">
                  <c:v>11.815999999999999</c:v>
                </c:pt>
                <c:pt idx="185">
                  <c:v>11.861999999999998</c:v>
                </c:pt>
                <c:pt idx="186">
                  <c:v>11.99</c:v>
                </c:pt>
                <c:pt idx="187">
                  <c:v>12.11</c:v>
                </c:pt>
                <c:pt idx="188">
                  <c:v>12.242000000000001</c:v>
                </c:pt>
                <c:pt idx="189">
                  <c:v>12.364000000000001</c:v>
                </c:pt>
                <c:pt idx="190">
                  <c:v>12.356</c:v>
                </c:pt>
                <c:pt idx="191">
                  <c:v>12.250000000000002</c:v>
                </c:pt>
                <c:pt idx="192">
                  <c:v>12.106</c:v>
                </c:pt>
                <c:pt idx="193">
                  <c:v>11.853999999999999</c:v>
                </c:pt>
                <c:pt idx="194">
                  <c:v>11.621999999999998</c:v>
                </c:pt>
                <c:pt idx="195">
                  <c:v>11.568000000000001</c:v>
                </c:pt>
                <c:pt idx="196">
                  <c:v>11.571999999999999</c:v>
                </c:pt>
                <c:pt idx="197">
                  <c:v>11.620000000000001</c:v>
                </c:pt>
                <c:pt idx="198">
                  <c:v>11.722</c:v>
                </c:pt>
                <c:pt idx="199">
                  <c:v>11.812000000000001</c:v>
                </c:pt>
                <c:pt idx="200">
                  <c:v>11.994000000000002</c:v>
                </c:pt>
                <c:pt idx="201">
                  <c:v>12.128</c:v>
                </c:pt>
                <c:pt idx="202">
                  <c:v>12.247999999999999</c:v>
                </c:pt>
                <c:pt idx="203">
                  <c:v>12.632000000000001</c:v>
                </c:pt>
                <c:pt idx="204">
                  <c:v>12.886000000000001</c:v>
                </c:pt>
                <c:pt idx="205">
                  <c:v>13</c:v>
                </c:pt>
                <c:pt idx="206">
                  <c:v>13.162000000000001</c:v>
                </c:pt>
                <c:pt idx="207">
                  <c:v>13.306000000000001</c:v>
                </c:pt>
                <c:pt idx="208">
                  <c:v>13.164000000000001</c:v>
                </c:pt>
                <c:pt idx="209">
                  <c:v>13.114000000000001</c:v>
                </c:pt>
                <c:pt idx="210">
                  <c:v>13.045999999999998</c:v>
                </c:pt>
                <c:pt idx="211">
                  <c:v>13.02</c:v>
                </c:pt>
                <c:pt idx="212">
                  <c:v>13.032</c:v>
                </c:pt>
                <c:pt idx="213">
                  <c:v>13.047999999999998</c:v>
                </c:pt>
                <c:pt idx="214">
                  <c:v>13.077999999999999</c:v>
                </c:pt>
                <c:pt idx="215">
                  <c:v>13.179999999999998</c:v>
                </c:pt>
                <c:pt idx="216">
                  <c:v>13.247999999999999</c:v>
                </c:pt>
                <c:pt idx="217">
                  <c:v>13.280000000000001</c:v>
                </c:pt>
                <c:pt idx="218">
                  <c:v>13.276</c:v>
                </c:pt>
                <c:pt idx="219">
                  <c:v>13.219999999999999</c:v>
                </c:pt>
                <c:pt idx="220">
                  <c:v>13.163999999999998</c:v>
                </c:pt>
                <c:pt idx="221">
                  <c:v>13.054000000000002</c:v>
                </c:pt>
                <c:pt idx="222">
                  <c:v>12.88</c:v>
                </c:pt>
                <c:pt idx="223">
                  <c:v>12.807999999999998</c:v>
                </c:pt>
                <c:pt idx="224">
                  <c:v>12.824000000000002</c:v>
                </c:pt>
                <c:pt idx="225">
                  <c:v>12.853999999999999</c:v>
                </c:pt>
                <c:pt idx="226">
                  <c:v>12.912000000000001</c:v>
                </c:pt>
                <c:pt idx="227">
                  <c:v>13.085999999999999</c:v>
                </c:pt>
                <c:pt idx="228">
                  <c:v>13.152000000000001</c:v>
                </c:pt>
                <c:pt idx="229">
                  <c:v>13.151999999999997</c:v>
                </c:pt>
                <c:pt idx="230">
                  <c:v>13.135999999999999</c:v>
                </c:pt>
                <c:pt idx="231">
                  <c:v>13.125999999999999</c:v>
                </c:pt>
                <c:pt idx="232">
                  <c:v>13.075999999999999</c:v>
                </c:pt>
                <c:pt idx="233">
                  <c:v>13.071999999999999</c:v>
                </c:pt>
                <c:pt idx="234">
                  <c:v>13.096</c:v>
                </c:pt>
                <c:pt idx="235">
                  <c:v>13.16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F-4FB3-83A7-DBEBA5099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59728"/>
        <c:axId val="60058288"/>
      </c:lineChart>
      <c:dateAx>
        <c:axId val="60059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8288"/>
        <c:crosses val="autoZero"/>
        <c:auto val="1"/>
        <c:lblOffset val="100"/>
        <c:baseTimeUnit val="days"/>
      </c:dateAx>
      <c:valAx>
        <c:axId val="60058288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NG!$B$1:$B$2</c:f>
              <c:strCache>
                <c:ptCount val="2"/>
                <c:pt idx="0">
                  <c:v>Novagold Resources Inc.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NG!$A$3:$A$237</c:f>
              <c:numCache>
                <c:formatCode>m/d/yyyy</c:formatCode>
                <c:ptCount val="23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</c:numCache>
            </c:numRef>
          </c:cat>
          <c:val>
            <c:numRef>
              <c:f>NG!$B$3:$B$237</c:f>
              <c:numCache>
                <c:formatCode>_([$$-409]* #,##0.00_);_([$$-409]* \(#,##0.00\);_([$$-409]* "-"??_);_(@_)</c:formatCode>
                <c:ptCount val="235"/>
                <c:pt idx="0">
                  <c:v>3.43</c:v>
                </c:pt>
                <c:pt idx="1">
                  <c:v>3.41</c:v>
                </c:pt>
                <c:pt idx="2">
                  <c:v>3.3</c:v>
                </c:pt>
                <c:pt idx="3">
                  <c:v>3.34</c:v>
                </c:pt>
                <c:pt idx="4">
                  <c:v>3.37</c:v>
                </c:pt>
                <c:pt idx="5">
                  <c:v>3.47</c:v>
                </c:pt>
                <c:pt idx="6">
                  <c:v>3.26</c:v>
                </c:pt>
                <c:pt idx="7">
                  <c:v>3.3</c:v>
                </c:pt>
                <c:pt idx="8">
                  <c:v>3.31</c:v>
                </c:pt>
                <c:pt idx="9">
                  <c:v>3.3</c:v>
                </c:pt>
                <c:pt idx="10">
                  <c:v>3.28</c:v>
                </c:pt>
                <c:pt idx="11">
                  <c:v>3.3</c:v>
                </c:pt>
                <c:pt idx="12">
                  <c:v>3.22</c:v>
                </c:pt>
                <c:pt idx="13">
                  <c:v>3.15</c:v>
                </c:pt>
                <c:pt idx="14">
                  <c:v>3</c:v>
                </c:pt>
                <c:pt idx="15">
                  <c:v>3.01</c:v>
                </c:pt>
                <c:pt idx="16">
                  <c:v>3.06</c:v>
                </c:pt>
                <c:pt idx="17">
                  <c:v>3.08</c:v>
                </c:pt>
                <c:pt idx="18">
                  <c:v>3.13</c:v>
                </c:pt>
                <c:pt idx="19">
                  <c:v>3.13</c:v>
                </c:pt>
                <c:pt idx="20">
                  <c:v>3.2</c:v>
                </c:pt>
                <c:pt idx="21">
                  <c:v>3.22</c:v>
                </c:pt>
                <c:pt idx="22">
                  <c:v>3.2</c:v>
                </c:pt>
                <c:pt idx="23">
                  <c:v>3.33</c:v>
                </c:pt>
                <c:pt idx="24">
                  <c:v>3.17</c:v>
                </c:pt>
                <c:pt idx="25">
                  <c:v>3.26</c:v>
                </c:pt>
                <c:pt idx="26">
                  <c:v>3.16</c:v>
                </c:pt>
                <c:pt idx="27">
                  <c:v>3.27</c:v>
                </c:pt>
                <c:pt idx="28">
                  <c:v>3.35</c:v>
                </c:pt>
                <c:pt idx="29">
                  <c:v>3.15</c:v>
                </c:pt>
                <c:pt idx="30">
                  <c:v>3.22</c:v>
                </c:pt>
                <c:pt idx="31">
                  <c:v>3.18</c:v>
                </c:pt>
                <c:pt idx="32">
                  <c:v>3.24</c:v>
                </c:pt>
                <c:pt idx="33">
                  <c:v>3.04</c:v>
                </c:pt>
                <c:pt idx="34">
                  <c:v>2.99</c:v>
                </c:pt>
                <c:pt idx="35">
                  <c:v>2.97</c:v>
                </c:pt>
                <c:pt idx="36">
                  <c:v>3.03</c:v>
                </c:pt>
                <c:pt idx="37">
                  <c:v>2.95</c:v>
                </c:pt>
                <c:pt idx="38">
                  <c:v>3</c:v>
                </c:pt>
                <c:pt idx="39">
                  <c:v>3.04</c:v>
                </c:pt>
                <c:pt idx="40">
                  <c:v>3.1</c:v>
                </c:pt>
                <c:pt idx="41">
                  <c:v>3.3</c:v>
                </c:pt>
                <c:pt idx="42">
                  <c:v>3.34</c:v>
                </c:pt>
                <c:pt idx="43">
                  <c:v>3.57</c:v>
                </c:pt>
                <c:pt idx="44">
                  <c:v>3.28</c:v>
                </c:pt>
                <c:pt idx="45">
                  <c:v>3.28</c:v>
                </c:pt>
                <c:pt idx="46">
                  <c:v>3.26</c:v>
                </c:pt>
                <c:pt idx="47">
                  <c:v>3.45</c:v>
                </c:pt>
                <c:pt idx="48">
                  <c:v>3.37</c:v>
                </c:pt>
                <c:pt idx="49">
                  <c:v>3.37</c:v>
                </c:pt>
                <c:pt idx="50">
                  <c:v>3.28</c:v>
                </c:pt>
                <c:pt idx="51">
                  <c:v>3.42</c:v>
                </c:pt>
                <c:pt idx="52">
                  <c:v>3.42</c:v>
                </c:pt>
                <c:pt idx="53">
                  <c:v>3.39</c:v>
                </c:pt>
                <c:pt idx="54">
                  <c:v>3.26</c:v>
                </c:pt>
                <c:pt idx="55">
                  <c:v>3.11</c:v>
                </c:pt>
                <c:pt idx="56">
                  <c:v>3.06</c:v>
                </c:pt>
                <c:pt idx="57">
                  <c:v>3.1</c:v>
                </c:pt>
                <c:pt idx="58">
                  <c:v>2.95</c:v>
                </c:pt>
                <c:pt idx="59">
                  <c:v>2.92</c:v>
                </c:pt>
                <c:pt idx="60">
                  <c:v>2.98</c:v>
                </c:pt>
                <c:pt idx="61">
                  <c:v>2.92</c:v>
                </c:pt>
                <c:pt idx="62">
                  <c:v>2.84</c:v>
                </c:pt>
                <c:pt idx="63">
                  <c:v>2.61</c:v>
                </c:pt>
                <c:pt idx="64">
                  <c:v>2.58</c:v>
                </c:pt>
                <c:pt idx="65">
                  <c:v>2.2799999999999998</c:v>
                </c:pt>
                <c:pt idx="66">
                  <c:v>2.5099999999999998</c:v>
                </c:pt>
                <c:pt idx="67">
                  <c:v>2.5099999999999998</c:v>
                </c:pt>
                <c:pt idx="68">
                  <c:v>2.81</c:v>
                </c:pt>
                <c:pt idx="69">
                  <c:v>2.84</c:v>
                </c:pt>
                <c:pt idx="70">
                  <c:v>2.88</c:v>
                </c:pt>
                <c:pt idx="71">
                  <c:v>3.01</c:v>
                </c:pt>
                <c:pt idx="72">
                  <c:v>2.98</c:v>
                </c:pt>
                <c:pt idx="73">
                  <c:v>3.11</c:v>
                </c:pt>
                <c:pt idx="74">
                  <c:v>4.3499999999999996</c:v>
                </c:pt>
                <c:pt idx="75">
                  <c:v>4.67</c:v>
                </c:pt>
                <c:pt idx="76">
                  <c:v>4.9800000000000004</c:v>
                </c:pt>
                <c:pt idx="77">
                  <c:v>4.4400000000000004</c:v>
                </c:pt>
                <c:pt idx="78">
                  <c:v>4.3499999999999996</c:v>
                </c:pt>
                <c:pt idx="79">
                  <c:v>4.33</c:v>
                </c:pt>
                <c:pt idx="80">
                  <c:v>4.2300000000000004</c:v>
                </c:pt>
                <c:pt idx="81">
                  <c:v>4.18</c:v>
                </c:pt>
                <c:pt idx="82">
                  <c:v>4.1100000000000003</c:v>
                </c:pt>
                <c:pt idx="83">
                  <c:v>4.12</c:v>
                </c:pt>
                <c:pt idx="84">
                  <c:v>4.21</c:v>
                </c:pt>
                <c:pt idx="85">
                  <c:v>3.91</c:v>
                </c:pt>
                <c:pt idx="86">
                  <c:v>3.76</c:v>
                </c:pt>
                <c:pt idx="87">
                  <c:v>3.78</c:v>
                </c:pt>
                <c:pt idx="88">
                  <c:v>3.46</c:v>
                </c:pt>
                <c:pt idx="89">
                  <c:v>3.5</c:v>
                </c:pt>
                <c:pt idx="90">
                  <c:v>3.5</c:v>
                </c:pt>
                <c:pt idx="91">
                  <c:v>3.55</c:v>
                </c:pt>
                <c:pt idx="92">
                  <c:v>3.6</c:v>
                </c:pt>
                <c:pt idx="93">
                  <c:v>3.64</c:v>
                </c:pt>
                <c:pt idx="94">
                  <c:v>3.7</c:v>
                </c:pt>
                <c:pt idx="95">
                  <c:v>3.59</c:v>
                </c:pt>
                <c:pt idx="96">
                  <c:v>3.6</c:v>
                </c:pt>
                <c:pt idx="97">
                  <c:v>3.58</c:v>
                </c:pt>
                <c:pt idx="98">
                  <c:v>3.53</c:v>
                </c:pt>
                <c:pt idx="99">
                  <c:v>3.58</c:v>
                </c:pt>
                <c:pt idx="100">
                  <c:v>3.55</c:v>
                </c:pt>
                <c:pt idx="101">
                  <c:v>3.58</c:v>
                </c:pt>
                <c:pt idx="102">
                  <c:v>3.75</c:v>
                </c:pt>
                <c:pt idx="103">
                  <c:v>3.77</c:v>
                </c:pt>
                <c:pt idx="104">
                  <c:v>4.6900000000000004</c:v>
                </c:pt>
                <c:pt idx="105">
                  <c:v>4.41</c:v>
                </c:pt>
                <c:pt idx="106">
                  <c:v>4.21</c:v>
                </c:pt>
                <c:pt idx="107">
                  <c:v>4.38</c:v>
                </c:pt>
                <c:pt idx="108">
                  <c:v>4.32</c:v>
                </c:pt>
                <c:pt idx="109">
                  <c:v>4.3099999999999996</c:v>
                </c:pt>
                <c:pt idx="110">
                  <c:v>4.34</c:v>
                </c:pt>
                <c:pt idx="111">
                  <c:v>4.43</c:v>
                </c:pt>
                <c:pt idx="112">
                  <c:v>4.3499999999999996</c:v>
                </c:pt>
                <c:pt idx="113">
                  <c:v>4.3899999999999997</c:v>
                </c:pt>
                <c:pt idx="114">
                  <c:v>4.3600000000000003</c:v>
                </c:pt>
                <c:pt idx="115">
                  <c:v>4.1399999999999997</c:v>
                </c:pt>
                <c:pt idx="116">
                  <c:v>4.08</c:v>
                </c:pt>
                <c:pt idx="117">
                  <c:v>3.9</c:v>
                </c:pt>
                <c:pt idx="118">
                  <c:v>3.7</c:v>
                </c:pt>
                <c:pt idx="119">
                  <c:v>4.1500000000000004</c:v>
                </c:pt>
                <c:pt idx="120">
                  <c:v>4.08</c:v>
                </c:pt>
                <c:pt idx="121">
                  <c:v>4.09</c:v>
                </c:pt>
                <c:pt idx="122">
                  <c:v>4.1500000000000004</c:v>
                </c:pt>
                <c:pt idx="123">
                  <c:v>4.4800000000000004</c:v>
                </c:pt>
                <c:pt idx="124">
                  <c:v>4.5199999999999996</c:v>
                </c:pt>
                <c:pt idx="125">
                  <c:v>4.55</c:v>
                </c:pt>
                <c:pt idx="126">
                  <c:v>4.4400000000000004</c:v>
                </c:pt>
                <c:pt idx="127">
                  <c:v>4.59</c:v>
                </c:pt>
                <c:pt idx="128">
                  <c:v>4.72</c:v>
                </c:pt>
                <c:pt idx="129">
                  <c:v>4.8</c:v>
                </c:pt>
                <c:pt idx="130">
                  <c:v>4.91</c:v>
                </c:pt>
                <c:pt idx="131">
                  <c:v>4.95</c:v>
                </c:pt>
                <c:pt idx="132">
                  <c:v>5.23</c:v>
                </c:pt>
                <c:pt idx="133">
                  <c:v>5.47</c:v>
                </c:pt>
                <c:pt idx="134">
                  <c:v>5.39</c:v>
                </c:pt>
                <c:pt idx="135">
                  <c:v>5.85</c:v>
                </c:pt>
                <c:pt idx="136">
                  <c:v>6.11</c:v>
                </c:pt>
                <c:pt idx="137">
                  <c:v>5.78</c:v>
                </c:pt>
                <c:pt idx="138">
                  <c:v>5.6</c:v>
                </c:pt>
                <c:pt idx="139">
                  <c:v>5.36</c:v>
                </c:pt>
                <c:pt idx="140">
                  <c:v>5.23</c:v>
                </c:pt>
                <c:pt idx="141">
                  <c:v>5.25</c:v>
                </c:pt>
                <c:pt idx="142">
                  <c:v>5.12</c:v>
                </c:pt>
                <c:pt idx="143">
                  <c:v>5.19</c:v>
                </c:pt>
                <c:pt idx="144">
                  <c:v>5.27</c:v>
                </c:pt>
                <c:pt idx="145">
                  <c:v>5.48</c:v>
                </c:pt>
                <c:pt idx="146">
                  <c:v>5.76</c:v>
                </c:pt>
                <c:pt idx="147">
                  <c:v>5.75</c:v>
                </c:pt>
                <c:pt idx="148">
                  <c:v>5.71</c:v>
                </c:pt>
                <c:pt idx="149">
                  <c:v>5.66</c:v>
                </c:pt>
                <c:pt idx="150">
                  <c:v>5.78</c:v>
                </c:pt>
                <c:pt idx="151">
                  <c:v>5.89</c:v>
                </c:pt>
                <c:pt idx="152">
                  <c:v>5.92</c:v>
                </c:pt>
                <c:pt idx="153">
                  <c:v>5.97</c:v>
                </c:pt>
                <c:pt idx="154">
                  <c:v>6.01</c:v>
                </c:pt>
                <c:pt idx="155">
                  <c:v>6.05</c:v>
                </c:pt>
                <c:pt idx="156">
                  <c:v>5.91</c:v>
                </c:pt>
                <c:pt idx="157">
                  <c:v>5.92</c:v>
                </c:pt>
                <c:pt idx="158">
                  <c:v>5.95</c:v>
                </c:pt>
                <c:pt idx="159">
                  <c:v>6.09</c:v>
                </c:pt>
                <c:pt idx="160">
                  <c:v>6.4</c:v>
                </c:pt>
                <c:pt idx="161">
                  <c:v>6.56</c:v>
                </c:pt>
                <c:pt idx="162">
                  <c:v>6.59</c:v>
                </c:pt>
                <c:pt idx="163">
                  <c:v>6.46</c:v>
                </c:pt>
                <c:pt idx="164">
                  <c:v>6.84</c:v>
                </c:pt>
                <c:pt idx="165">
                  <c:v>6.69</c:v>
                </c:pt>
                <c:pt idx="166">
                  <c:v>6.7</c:v>
                </c:pt>
                <c:pt idx="167">
                  <c:v>6.75</c:v>
                </c:pt>
                <c:pt idx="168">
                  <c:v>6.76</c:v>
                </c:pt>
                <c:pt idx="169">
                  <c:v>6.73</c:v>
                </c:pt>
                <c:pt idx="170">
                  <c:v>6.74</c:v>
                </c:pt>
                <c:pt idx="171">
                  <c:v>6.61</c:v>
                </c:pt>
                <c:pt idx="172">
                  <c:v>6.98</c:v>
                </c:pt>
                <c:pt idx="173">
                  <c:v>6.92</c:v>
                </c:pt>
                <c:pt idx="174">
                  <c:v>7.3</c:v>
                </c:pt>
                <c:pt idx="175">
                  <c:v>7.14</c:v>
                </c:pt>
                <c:pt idx="176">
                  <c:v>7.04</c:v>
                </c:pt>
                <c:pt idx="177">
                  <c:v>7.25</c:v>
                </c:pt>
                <c:pt idx="178">
                  <c:v>7.53</c:v>
                </c:pt>
                <c:pt idx="179">
                  <c:v>7.64</c:v>
                </c:pt>
                <c:pt idx="180">
                  <c:v>7.73</c:v>
                </c:pt>
                <c:pt idx="181">
                  <c:v>7.68</c:v>
                </c:pt>
                <c:pt idx="182">
                  <c:v>7.94</c:v>
                </c:pt>
                <c:pt idx="183">
                  <c:v>8.3000000000000007</c:v>
                </c:pt>
                <c:pt idx="184">
                  <c:v>8.48</c:v>
                </c:pt>
                <c:pt idx="185">
                  <c:v>8.8000000000000007</c:v>
                </c:pt>
                <c:pt idx="186">
                  <c:v>10.119999999999999</c:v>
                </c:pt>
                <c:pt idx="187">
                  <c:v>9.65</c:v>
                </c:pt>
                <c:pt idx="188">
                  <c:v>9.99</c:v>
                </c:pt>
                <c:pt idx="189">
                  <c:v>9.66</c:v>
                </c:pt>
                <c:pt idx="190">
                  <c:v>10.07</c:v>
                </c:pt>
                <c:pt idx="191">
                  <c:v>10.31</c:v>
                </c:pt>
                <c:pt idx="192">
                  <c:v>9.75</c:v>
                </c:pt>
                <c:pt idx="193">
                  <c:v>9.6999999999999993</c:v>
                </c:pt>
                <c:pt idx="194">
                  <c:v>10.01</c:v>
                </c:pt>
                <c:pt idx="195">
                  <c:v>9.8800000000000008</c:v>
                </c:pt>
                <c:pt idx="196">
                  <c:v>10.51</c:v>
                </c:pt>
                <c:pt idx="197">
                  <c:v>10.4</c:v>
                </c:pt>
                <c:pt idx="198">
                  <c:v>9.5500000000000007</c:v>
                </c:pt>
                <c:pt idx="199">
                  <c:v>10.11</c:v>
                </c:pt>
                <c:pt idx="200">
                  <c:v>8.77</c:v>
                </c:pt>
                <c:pt idx="201">
                  <c:v>8.6999999999999993</c:v>
                </c:pt>
                <c:pt idx="202">
                  <c:v>8.5299999999999994</c:v>
                </c:pt>
                <c:pt idx="203">
                  <c:v>8.5299999999999994</c:v>
                </c:pt>
                <c:pt idx="204">
                  <c:v>8.1300000000000008</c:v>
                </c:pt>
                <c:pt idx="205">
                  <c:v>8.1300000000000008</c:v>
                </c:pt>
                <c:pt idx="206">
                  <c:v>8.1</c:v>
                </c:pt>
                <c:pt idx="207">
                  <c:v>8.2899999999999991</c:v>
                </c:pt>
                <c:pt idx="208">
                  <c:v>8.2899999999999991</c:v>
                </c:pt>
                <c:pt idx="209">
                  <c:v>8.11</c:v>
                </c:pt>
                <c:pt idx="210">
                  <c:v>7.71</c:v>
                </c:pt>
                <c:pt idx="211">
                  <c:v>7.88</c:v>
                </c:pt>
                <c:pt idx="212">
                  <c:v>7.84</c:v>
                </c:pt>
                <c:pt idx="213">
                  <c:v>8.19</c:v>
                </c:pt>
                <c:pt idx="214">
                  <c:v>8.59</c:v>
                </c:pt>
                <c:pt idx="215">
                  <c:v>8.41</c:v>
                </c:pt>
                <c:pt idx="216">
                  <c:v>8.73</c:v>
                </c:pt>
                <c:pt idx="217">
                  <c:v>8.65</c:v>
                </c:pt>
                <c:pt idx="218">
                  <c:v>8.6199999999999992</c:v>
                </c:pt>
                <c:pt idx="219">
                  <c:v>8.5299999999999994</c:v>
                </c:pt>
                <c:pt idx="220">
                  <c:v>8.73</c:v>
                </c:pt>
                <c:pt idx="221">
                  <c:v>8.93</c:v>
                </c:pt>
                <c:pt idx="222">
                  <c:v>8.27</c:v>
                </c:pt>
                <c:pt idx="223">
                  <c:v>8.2100000000000009</c:v>
                </c:pt>
                <c:pt idx="224">
                  <c:v>8.6999999999999993</c:v>
                </c:pt>
                <c:pt idx="225">
                  <c:v>9.24</c:v>
                </c:pt>
                <c:pt idx="226">
                  <c:v>9.61</c:v>
                </c:pt>
                <c:pt idx="227">
                  <c:v>10.19</c:v>
                </c:pt>
                <c:pt idx="228">
                  <c:v>10.18</c:v>
                </c:pt>
                <c:pt idx="229">
                  <c:v>9.92</c:v>
                </c:pt>
                <c:pt idx="230">
                  <c:v>9.93</c:v>
                </c:pt>
                <c:pt idx="231">
                  <c:v>9.9499999999999993</c:v>
                </c:pt>
                <c:pt idx="232">
                  <c:v>9.84</c:v>
                </c:pt>
                <c:pt idx="233">
                  <c:v>9.51</c:v>
                </c:pt>
                <c:pt idx="234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1-47B6-B69B-8F62FE34D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771279"/>
        <c:axId val="755771759"/>
      </c:lineChart>
      <c:dateAx>
        <c:axId val="7557712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71759"/>
        <c:crosses val="autoZero"/>
        <c:auto val="1"/>
        <c:lblOffset val="100"/>
        <c:baseTimeUnit val="days"/>
      </c:dateAx>
      <c:valAx>
        <c:axId val="7557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77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GBTG!$B$1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GBTG!$A$2:$A$234</c:f>
              <c:numCache>
                <c:formatCode>m/d/yyyy</c:formatCode>
                <c:ptCount val="233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</c:numCache>
            </c:numRef>
          </c:cat>
          <c:val>
            <c:numRef>
              <c:f>GBTG!$B$2:$B$234</c:f>
              <c:numCache>
                <c:formatCode>_([$$-409]* #,##0.00_);_([$$-409]* \(#,##0.00\);_([$$-409]* "-"??_);_(@_)</c:formatCode>
                <c:ptCount val="233"/>
                <c:pt idx="0">
                  <c:v>9.16</c:v>
                </c:pt>
                <c:pt idx="1">
                  <c:v>9.09</c:v>
                </c:pt>
                <c:pt idx="2">
                  <c:v>8.83</c:v>
                </c:pt>
                <c:pt idx="3">
                  <c:v>8.8699999999999992</c:v>
                </c:pt>
                <c:pt idx="4">
                  <c:v>8.9</c:v>
                </c:pt>
                <c:pt idx="5">
                  <c:v>8.59</c:v>
                </c:pt>
                <c:pt idx="6">
                  <c:v>8.7899999999999991</c:v>
                </c:pt>
                <c:pt idx="7">
                  <c:v>8.91</c:v>
                </c:pt>
                <c:pt idx="8">
                  <c:v>8.9700000000000006</c:v>
                </c:pt>
                <c:pt idx="9">
                  <c:v>8.9700000000000006</c:v>
                </c:pt>
                <c:pt idx="10">
                  <c:v>9</c:v>
                </c:pt>
                <c:pt idx="11">
                  <c:v>9.0299999999999994</c:v>
                </c:pt>
                <c:pt idx="12">
                  <c:v>8.9700000000000006</c:v>
                </c:pt>
                <c:pt idx="13">
                  <c:v>9</c:v>
                </c:pt>
                <c:pt idx="14">
                  <c:v>8.9499999999999993</c:v>
                </c:pt>
                <c:pt idx="15">
                  <c:v>8.82</c:v>
                </c:pt>
                <c:pt idx="16">
                  <c:v>8.99</c:v>
                </c:pt>
                <c:pt idx="17">
                  <c:v>8.9700000000000006</c:v>
                </c:pt>
                <c:pt idx="18">
                  <c:v>9</c:v>
                </c:pt>
                <c:pt idx="19">
                  <c:v>8.82</c:v>
                </c:pt>
                <c:pt idx="20">
                  <c:v>8.92</c:v>
                </c:pt>
                <c:pt idx="21">
                  <c:v>8.99</c:v>
                </c:pt>
                <c:pt idx="22">
                  <c:v>9</c:v>
                </c:pt>
                <c:pt idx="23">
                  <c:v>8.98</c:v>
                </c:pt>
                <c:pt idx="24">
                  <c:v>8.9499999999999993</c:v>
                </c:pt>
                <c:pt idx="25">
                  <c:v>8.76</c:v>
                </c:pt>
                <c:pt idx="26">
                  <c:v>8.7799999999999994</c:v>
                </c:pt>
                <c:pt idx="27">
                  <c:v>8.7799999999999994</c:v>
                </c:pt>
                <c:pt idx="28">
                  <c:v>8.9700000000000006</c:v>
                </c:pt>
                <c:pt idx="29">
                  <c:v>8.9499999999999993</c:v>
                </c:pt>
                <c:pt idx="30">
                  <c:v>8.93</c:v>
                </c:pt>
                <c:pt idx="31">
                  <c:v>8.8800000000000008</c:v>
                </c:pt>
                <c:pt idx="32">
                  <c:v>8.74</c:v>
                </c:pt>
                <c:pt idx="33">
                  <c:v>8.5500000000000007</c:v>
                </c:pt>
                <c:pt idx="34">
                  <c:v>8.5500000000000007</c:v>
                </c:pt>
                <c:pt idx="35">
                  <c:v>8.5299999999999994</c:v>
                </c:pt>
                <c:pt idx="36">
                  <c:v>8.6199999999999992</c:v>
                </c:pt>
                <c:pt idx="37">
                  <c:v>8.11</c:v>
                </c:pt>
                <c:pt idx="38">
                  <c:v>8.31</c:v>
                </c:pt>
                <c:pt idx="39">
                  <c:v>8.52</c:v>
                </c:pt>
                <c:pt idx="40">
                  <c:v>8.08</c:v>
                </c:pt>
                <c:pt idx="41">
                  <c:v>8.16</c:v>
                </c:pt>
                <c:pt idx="42">
                  <c:v>7.98</c:v>
                </c:pt>
                <c:pt idx="43">
                  <c:v>8.07</c:v>
                </c:pt>
                <c:pt idx="44">
                  <c:v>7.81</c:v>
                </c:pt>
                <c:pt idx="45">
                  <c:v>7.49</c:v>
                </c:pt>
                <c:pt idx="46">
                  <c:v>7.37</c:v>
                </c:pt>
                <c:pt idx="47">
                  <c:v>7.27</c:v>
                </c:pt>
                <c:pt idx="48">
                  <c:v>7.35</c:v>
                </c:pt>
                <c:pt idx="49">
                  <c:v>7.44</c:v>
                </c:pt>
                <c:pt idx="50">
                  <c:v>7.48</c:v>
                </c:pt>
                <c:pt idx="51">
                  <c:v>7.71</c:v>
                </c:pt>
                <c:pt idx="52">
                  <c:v>7.74</c:v>
                </c:pt>
                <c:pt idx="53">
                  <c:v>7.61</c:v>
                </c:pt>
                <c:pt idx="54">
                  <c:v>7.69</c:v>
                </c:pt>
                <c:pt idx="55">
                  <c:v>7.6</c:v>
                </c:pt>
                <c:pt idx="56">
                  <c:v>7.59</c:v>
                </c:pt>
                <c:pt idx="57">
                  <c:v>7.59</c:v>
                </c:pt>
                <c:pt idx="58">
                  <c:v>7.36</c:v>
                </c:pt>
                <c:pt idx="59">
                  <c:v>7.26</c:v>
                </c:pt>
                <c:pt idx="60">
                  <c:v>7.35</c:v>
                </c:pt>
                <c:pt idx="61">
                  <c:v>7.45</c:v>
                </c:pt>
                <c:pt idx="62">
                  <c:v>6.92</c:v>
                </c:pt>
                <c:pt idx="63">
                  <c:v>6.58</c:v>
                </c:pt>
                <c:pt idx="64">
                  <c:v>6.46</c:v>
                </c:pt>
                <c:pt idx="65">
                  <c:v>6.41</c:v>
                </c:pt>
                <c:pt idx="66">
                  <c:v>6.83</c:v>
                </c:pt>
                <c:pt idx="67">
                  <c:v>6.64</c:v>
                </c:pt>
                <c:pt idx="68">
                  <c:v>6.74</c:v>
                </c:pt>
                <c:pt idx="69">
                  <c:v>6.71</c:v>
                </c:pt>
                <c:pt idx="70">
                  <c:v>6.65</c:v>
                </c:pt>
                <c:pt idx="71">
                  <c:v>6.56</c:v>
                </c:pt>
                <c:pt idx="72">
                  <c:v>6.64</c:v>
                </c:pt>
                <c:pt idx="73">
                  <c:v>6.43</c:v>
                </c:pt>
                <c:pt idx="74">
                  <c:v>6.58</c:v>
                </c:pt>
                <c:pt idx="75">
                  <c:v>6.72</c:v>
                </c:pt>
                <c:pt idx="76">
                  <c:v>6.81</c:v>
                </c:pt>
                <c:pt idx="77">
                  <c:v>6.77</c:v>
                </c:pt>
                <c:pt idx="78">
                  <c:v>6.79</c:v>
                </c:pt>
                <c:pt idx="79">
                  <c:v>6.72</c:v>
                </c:pt>
                <c:pt idx="80">
                  <c:v>6.71</c:v>
                </c:pt>
                <c:pt idx="81">
                  <c:v>6.76</c:v>
                </c:pt>
                <c:pt idx="82">
                  <c:v>6.88</c:v>
                </c:pt>
                <c:pt idx="83">
                  <c:v>6.89</c:v>
                </c:pt>
                <c:pt idx="84">
                  <c:v>6.17</c:v>
                </c:pt>
                <c:pt idx="85">
                  <c:v>5.96</c:v>
                </c:pt>
                <c:pt idx="86">
                  <c:v>6.01</c:v>
                </c:pt>
                <c:pt idx="87">
                  <c:v>5.83</c:v>
                </c:pt>
                <c:pt idx="88">
                  <c:v>6.17</c:v>
                </c:pt>
                <c:pt idx="89">
                  <c:v>6.24</c:v>
                </c:pt>
                <c:pt idx="90">
                  <c:v>6.16</c:v>
                </c:pt>
                <c:pt idx="91">
                  <c:v>6.07</c:v>
                </c:pt>
                <c:pt idx="92">
                  <c:v>6.09</c:v>
                </c:pt>
                <c:pt idx="93">
                  <c:v>6.07</c:v>
                </c:pt>
                <c:pt idx="94">
                  <c:v>6.11</c:v>
                </c:pt>
                <c:pt idx="95">
                  <c:v>6.07</c:v>
                </c:pt>
                <c:pt idx="96">
                  <c:v>6.09</c:v>
                </c:pt>
                <c:pt idx="97">
                  <c:v>5.99</c:v>
                </c:pt>
                <c:pt idx="98">
                  <c:v>6.26</c:v>
                </c:pt>
                <c:pt idx="99">
                  <c:v>6.21</c:v>
                </c:pt>
                <c:pt idx="100">
                  <c:v>6.23</c:v>
                </c:pt>
                <c:pt idx="101">
                  <c:v>6.25</c:v>
                </c:pt>
                <c:pt idx="102">
                  <c:v>6.34</c:v>
                </c:pt>
                <c:pt idx="103">
                  <c:v>6.4</c:v>
                </c:pt>
                <c:pt idx="104">
                  <c:v>6.38</c:v>
                </c:pt>
                <c:pt idx="105">
                  <c:v>6.5</c:v>
                </c:pt>
                <c:pt idx="106">
                  <c:v>6.56</c:v>
                </c:pt>
                <c:pt idx="107">
                  <c:v>6.57</c:v>
                </c:pt>
                <c:pt idx="108">
                  <c:v>6.57</c:v>
                </c:pt>
                <c:pt idx="109">
                  <c:v>6.49</c:v>
                </c:pt>
                <c:pt idx="110">
                  <c:v>6.38</c:v>
                </c:pt>
                <c:pt idx="111">
                  <c:v>6.09</c:v>
                </c:pt>
                <c:pt idx="112">
                  <c:v>6.16</c:v>
                </c:pt>
                <c:pt idx="113">
                  <c:v>6.02</c:v>
                </c:pt>
                <c:pt idx="114">
                  <c:v>6.07</c:v>
                </c:pt>
                <c:pt idx="115">
                  <c:v>6.04</c:v>
                </c:pt>
                <c:pt idx="116">
                  <c:v>6.19</c:v>
                </c:pt>
                <c:pt idx="117">
                  <c:v>6.33</c:v>
                </c:pt>
                <c:pt idx="118">
                  <c:v>6.19</c:v>
                </c:pt>
                <c:pt idx="119">
                  <c:v>6.33</c:v>
                </c:pt>
                <c:pt idx="120">
                  <c:v>6.45</c:v>
                </c:pt>
                <c:pt idx="121">
                  <c:v>6.3</c:v>
                </c:pt>
                <c:pt idx="122">
                  <c:v>6.34</c:v>
                </c:pt>
                <c:pt idx="123">
                  <c:v>6.35</c:v>
                </c:pt>
                <c:pt idx="124">
                  <c:v>6.47</c:v>
                </c:pt>
                <c:pt idx="125">
                  <c:v>6.39</c:v>
                </c:pt>
                <c:pt idx="126">
                  <c:v>6.39</c:v>
                </c:pt>
                <c:pt idx="127">
                  <c:v>6.37</c:v>
                </c:pt>
                <c:pt idx="128">
                  <c:v>6.59</c:v>
                </c:pt>
                <c:pt idx="129">
                  <c:v>6.41</c:v>
                </c:pt>
                <c:pt idx="130">
                  <c:v>6.36</c:v>
                </c:pt>
                <c:pt idx="131">
                  <c:v>6.25</c:v>
                </c:pt>
                <c:pt idx="132">
                  <c:v>6.35</c:v>
                </c:pt>
                <c:pt idx="133">
                  <c:v>6.43</c:v>
                </c:pt>
                <c:pt idx="134">
                  <c:v>6.32</c:v>
                </c:pt>
                <c:pt idx="135">
                  <c:v>6.31</c:v>
                </c:pt>
                <c:pt idx="136">
                  <c:v>6.47</c:v>
                </c:pt>
                <c:pt idx="137">
                  <c:v>6.66</c:v>
                </c:pt>
                <c:pt idx="138">
                  <c:v>6.68</c:v>
                </c:pt>
                <c:pt idx="139">
                  <c:v>6.77</c:v>
                </c:pt>
                <c:pt idx="140">
                  <c:v>6.71</c:v>
                </c:pt>
                <c:pt idx="141">
                  <c:v>6.66</c:v>
                </c:pt>
                <c:pt idx="142">
                  <c:v>6.67</c:v>
                </c:pt>
                <c:pt idx="143">
                  <c:v>6.43</c:v>
                </c:pt>
                <c:pt idx="144">
                  <c:v>6.09</c:v>
                </c:pt>
                <c:pt idx="145">
                  <c:v>6.24</c:v>
                </c:pt>
                <c:pt idx="146">
                  <c:v>6.5</c:v>
                </c:pt>
                <c:pt idx="147">
                  <c:v>7.33</c:v>
                </c:pt>
                <c:pt idx="148">
                  <c:v>7.25</c:v>
                </c:pt>
                <c:pt idx="149">
                  <c:v>7.51</c:v>
                </c:pt>
                <c:pt idx="150">
                  <c:v>7.47</c:v>
                </c:pt>
                <c:pt idx="151">
                  <c:v>7.71</c:v>
                </c:pt>
                <c:pt idx="152">
                  <c:v>7.87</c:v>
                </c:pt>
                <c:pt idx="153">
                  <c:v>7.82</c:v>
                </c:pt>
                <c:pt idx="154">
                  <c:v>7.82</c:v>
                </c:pt>
                <c:pt idx="155">
                  <c:v>7.84</c:v>
                </c:pt>
                <c:pt idx="156">
                  <c:v>7.91</c:v>
                </c:pt>
                <c:pt idx="157">
                  <c:v>7.9</c:v>
                </c:pt>
                <c:pt idx="158">
                  <c:v>7.98</c:v>
                </c:pt>
                <c:pt idx="159">
                  <c:v>8.26</c:v>
                </c:pt>
                <c:pt idx="160">
                  <c:v>8.17</c:v>
                </c:pt>
                <c:pt idx="161">
                  <c:v>8.17</c:v>
                </c:pt>
                <c:pt idx="162">
                  <c:v>8.24</c:v>
                </c:pt>
                <c:pt idx="163">
                  <c:v>8.25</c:v>
                </c:pt>
                <c:pt idx="164">
                  <c:v>8.34</c:v>
                </c:pt>
                <c:pt idx="165">
                  <c:v>8.11</c:v>
                </c:pt>
                <c:pt idx="166">
                  <c:v>8.1</c:v>
                </c:pt>
                <c:pt idx="167">
                  <c:v>8.14</c:v>
                </c:pt>
                <c:pt idx="168">
                  <c:v>8.11</c:v>
                </c:pt>
                <c:pt idx="169">
                  <c:v>8.2100000000000009</c:v>
                </c:pt>
                <c:pt idx="170">
                  <c:v>8.11</c:v>
                </c:pt>
                <c:pt idx="171">
                  <c:v>7.93</c:v>
                </c:pt>
                <c:pt idx="172">
                  <c:v>8.32</c:v>
                </c:pt>
                <c:pt idx="173">
                  <c:v>8.16</c:v>
                </c:pt>
                <c:pt idx="174">
                  <c:v>8.19</c:v>
                </c:pt>
                <c:pt idx="175">
                  <c:v>8.16</c:v>
                </c:pt>
                <c:pt idx="176">
                  <c:v>8.19</c:v>
                </c:pt>
                <c:pt idx="177">
                  <c:v>8.2200000000000006</c:v>
                </c:pt>
                <c:pt idx="178">
                  <c:v>8.14</c:v>
                </c:pt>
                <c:pt idx="179">
                  <c:v>8.08</c:v>
                </c:pt>
                <c:pt idx="180">
                  <c:v>8.23</c:v>
                </c:pt>
                <c:pt idx="181">
                  <c:v>8.24</c:v>
                </c:pt>
                <c:pt idx="182">
                  <c:v>8</c:v>
                </c:pt>
                <c:pt idx="183">
                  <c:v>8.14</c:v>
                </c:pt>
                <c:pt idx="184">
                  <c:v>8.18</c:v>
                </c:pt>
                <c:pt idx="185">
                  <c:v>8.08</c:v>
                </c:pt>
                <c:pt idx="186">
                  <c:v>7.96</c:v>
                </c:pt>
                <c:pt idx="187">
                  <c:v>8</c:v>
                </c:pt>
                <c:pt idx="188">
                  <c:v>8</c:v>
                </c:pt>
                <c:pt idx="189">
                  <c:v>8.11</c:v>
                </c:pt>
                <c:pt idx="190">
                  <c:v>7.8</c:v>
                </c:pt>
                <c:pt idx="191">
                  <c:v>7.78</c:v>
                </c:pt>
                <c:pt idx="192">
                  <c:v>7.76</c:v>
                </c:pt>
                <c:pt idx="193">
                  <c:v>7.54</c:v>
                </c:pt>
                <c:pt idx="194">
                  <c:v>7.72</c:v>
                </c:pt>
                <c:pt idx="195">
                  <c:v>7.97</c:v>
                </c:pt>
                <c:pt idx="196">
                  <c:v>8.0500000000000007</c:v>
                </c:pt>
                <c:pt idx="197">
                  <c:v>7.97</c:v>
                </c:pt>
                <c:pt idx="198">
                  <c:v>8.09</c:v>
                </c:pt>
                <c:pt idx="199">
                  <c:v>8.1199999999999992</c:v>
                </c:pt>
                <c:pt idx="200">
                  <c:v>8.1300000000000008</c:v>
                </c:pt>
                <c:pt idx="201">
                  <c:v>7.98</c:v>
                </c:pt>
                <c:pt idx="202">
                  <c:v>7.9</c:v>
                </c:pt>
                <c:pt idx="203">
                  <c:v>8.01</c:v>
                </c:pt>
                <c:pt idx="204">
                  <c:v>8.0399999999999991</c:v>
                </c:pt>
                <c:pt idx="205">
                  <c:v>8.1300000000000008</c:v>
                </c:pt>
                <c:pt idx="206">
                  <c:v>7.84</c:v>
                </c:pt>
                <c:pt idx="207">
                  <c:v>7.9</c:v>
                </c:pt>
                <c:pt idx="208">
                  <c:v>7.86</c:v>
                </c:pt>
                <c:pt idx="209">
                  <c:v>7.67</c:v>
                </c:pt>
                <c:pt idx="210">
                  <c:v>7.67</c:v>
                </c:pt>
                <c:pt idx="211">
                  <c:v>7.91</c:v>
                </c:pt>
                <c:pt idx="212">
                  <c:v>7.77</c:v>
                </c:pt>
                <c:pt idx="213">
                  <c:v>7.96</c:v>
                </c:pt>
                <c:pt idx="214">
                  <c:v>7.65</c:v>
                </c:pt>
                <c:pt idx="215">
                  <c:v>7.87</c:v>
                </c:pt>
                <c:pt idx="216">
                  <c:v>7.37</c:v>
                </c:pt>
                <c:pt idx="217">
                  <c:v>7.17</c:v>
                </c:pt>
                <c:pt idx="218">
                  <c:v>7.18</c:v>
                </c:pt>
                <c:pt idx="219">
                  <c:v>7.14</c:v>
                </c:pt>
                <c:pt idx="220">
                  <c:v>6.98</c:v>
                </c:pt>
                <c:pt idx="221">
                  <c:v>6.93</c:v>
                </c:pt>
                <c:pt idx="222">
                  <c:v>6.83</c:v>
                </c:pt>
                <c:pt idx="223">
                  <c:v>7.11</c:v>
                </c:pt>
                <c:pt idx="224">
                  <c:v>7.32</c:v>
                </c:pt>
                <c:pt idx="225">
                  <c:v>7.74</c:v>
                </c:pt>
                <c:pt idx="226">
                  <c:v>7.7</c:v>
                </c:pt>
                <c:pt idx="227">
                  <c:v>7.71</c:v>
                </c:pt>
                <c:pt idx="228">
                  <c:v>7.78</c:v>
                </c:pt>
                <c:pt idx="229">
                  <c:v>7.93</c:v>
                </c:pt>
                <c:pt idx="230">
                  <c:v>8</c:v>
                </c:pt>
                <c:pt idx="231">
                  <c:v>7.88</c:v>
                </c:pt>
                <c:pt idx="232">
                  <c:v>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C-4B39-99E9-579BD6057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54624"/>
        <c:axId val="69068064"/>
      </c:lineChart>
      <c:dateAx>
        <c:axId val="69054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8064"/>
        <c:crosses val="autoZero"/>
        <c:auto val="1"/>
        <c:lblOffset val="100"/>
        <c:baseTimeUnit val="days"/>
      </c:dateAx>
      <c:valAx>
        <c:axId val="69068064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FOLD!$B$1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FOLD!$A$2:$A$236</c:f>
              <c:numCache>
                <c:formatCode>m/d/yyyy</c:formatCode>
                <c:ptCount val="23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</c:numCache>
            </c:numRef>
          </c:cat>
          <c:val>
            <c:numRef>
              <c:f>FOLD!$B$2:$B$236</c:f>
              <c:numCache>
                <c:formatCode>_([$$-409]* #,##0.00_);_([$$-409]* \(#,##0.00\);_([$$-409]* "-"??_);_(@_)</c:formatCode>
                <c:ptCount val="235"/>
                <c:pt idx="0">
                  <c:v>9.31</c:v>
                </c:pt>
                <c:pt idx="1">
                  <c:v>9.41</c:v>
                </c:pt>
                <c:pt idx="2">
                  <c:v>9.3000000000000007</c:v>
                </c:pt>
                <c:pt idx="3">
                  <c:v>9.36</c:v>
                </c:pt>
                <c:pt idx="4">
                  <c:v>9.4600000000000009</c:v>
                </c:pt>
                <c:pt idx="5">
                  <c:v>9.02</c:v>
                </c:pt>
                <c:pt idx="6">
                  <c:v>9.23</c:v>
                </c:pt>
                <c:pt idx="7">
                  <c:v>9.2100000000000009</c:v>
                </c:pt>
                <c:pt idx="8">
                  <c:v>9.27</c:v>
                </c:pt>
                <c:pt idx="9">
                  <c:v>9.36</c:v>
                </c:pt>
                <c:pt idx="10">
                  <c:v>9.41</c:v>
                </c:pt>
                <c:pt idx="11">
                  <c:v>9.51</c:v>
                </c:pt>
                <c:pt idx="12">
                  <c:v>9.5399999999999991</c:v>
                </c:pt>
                <c:pt idx="13">
                  <c:v>9.65</c:v>
                </c:pt>
                <c:pt idx="14">
                  <c:v>9.61</c:v>
                </c:pt>
                <c:pt idx="15">
                  <c:v>9.68</c:v>
                </c:pt>
                <c:pt idx="16">
                  <c:v>9.66</c:v>
                </c:pt>
                <c:pt idx="17">
                  <c:v>9.59</c:v>
                </c:pt>
                <c:pt idx="18">
                  <c:v>9.64</c:v>
                </c:pt>
                <c:pt idx="19">
                  <c:v>9.58</c:v>
                </c:pt>
                <c:pt idx="20">
                  <c:v>9.64</c:v>
                </c:pt>
                <c:pt idx="21">
                  <c:v>9.76</c:v>
                </c:pt>
                <c:pt idx="22">
                  <c:v>9.7799999999999994</c:v>
                </c:pt>
                <c:pt idx="23">
                  <c:v>9.83</c:v>
                </c:pt>
                <c:pt idx="24">
                  <c:v>9.65</c:v>
                </c:pt>
                <c:pt idx="25">
                  <c:v>9.64</c:v>
                </c:pt>
                <c:pt idx="26">
                  <c:v>9.57</c:v>
                </c:pt>
                <c:pt idx="27">
                  <c:v>9.5500000000000007</c:v>
                </c:pt>
                <c:pt idx="28">
                  <c:v>9.64</c:v>
                </c:pt>
                <c:pt idx="29">
                  <c:v>9.77</c:v>
                </c:pt>
                <c:pt idx="30">
                  <c:v>9.85</c:v>
                </c:pt>
                <c:pt idx="31">
                  <c:v>9.56</c:v>
                </c:pt>
                <c:pt idx="32">
                  <c:v>9.07</c:v>
                </c:pt>
                <c:pt idx="33">
                  <c:v>9.19</c:v>
                </c:pt>
                <c:pt idx="34">
                  <c:v>9.34</c:v>
                </c:pt>
                <c:pt idx="35">
                  <c:v>9.11</c:v>
                </c:pt>
                <c:pt idx="36">
                  <c:v>9.0299999999999994</c:v>
                </c:pt>
                <c:pt idx="37">
                  <c:v>9.19</c:v>
                </c:pt>
                <c:pt idx="38">
                  <c:v>9.49</c:v>
                </c:pt>
                <c:pt idx="39">
                  <c:v>9.1300000000000008</c:v>
                </c:pt>
                <c:pt idx="40">
                  <c:v>9.11</c:v>
                </c:pt>
                <c:pt idx="41">
                  <c:v>9.15</c:v>
                </c:pt>
                <c:pt idx="42">
                  <c:v>9.02</c:v>
                </c:pt>
                <c:pt idx="43">
                  <c:v>8.86</c:v>
                </c:pt>
                <c:pt idx="44">
                  <c:v>8.6300000000000008</c:v>
                </c:pt>
                <c:pt idx="45">
                  <c:v>8.8800000000000008</c:v>
                </c:pt>
                <c:pt idx="46">
                  <c:v>8.89</c:v>
                </c:pt>
                <c:pt idx="47">
                  <c:v>8.81</c:v>
                </c:pt>
                <c:pt idx="48">
                  <c:v>8.9</c:v>
                </c:pt>
                <c:pt idx="49">
                  <c:v>9.1199999999999992</c:v>
                </c:pt>
                <c:pt idx="50">
                  <c:v>8.98</c:v>
                </c:pt>
                <c:pt idx="51">
                  <c:v>9.1999999999999993</c:v>
                </c:pt>
                <c:pt idx="52">
                  <c:v>9.08</c:v>
                </c:pt>
                <c:pt idx="53">
                  <c:v>9.0050000000000008</c:v>
                </c:pt>
                <c:pt idx="54">
                  <c:v>8.69</c:v>
                </c:pt>
                <c:pt idx="55">
                  <c:v>8.6199999999999992</c:v>
                </c:pt>
                <c:pt idx="56">
                  <c:v>8.52</c:v>
                </c:pt>
                <c:pt idx="57">
                  <c:v>8.59</c:v>
                </c:pt>
                <c:pt idx="58">
                  <c:v>8.43</c:v>
                </c:pt>
                <c:pt idx="59">
                  <c:v>8.16</c:v>
                </c:pt>
                <c:pt idx="60">
                  <c:v>7.95</c:v>
                </c:pt>
                <c:pt idx="61">
                  <c:v>7.99</c:v>
                </c:pt>
                <c:pt idx="62">
                  <c:v>8</c:v>
                </c:pt>
                <c:pt idx="63">
                  <c:v>7.5</c:v>
                </c:pt>
                <c:pt idx="64">
                  <c:v>7.15</c:v>
                </c:pt>
                <c:pt idx="65">
                  <c:v>6.72</c:v>
                </c:pt>
                <c:pt idx="66">
                  <c:v>6.89</c:v>
                </c:pt>
                <c:pt idx="67">
                  <c:v>6.51</c:v>
                </c:pt>
                <c:pt idx="68">
                  <c:v>6.48</c:v>
                </c:pt>
                <c:pt idx="69">
                  <c:v>6.72</c:v>
                </c:pt>
                <c:pt idx="70">
                  <c:v>6.9</c:v>
                </c:pt>
                <c:pt idx="71">
                  <c:v>6.7</c:v>
                </c:pt>
                <c:pt idx="72">
                  <c:v>6.83</c:v>
                </c:pt>
                <c:pt idx="73">
                  <c:v>6.71</c:v>
                </c:pt>
                <c:pt idx="74">
                  <c:v>6.91</c:v>
                </c:pt>
                <c:pt idx="75">
                  <c:v>7.1</c:v>
                </c:pt>
                <c:pt idx="76">
                  <c:v>7.2</c:v>
                </c:pt>
                <c:pt idx="77">
                  <c:v>7.35</c:v>
                </c:pt>
                <c:pt idx="78">
                  <c:v>7.39</c:v>
                </c:pt>
                <c:pt idx="79">
                  <c:v>7.52</c:v>
                </c:pt>
                <c:pt idx="80">
                  <c:v>7.68</c:v>
                </c:pt>
                <c:pt idx="81">
                  <c:v>6.68</c:v>
                </c:pt>
                <c:pt idx="82">
                  <c:v>6.67</c:v>
                </c:pt>
                <c:pt idx="83">
                  <c:v>6.53</c:v>
                </c:pt>
                <c:pt idx="84">
                  <c:v>6.19</c:v>
                </c:pt>
                <c:pt idx="85">
                  <c:v>6.09</c:v>
                </c:pt>
                <c:pt idx="86">
                  <c:v>6.08</c:v>
                </c:pt>
                <c:pt idx="87">
                  <c:v>5.98</c:v>
                </c:pt>
                <c:pt idx="88">
                  <c:v>6.21</c:v>
                </c:pt>
                <c:pt idx="89">
                  <c:v>6.02</c:v>
                </c:pt>
                <c:pt idx="90">
                  <c:v>5.88</c:v>
                </c:pt>
                <c:pt idx="91">
                  <c:v>5.95</c:v>
                </c:pt>
                <c:pt idx="92">
                  <c:v>6.43</c:v>
                </c:pt>
                <c:pt idx="93">
                  <c:v>6.42</c:v>
                </c:pt>
                <c:pt idx="94">
                  <c:v>6.59</c:v>
                </c:pt>
                <c:pt idx="95">
                  <c:v>6.34</c:v>
                </c:pt>
                <c:pt idx="96">
                  <c:v>6.26</c:v>
                </c:pt>
                <c:pt idx="97">
                  <c:v>6.22</c:v>
                </c:pt>
                <c:pt idx="98">
                  <c:v>6.24</c:v>
                </c:pt>
                <c:pt idx="99">
                  <c:v>6.1</c:v>
                </c:pt>
                <c:pt idx="100">
                  <c:v>6.21</c:v>
                </c:pt>
                <c:pt idx="101">
                  <c:v>6.07</c:v>
                </c:pt>
                <c:pt idx="102">
                  <c:v>6.16</c:v>
                </c:pt>
                <c:pt idx="103">
                  <c:v>6.26</c:v>
                </c:pt>
                <c:pt idx="104">
                  <c:v>6.1</c:v>
                </c:pt>
                <c:pt idx="105">
                  <c:v>5.96</c:v>
                </c:pt>
                <c:pt idx="106">
                  <c:v>6.16</c:v>
                </c:pt>
                <c:pt idx="107">
                  <c:v>6.03</c:v>
                </c:pt>
                <c:pt idx="108">
                  <c:v>6.11</c:v>
                </c:pt>
                <c:pt idx="109">
                  <c:v>6.14</c:v>
                </c:pt>
                <c:pt idx="110">
                  <c:v>6.17</c:v>
                </c:pt>
                <c:pt idx="111">
                  <c:v>6.03</c:v>
                </c:pt>
                <c:pt idx="112">
                  <c:v>6.05</c:v>
                </c:pt>
                <c:pt idx="113">
                  <c:v>5.8</c:v>
                </c:pt>
                <c:pt idx="114">
                  <c:v>5.73</c:v>
                </c:pt>
                <c:pt idx="115">
                  <c:v>5.64</c:v>
                </c:pt>
                <c:pt idx="116">
                  <c:v>5.71</c:v>
                </c:pt>
                <c:pt idx="117">
                  <c:v>5.71</c:v>
                </c:pt>
                <c:pt idx="118">
                  <c:v>5.66</c:v>
                </c:pt>
                <c:pt idx="119">
                  <c:v>5.69</c:v>
                </c:pt>
                <c:pt idx="120">
                  <c:v>5.93</c:v>
                </c:pt>
                <c:pt idx="121">
                  <c:v>5.73</c:v>
                </c:pt>
                <c:pt idx="122">
                  <c:v>5.84</c:v>
                </c:pt>
                <c:pt idx="123">
                  <c:v>5.95</c:v>
                </c:pt>
                <c:pt idx="124">
                  <c:v>6.1</c:v>
                </c:pt>
                <c:pt idx="125">
                  <c:v>6.05</c:v>
                </c:pt>
                <c:pt idx="126">
                  <c:v>6.22</c:v>
                </c:pt>
                <c:pt idx="127">
                  <c:v>6.42</c:v>
                </c:pt>
                <c:pt idx="128">
                  <c:v>6.3</c:v>
                </c:pt>
                <c:pt idx="129">
                  <c:v>6.09</c:v>
                </c:pt>
                <c:pt idx="130">
                  <c:v>6.24</c:v>
                </c:pt>
                <c:pt idx="131">
                  <c:v>5.91</c:v>
                </c:pt>
                <c:pt idx="132">
                  <c:v>6.07</c:v>
                </c:pt>
                <c:pt idx="133">
                  <c:v>6.29</c:v>
                </c:pt>
                <c:pt idx="134">
                  <c:v>5.96</c:v>
                </c:pt>
                <c:pt idx="135">
                  <c:v>6.05</c:v>
                </c:pt>
                <c:pt idx="136">
                  <c:v>6.22</c:v>
                </c:pt>
                <c:pt idx="137">
                  <c:v>6.31</c:v>
                </c:pt>
                <c:pt idx="138">
                  <c:v>6.28</c:v>
                </c:pt>
                <c:pt idx="139">
                  <c:v>6.06</c:v>
                </c:pt>
                <c:pt idx="140">
                  <c:v>6.12</c:v>
                </c:pt>
                <c:pt idx="141">
                  <c:v>6.13</c:v>
                </c:pt>
                <c:pt idx="142">
                  <c:v>6.13</c:v>
                </c:pt>
                <c:pt idx="143">
                  <c:v>5.99</c:v>
                </c:pt>
                <c:pt idx="144">
                  <c:v>6.32</c:v>
                </c:pt>
                <c:pt idx="145">
                  <c:v>6.83</c:v>
                </c:pt>
                <c:pt idx="146">
                  <c:v>6.99</c:v>
                </c:pt>
                <c:pt idx="147">
                  <c:v>6.93</c:v>
                </c:pt>
                <c:pt idx="148">
                  <c:v>6.79</c:v>
                </c:pt>
                <c:pt idx="149">
                  <c:v>6.76</c:v>
                </c:pt>
                <c:pt idx="150">
                  <c:v>6.6550000000000002</c:v>
                </c:pt>
                <c:pt idx="151">
                  <c:v>6.98</c:v>
                </c:pt>
                <c:pt idx="152">
                  <c:v>7.19</c:v>
                </c:pt>
                <c:pt idx="153">
                  <c:v>7.12</c:v>
                </c:pt>
                <c:pt idx="154">
                  <c:v>7.4</c:v>
                </c:pt>
                <c:pt idx="155">
                  <c:v>7.41</c:v>
                </c:pt>
                <c:pt idx="156">
                  <c:v>7.34</c:v>
                </c:pt>
                <c:pt idx="157">
                  <c:v>7.4</c:v>
                </c:pt>
                <c:pt idx="158">
                  <c:v>7.6</c:v>
                </c:pt>
                <c:pt idx="159">
                  <c:v>7.61</c:v>
                </c:pt>
                <c:pt idx="160">
                  <c:v>7.48</c:v>
                </c:pt>
                <c:pt idx="161">
                  <c:v>7.52</c:v>
                </c:pt>
                <c:pt idx="162">
                  <c:v>7.64</c:v>
                </c:pt>
                <c:pt idx="163">
                  <c:v>7.65</c:v>
                </c:pt>
                <c:pt idx="164">
                  <c:v>7.59</c:v>
                </c:pt>
                <c:pt idx="165">
                  <c:v>7.88</c:v>
                </c:pt>
                <c:pt idx="166">
                  <c:v>7.85</c:v>
                </c:pt>
                <c:pt idx="167">
                  <c:v>8.02</c:v>
                </c:pt>
                <c:pt idx="168">
                  <c:v>7.99</c:v>
                </c:pt>
                <c:pt idx="169">
                  <c:v>7.98</c:v>
                </c:pt>
                <c:pt idx="170">
                  <c:v>7.89</c:v>
                </c:pt>
                <c:pt idx="171">
                  <c:v>7.94</c:v>
                </c:pt>
                <c:pt idx="172">
                  <c:v>8.02</c:v>
                </c:pt>
                <c:pt idx="173">
                  <c:v>7.99</c:v>
                </c:pt>
                <c:pt idx="174">
                  <c:v>7.73</c:v>
                </c:pt>
                <c:pt idx="175">
                  <c:v>8.01</c:v>
                </c:pt>
                <c:pt idx="176">
                  <c:v>7.97</c:v>
                </c:pt>
                <c:pt idx="177">
                  <c:v>8.48</c:v>
                </c:pt>
                <c:pt idx="178">
                  <c:v>8.33</c:v>
                </c:pt>
                <c:pt idx="179">
                  <c:v>8.57</c:v>
                </c:pt>
                <c:pt idx="180">
                  <c:v>8.16</c:v>
                </c:pt>
                <c:pt idx="181">
                  <c:v>8.35</c:v>
                </c:pt>
                <c:pt idx="182">
                  <c:v>8.32</c:v>
                </c:pt>
                <c:pt idx="183">
                  <c:v>8.24</c:v>
                </c:pt>
                <c:pt idx="184">
                  <c:v>7.94</c:v>
                </c:pt>
                <c:pt idx="185">
                  <c:v>7.88</c:v>
                </c:pt>
                <c:pt idx="186">
                  <c:v>7.71</c:v>
                </c:pt>
                <c:pt idx="187">
                  <c:v>8.25</c:v>
                </c:pt>
                <c:pt idx="188">
                  <c:v>8.1999999999999993</c:v>
                </c:pt>
                <c:pt idx="189">
                  <c:v>8.16</c:v>
                </c:pt>
                <c:pt idx="190">
                  <c:v>8.16</c:v>
                </c:pt>
                <c:pt idx="191">
                  <c:v>8.26</c:v>
                </c:pt>
                <c:pt idx="192">
                  <c:v>8.27</c:v>
                </c:pt>
                <c:pt idx="193">
                  <c:v>8.3000000000000007</c:v>
                </c:pt>
                <c:pt idx="194">
                  <c:v>8.18</c:v>
                </c:pt>
                <c:pt idx="195">
                  <c:v>8.0399999999999991</c:v>
                </c:pt>
                <c:pt idx="196">
                  <c:v>8.3699999999999992</c:v>
                </c:pt>
                <c:pt idx="197">
                  <c:v>8.11</c:v>
                </c:pt>
                <c:pt idx="198">
                  <c:v>8.0399999999999991</c:v>
                </c:pt>
                <c:pt idx="199">
                  <c:v>8.44</c:v>
                </c:pt>
                <c:pt idx="200">
                  <c:v>8.4700000000000006</c:v>
                </c:pt>
                <c:pt idx="201">
                  <c:v>8.5500000000000007</c:v>
                </c:pt>
                <c:pt idx="202">
                  <c:v>8.5</c:v>
                </c:pt>
                <c:pt idx="203">
                  <c:v>8.67</c:v>
                </c:pt>
                <c:pt idx="204">
                  <c:v>8.8800000000000008</c:v>
                </c:pt>
                <c:pt idx="205">
                  <c:v>8.86</c:v>
                </c:pt>
                <c:pt idx="206">
                  <c:v>8.9</c:v>
                </c:pt>
                <c:pt idx="207">
                  <c:v>8.9</c:v>
                </c:pt>
                <c:pt idx="208">
                  <c:v>9.0299999999999994</c:v>
                </c:pt>
                <c:pt idx="209">
                  <c:v>8.86</c:v>
                </c:pt>
                <c:pt idx="210">
                  <c:v>8.99</c:v>
                </c:pt>
                <c:pt idx="211">
                  <c:v>9.19</c:v>
                </c:pt>
                <c:pt idx="212">
                  <c:v>8.9</c:v>
                </c:pt>
                <c:pt idx="213">
                  <c:v>8.8699999999999992</c:v>
                </c:pt>
                <c:pt idx="214">
                  <c:v>9</c:v>
                </c:pt>
                <c:pt idx="215">
                  <c:v>9.32</c:v>
                </c:pt>
                <c:pt idx="216">
                  <c:v>9.42</c:v>
                </c:pt>
                <c:pt idx="217">
                  <c:v>9.3800000000000008</c:v>
                </c:pt>
                <c:pt idx="218">
                  <c:v>9.48</c:v>
                </c:pt>
                <c:pt idx="219">
                  <c:v>9.42</c:v>
                </c:pt>
                <c:pt idx="220">
                  <c:v>9.59</c:v>
                </c:pt>
                <c:pt idx="221">
                  <c:v>9.73</c:v>
                </c:pt>
                <c:pt idx="222">
                  <c:v>9.4499999999999993</c:v>
                </c:pt>
                <c:pt idx="223">
                  <c:v>9.56</c:v>
                </c:pt>
                <c:pt idx="224">
                  <c:v>9.89</c:v>
                </c:pt>
                <c:pt idx="225">
                  <c:v>9.8699999999999992</c:v>
                </c:pt>
                <c:pt idx="226">
                  <c:v>10.02</c:v>
                </c:pt>
                <c:pt idx="227">
                  <c:v>9.93</c:v>
                </c:pt>
                <c:pt idx="228">
                  <c:v>9.8000000000000007</c:v>
                </c:pt>
                <c:pt idx="229">
                  <c:v>9.73</c:v>
                </c:pt>
                <c:pt idx="230">
                  <c:v>9.7799999999999994</c:v>
                </c:pt>
                <c:pt idx="231">
                  <c:v>9.9499999999999993</c:v>
                </c:pt>
                <c:pt idx="232">
                  <c:v>9.9</c:v>
                </c:pt>
                <c:pt idx="233">
                  <c:v>9.85</c:v>
                </c:pt>
                <c:pt idx="234">
                  <c:v>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00B-925B-463E4B23D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69711"/>
        <c:axId val="55769231"/>
      </c:lineChart>
      <c:dateAx>
        <c:axId val="557697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9231"/>
        <c:crosses val="autoZero"/>
        <c:auto val="1"/>
        <c:lblOffset val="100"/>
        <c:baseTimeUnit val="days"/>
      </c:dateAx>
      <c:valAx>
        <c:axId val="5576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NUVB!$B$1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NUVB!$A$2:$A$236</c:f>
              <c:numCache>
                <c:formatCode>m/d/yyyy</c:formatCode>
                <c:ptCount val="23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</c:numCache>
            </c:numRef>
          </c:cat>
          <c:val>
            <c:numRef>
              <c:f>NUVB!$B$2:$B$236</c:f>
              <c:numCache>
                <c:formatCode>_([$$-409]* #,##0.00_);_([$$-409]* \(#,##0.00\);_([$$-409]* "-"??_);_(@_)</c:formatCode>
                <c:ptCount val="235"/>
                <c:pt idx="0">
                  <c:v>2.59</c:v>
                </c:pt>
                <c:pt idx="1">
                  <c:v>2.89</c:v>
                </c:pt>
                <c:pt idx="2">
                  <c:v>2.84</c:v>
                </c:pt>
                <c:pt idx="3">
                  <c:v>3.25</c:v>
                </c:pt>
                <c:pt idx="4">
                  <c:v>3.01</c:v>
                </c:pt>
                <c:pt idx="5">
                  <c:v>2.78</c:v>
                </c:pt>
                <c:pt idx="6">
                  <c:v>2.67</c:v>
                </c:pt>
                <c:pt idx="7">
                  <c:v>2.59</c:v>
                </c:pt>
                <c:pt idx="8">
                  <c:v>2.6</c:v>
                </c:pt>
                <c:pt idx="9">
                  <c:v>2.54</c:v>
                </c:pt>
                <c:pt idx="10">
                  <c:v>2.5099999999999998</c:v>
                </c:pt>
                <c:pt idx="11">
                  <c:v>2.58</c:v>
                </c:pt>
                <c:pt idx="12">
                  <c:v>2.65</c:v>
                </c:pt>
                <c:pt idx="13">
                  <c:v>2.77</c:v>
                </c:pt>
                <c:pt idx="14">
                  <c:v>2.52</c:v>
                </c:pt>
                <c:pt idx="15">
                  <c:v>2.5</c:v>
                </c:pt>
                <c:pt idx="16">
                  <c:v>2.4500000000000002</c:v>
                </c:pt>
                <c:pt idx="17">
                  <c:v>2.42</c:v>
                </c:pt>
                <c:pt idx="18">
                  <c:v>2.4</c:v>
                </c:pt>
                <c:pt idx="19">
                  <c:v>2.31</c:v>
                </c:pt>
                <c:pt idx="20">
                  <c:v>2.27</c:v>
                </c:pt>
                <c:pt idx="21">
                  <c:v>2.41</c:v>
                </c:pt>
                <c:pt idx="22">
                  <c:v>2.4500000000000002</c:v>
                </c:pt>
                <c:pt idx="23">
                  <c:v>2.41</c:v>
                </c:pt>
                <c:pt idx="24">
                  <c:v>2.38</c:v>
                </c:pt>
                <c:pt idx="25">
                  <c:v>2.2799999999999998</c:v>
                </c:pt>
                <c:pt idx="26">
                  <c:v>2.23</c:v>
                </c:pt>
                <c:pt idx="27">
                  <c:v>2.2799999999999998</c:v>
                </c:pt>
                <c:pt idx="28">
                  <c:v>2.29</c:v>
                </c:pt>
                <c:pt idx="29">
                  <c:v>2.27</c:v>
                </c:pt>
                <c:pt idx="30">
                  <c:v>2.3199999999999998</c:v>
                </c:pt>
                <c:pt idx="31">
                  <c:v>2.2999999999999998</c:v>
                </c:pt>
                <c:pt idx="32">
                  <c:v>2.27</c:v>
                </c:pt>
                <c:pt idx="33">
                  <c:v>2.21</c:v>
                </c:pt>
                <c:pt idx="34">
                  <c:v>2.08</c:v>
                </c:pt>
                <c:pt idx="35">
                  <c:v>2.0499999999999998</c:v>
                </c:pt>
                <c:pt idx="36">
                  <c:v>1.98</c:v>
                </c:pt>
                <c:pt idx="37">
                  <c:v>1.97</c:v>
                </c:pt>
                <c:pt idx="38">
                  <c:v>1.97</c:v>
                </c:pt>
                <c:pt idx="39">
                  <c:v>1.82</c:v>
                </c:pt>
                <c:pt idx="40">
                  <c:v>1.82</c:v>
                </c:pt>
                <c:pt idx="41">
                  <c:v>1.87</c:v>
                </c:pt>
                <c:pt idx="42">
                  <c:v>1.89</c:v>
                </c:pt>
                <c:pt idx="43">
                  <c:v>2.02</c:v>
                </c:pt>
                <c:pt idx="44">
                  <c:v>1.88</c:v>
                </c:pt>
                <c:pt idx="45">
                  <c:v>2.29</c:v>
                </c:pt>
                <c:pt idx="46">
                  <c:v>2.2400000000000002</c:v>
                </c:pt>
                <c:pt idx="47">
                  <c:v>2.21</c:v>
                </c:pt>
                <c:pt idx="48">
                  <c:v>2.14</c:v>
                </c:pt>
                <c:pt idx="49">
                  <c:v>2.09</c:v>
                </c:pt>
                <c:pt idx="50">
                  <c:v>1.96</c:v>
                </c:pt>
                <c:pt idx="51">
                  <c:v>1.98</c:v>
                </c:pt>
                <c:pt idx="52">
                  <c:v>1.96</c:v>
                </c:pt>
                <c:pt idx="53">
                  <c:v>1.89</c:v>
                </c:pt>
                <c:pt idx="54">
                  <c:v>1.96</c:v>
                </c:pt>
                <c:pt idx="55">
                  <c:v>1.94</c:v>
                </c:pt>
                <c:pt idx="56">
                  <c:v>1.88</c:v>
                </c:pt>
                <c:pt idx="57">
                  <c:v>1.87</c:v>
                </c:pt>
                <c:pt idx="58">
                  <c:v>1.82</c:v>
                </c:pt>
                <c:pt idx="59">
                  <c:v>1.76</c:v>
                </c:pt>
                <c:pt idx="60">
                  <c:v>1.75</c:v>
                </c:pt>
                <c:pt idx="61">
                  <c:v>1.79</c:v>
                </c:pt>
                <c:pt idx="62">
                  <c:v>1.66</c:v>
                </c:pt>
                <c:pt idx="63">
                  <c:v>1.66</c:v>
                </c:pt>
                <c:pt idx="64">
                  <c:v>1.8</c:v>
                </c:pt>
                <c:pt idx="65">
                  <c:v>1.66</c:v>
                </c:pt>
                <c:pt idx="66">
                  <c:v>1.79</c:v>
                </c:pt>
                <c:pt idx="67">
                  <c:v>1.75</c:v>
                </c:pt>
                <c:pt idx="68">
                  <c:v>1.99</c:v>
                </c:pt>
                <c:pt idx="69">
                  <c:v>2.02</c:v>
                </c:pt>
                <c:pt idx="70">
                  <c:v>2.02</c:v>
                </c:pt>
                <c:pt idx="71">
                  <c:v>1.88</c:v>
                </c:pt>
                <c:pt idx="72">
                  <c:v>1.97</c:v>
                </c:pt>
                <c:pt idx="73">
                  <c:v>1.98</c:v>
                </c:pt>
                <c:pt idx="74">
                  <c:v>2.06</c:v>
                </c:pt>
                <c:pt idx="75">
                  <c:v>2.08</c:v>
                </c:pt>
                <c:pt idx="76">
                  <c:v>2.13</c:v>
                </c:pt>
                <c:pt idx="77">
                  <c:v>2.13</c:v>
                </c:pt>
                <c:pt idx="78">
                  <c:v>2.16</c:v>
                </c:pt>
                <c:pt idx="79">
                  <c:v>2.1800000000000002</c:v>
                </c:pt>
                <c:pt idx="80">
                  <c:v>2.25</c:v>
                </c:pt>
                <c:pt idx="81">
                  <c:v>2.27</c:v>
                </c:pt>
                <c:pt idx="82">
                  <c:v>2.46</c:v>
                </c:pt>
                <c:pt idx="83">
                  <c:v>2.38</c:v>
                </c:pt>
                <c:pt idx="84">
                  <c:v>2.09</c:v>
                </c:pt>
                <c:pt idx="85">
                  <c:v>2.04</c:v>
                </c:pt>
                <c:pt idx="86">
                  <c:v>2.1</c:v>
                </c:pt>
                <c:pt idx="87">
                  <c:v>2.09</c:v>
                </c:pt>
                <c:pt idx="88">
                  <c:v>2.15</c:v>
                </c:pt>
                <c:pt idx="89">
                  <c:v>2.19</c:v>
                </c:pt>
                <c:pt idx="90">
                  <c:v>2.17</c:v>
                </c:pt>
                <c:pt idx="91">
                  <c:v>2.2400000000000002</c:v>
                </c:pt>
                <c:pt idx="92">
                  <c:v>2.2599999999999998</c:v>
                </c:pt>
                <c:pt idx="93">
                  <c:v>2.2999999999999998</c:v>
                </c:pt>
                <c:pt idx="94">
                  <c:v>2.17</c:v>
                </c:pt>
                <c:pt idx="95">
                  <c:v>2.0299999999999998</c:v>
                </c:pt>
                <c:pt idx="96">
                  <c:v>2.25</c:v>
                </c:pt>
                <c:pt idx="97">
                  <c:v>2.2999999999999998</c:v>
                </c:pt>
                <c:pt idx="98">
                  <c:v>2.2400000000000002</c:v>
                </c:pt>
                <c:pt idx="99">
                  <c:v>2.2000000000000002</c:v>
                </c:pt>
                <c:pt idx="100">
                  <c:v>2.2599999999999998</c:v>
                </c:pt>
                <c:pt idx="101">
                  <c:v>2.12</c:v>
                </c:pt>
                <c:pt idx="102">
                  <c:v>2.34</c:v>
                </c:pt>
                <c:pt idx="103">
                  <c:v>2.4500000000000002</c:v>
                </c:pt>
                <c:pt idx="104">
                  <c:v>2.4500000000000002</c:v>
                </c:pt>
                <c:pt idx="105">
                  <c:v>2.48</c:v>
                </c:pt>
                <c:pt idx="106">
                  <c:v>2.48</c:v>
                </c:pt>
                <c:pt idx="107">
                  <c:v>2.5099999999999998</c:v>
                </c:pt>
                <c:pt idx="108">
                  <c:v>2.5299999999999998</c:v>
                </c:pt>
                <c:pt idx="109">
                  <c:v>2.2000000000000002</c:v>
                </c:pt>
                <c:pt idx="110">
                  <c:v>1.81</c:v>
                </c:pt>
                <c:pt idx="111">
                  <c:v>1.73</c:v>
                </c:pt>
                <c:pt idx="112">
                  <c:v>1.86</c:v>
                </c:pt>
                <c:pt idx="113">
                  <c:v>1.71</c:v>
                </c:pt>
                <c:pt idx="114">
                  <c:v>1.79</c:v>
                </c:pt>
                <c:pt idx="115">
                  <c:v>1.97</c:v>
                </c:pt>
                <c:pt idx="116">
                  <c:v>2.0299999999999998</c:v>
                </c:pt>
                <c:pt idx="117">
                  <c:v>2.0499999999999998</c:v>
                </c:pt>
                <c:pt idx="118">
                  <c:v>1.88</c:v>
                </c:pt>
                <c:pt idx="119">
                  <c:v>1.97</c:v>
                </c:pt>
                <c:pt idx="120">
                  <c:v>1.93</c:v>
                </c:pt>
                <c:pt idx="121">
                  <c:v>1.95</c:v>
                </c:pt>
                <c:pt idx="122">
                  <c:v>1.94</c:v>
                </c:pt>
                <c:pt idx="123">
                  <c:v>2.0499999999999998</c:v>
                </c:pt>
                <c:pt idx="124">
                  <c:v>2.09</c:v>
                </c:pt>
                <c:pt idx="125">
                  <c:v>2.08</c:v>
                </c:pt>
                <c:pt idx="126">
                  <c:v>2.0499999999999998</c:v>
                </c:pt>
                <c:pt idx="127">
                  <c:v>2.37</c:v>
                </c:pt>
                <c:pt idx="128">
                  <c:v>2.31</c:v>
                </c:pt>
                <c:pt idx="129">
                  <c:v>2.2000000000000002</c:v>
                </c:pt>
                <c:pt idx="130">
                  <c:v>2.14</c:v>
                </c:pt>
                <c:pt idx="131">
                  <c:v>2.13</c:v>
                </c:pt>
                <c:pt idx="132">
                  <c:v>2.23</c:v>
                </c:pt>
                <c:pt idx="133">
                  <c:v>2.2400000000000002</c:v>
                </c:pt>
                <c:pt idx="134">
                  <c:v>2.2999999999999998</c:v>
                </c:pt>
                <c:pt idx="135">
                  <c:v>2.35</c:v>
                </c:pt>
                <c:pt idx="136">
                  <c:v>2.35</c:v>
                </c:pt>
                <c:pt idx="137">
                  <c:v>2.56</c:v>
                </c:pt>
                <c:pt idx="138">
                  <c:v>2.5099999999999998</c:v>
                </c:pt>
                <c:pt idx="139">
                  <c:v>2.5</c:v>
                </c:pt>
                <c:pt idx="140">
                  <c:v>2.5499999999999998</c:v>
                </c:pt>
                <c:pt idx="141">
                  <c:v>2.46</c:v>
                </c:pt>
                <c:pt idx="142">
                  <c:v>2.41</c:v>
                </c:pt>
                <c:pt idx="143">
                  <c:v>2.36</c:v>
                </c:pt>
                <c:pt idx="144">
                  <c:v>2.23</c:v>
                </c:pt>
                <c:pt idx="145">
                  <c:v>2.31</c:v>
                </c:pt>
                <c:pt idx="146">
                  <c:v>2.37</c:v>
                </c:pt>
                <c:pt idx="147">
                  <c:v>2.35</c:v>
                </c:pt>
                <c:pt idx="148">
                  <c:v>2.34</c:v>
                </c:pt>
                <c:pt idx="149">
                  <c:v>2.2999999999999998</c:v>
                </c:pt>
                <c:pt idx="150">
                  <c:v>2.2400000000000002</c:v>
                </c:pt>
                <c:pt idx="151">
                  <c:v>2.3199999999999998</c:v>
                </c:pt>
                <c:pt idx="152">
                  <c:v>2.61</c:v>
                </c:pt>
                <c:pt idx="153">
                  <c:v>2.76</c:v>
                </c:pt>
                <c:pt idx="154">
                  <c:v>2.75</c:v>
                </c:pt>
                <c:pt idx="155">
                  <c:v>2.9</c:v>
                </c:pt>
                <c:pt idx="156">
                  <c:v>2.69</c:v>
                </c:pt>
                <c:pt idx="157">
                  <c:v>2.71</c:v>
                </c:pt>
                <c:pt idx="158">
                  <c:v>2.74</c:v>
                </c:pt>
                <c:pt idx="159">
                  <c:v>2.9</c:v>
                </c:pt>
                <c:pt idx="160">
                  <c:v>2.88</c:v>
                </c:pt>
                <c:pt idx="161">
                  <c:v>2.98</c:v>
                </c:pt>
                <c:pt idx="162">
                  <c:v>2.95</c:v>
                </c:pt>
                <c:pt idx="163">
                  <c:v>2.92</c:v>
                </c:pt>
                <c:pt idx="164">
                  <c:v>2.97</c:v>
                </c:pt>
                <c:pt idx="165">
                  <c:v>2.95</c:v>
                </c:pt>
                <c:pt idx="166">
                  <c:v>3.15</c:v>
                </c:pt>
                <c:pt idx="167">
                  <c:v>3.42</c:v>
                </c:pt>
                <c:pt idx="168">
                  <c:v>3.9</c:v>
                </c:pt>
                <c:pt idx="169">
                  <c:v>3.49</c:v>
                </c:pt>
                <c:pt idx="170">
                  <c:v>3.35</c:v>
                </c:pt>
                <c:pt idx="171">
                  <c:v>3.32</c:v>
                </c:pt>
                <c:pt idx="172">
                  <c:v>3.35</c:v>
                </c:pt>
                <c:pt idx="173">
                  <c:v>3.14</c:v>
                </c:pt>
                <c:pt idx="174">
                  <c:v>3.15</c:v>
                </c:pt>
                <c:pt idx="175">
                  <c:v>3.27</c:v>
                </c:pt>
                <c:pt idx="176">
                  <c:v>3.26</c:v>
                </c:pt>
                <c:pt idx="177">
                  <c:v>3.17</c:v>
                </c:pt>
                <c:pt idx="178">
                  <c:v>3.22</c:v>
                </c:pt>
                <c:pt idx="179">
                  <c:v>3.27</c:v>
                </c:pt>
                <c:pt idx="180">
                  <c:v>3.22</c:v>
                </c:pt>
                <c:pt idx="181">
                  <c:v>3.24</c:v>
                </c:pt>
                <c:pt idx="182">
                  <c:v>3.01</c:v>
                </c:pt>
                <c:pt idx="183">
                  <c:v>3.2</c:v>
                </c:pt>
                <c:pt idx="184">
                  <c:v>3.22</c:v>
                </c:pt>
                <c:pt idx="185">
                  <c:v>3.7</c:v>
                </c:pt>
                <c:pt idx="186">
                  <c:v>3.7</c:v>
                </c:pt>
                <c:pt idx="187">
                  <c:v>3.71</c:v>
                </c:pt>
                <c:pt idx="188">
                  <c:v>3.71</c:v>
                </c:pt>
                <c:pt idx="189">
                  <c:v>3.77</c:v>
                </c:pt>
                <c:pt idx="190">
                  <c:v>3.66</c:v>
                </c:pt>
                <c:pt idx="191">
                  <c:v>3.72</c:v>
                </c:pt>
                <c:pt idx="192">
                  <c:v>3.75</c:v>
                </c:pt>
                <c:pt idx="193">
                  <c:v>3.74</c:v>
                </c:pt>
                <c:pt idx="194">
                  <c:v>3.68</c:v>
                </c:pt>
                <c:pt idx="195">
                  <c:v>3.55</c:v>
                </c:pt>
                <c:pt idx="196">
                  <c:v>3.77</c:v>
                </c:pt>
                <c:pt idx="197">
                  <c:v>3.63</c:v>
                </c:pt>
                <c:pt idx="198">
                  <c:v>3.41</c:v>
                </c:pt>
                <c:pt idx="199">
                  <c:v>3.7</c:v>
                </c:pt>
                <c:pt idx="200">
                  <c:v>4.21</c:v>
                </c:pt>
                <c:pt idx="201">
                  <c:v>4.1500000000000004</c:v>
                </c:pt>
                <c:pt idx="202">
                  <c:v>4.3899999999999997</c:v>
                </c:pt>
                <c:pt idx="203">
                  <c:v>4.8499999999999996</c:v>
                </c:pt>
                <c:pt idx="204">
                  <c:v>5.04</c:v>
                </c:pt>
                <c:pt idx="205">
                  <c:v>5.37</c:v>
                </c:pt>
                <c:pt idx="206">
                  <c:v>5.26</c:v>
                </c:pt>
                <c:pt idx="207">
                  <c:v>5.15</c:v>
                </c:pt>
                <c:pt idx="208">
                  <c:v>5.22</c:v>
                </c:pt>
                <c:pt idx="209">
                  <c:v>5.17</c:v>
                </c:pt>
                <c:pt idx="210">
                  <c:v>4.83</c:v>
                </c:pt>
                <c:pt idx="211">
                  <c:v>4.92</c:v>
                </c:pt>
                <c:pt idx="212">
                  <c:v>5.0199999999999996</c:v>
                </c:pt>
                <c:pt idx="213">
                  <c:v>4.7300000000000004</c:v>
                </c:pt>
                <c:pt idx="214">
                  <c:v>4.6399999999999997</c:v>
                </c:pt>
                <c:pt idx="215">
                  <c:v>4.9800000000000004</c:v>
                </c:pt>
                <c:pt idx="216">
                  <c:v>4.93</c:v>
                </c:pt>
                <c:pt idx="217">
                  <c:v>4.6900000000000004</c:v>
                </c:pt>
                <c:pt idx="218">
                  <c:v>4.8600000000000003</c:v>
                </c:pt>
                <c:pt idx="219">
                  <c:v>4.67</c:v>
                </c:pt>
                <c:pt idx="220">
                  <c:v>4.8</c:v>
                </c:pt>
                <c:pt idx="221">
                  <c:v>7.15</c:v>
                </c:pt>
                <c:pt idx="222">
                  <c:v>7.01</c:v>
                </c:pt>
                <c:pt idx="223">
                  <c:v>6.99</c:v>
                </c:pt>
                <c:pt idx="224">
                  <c:v>7.41</c:v>
                </c:pt>
                <c:pt idx="225">
                  <c:v>7.88</c:v>
                </c:pt>
                <c:pt idx="226">
                  <c:v>8.01</c:v>
                </c:pt>
                <c:pt idx="227">
                  <c:v>8.0299999999999994</c:v>
                </c:pt>
                <c:pt idx="228">
                  <c:v>7.88</c:v>
                </c:pt>
                <c:pt idx="229">
                  <c:v>7.47</c:v>
                </c:pt>
                <c:pt idx="230">
                  <c:v>8.3699999999999992</c:v>
                </c:pt>
                <c:pt idx="231">
                  <c:v>8.31</c:v>
                </c:pt>
                <c:pt idx="232">
                  <c:v>8.5500000000000007</c:v>
                </c:pt>
                <c:pt idx="233">
                  <c:v>8.58</c:v>
                </c:pt>
                <c:pt idx="23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6-4C75-A2D4-82858844C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592351"/>
        <c:axId val="866591871"/>
      </c:lineChart>
      <c:dateAx>
        <c:axId val="8665923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591871"/>
        <c:crosses val="autoZero"/>
        <c:auto val="1"/>
        <c:lblOffset val="100"/>
        <c:baseTimeUnit val="days"/>
      </c:dateAx>
      <c:valAx>
        <c:axId val="86659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59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577103</xdr:colOff>
      <xdr:row>1</xdr:row>
      <xdr:rowOff>45943</xdr:rowOff>
    </xdr:from>
    <xdr:to>
      <xdr:col>13</xdr:col>
      <xdr:colOff>308162</xdr:colOff>
      <xdr:row>15</xdr:row>
      <xdr:rowOff>122143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F4B16-2BE8-705E-81D8-690DF662F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481011</xdr:colOff>
      <xdr:row>1</xdr:row>
      <xdr:rowOff>57149</xdr:rowOff>
    </xdr:from>
    <xdr:to>
      <xdr:col>9</xdr:col>
      <xdr:colOff>504824</xdr:colOff>
      <xdr:row>17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9FA0CB-D720-7D5A-353E-AFC52B71E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</xdr:row>
      <xdr:rowOff>42862</xdr:rowOff>
    </xdr:from>
    <xdr:to>
      <xdr:col>14</xdr:col>
      <xdr:colOff>9525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F9018-4DA6-899A-35BB-5FA44399A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</xdr:row>
      <xdr:rowOff>42862</xdr:rowOff>
    </xdr:from>
    <xdr:to>
      <xdr:col>14</xdr:col>
      <xdr:colOff>9525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01556-EB8B-5B69-DEFE-F0366114B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</xdr:row>
      <xdr:rowOff>42862</xdr:rowOff>
    </xdr:from>
    <xdr:to>
      <xdr:col>14</xdr:col>
      <xdr:colOff>9525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9E7A0-3DFF-3D62-0932-FAB91CF82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</xdr:row>
      <xdr:rowOff>42862</xdr:rowOff>
    </xdr:from>
    <xdr:to>
      <xdr:col>14</xdr:col>
      <xdr:colOff>9525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D3551-DA54-3044-117E-BF0314157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AppData\Roaming\Microsoft\AddIns\XRealStats.xlam" TargetMode="External"/><Relationship Id="rId1" Type="http://schemas.openxmlformats.org/officeDocument/2006/relationships/externalLinkPath" Target="/Users/Owner/AppData/Roaming/Microsoft/AddIn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LOES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3">
  <a r="1" c="236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316</v>
    <v t="i">317</v>
    <v t="i">320</v>
    <v t="i">321</v>
    <v t="i">322</v>
    <v t="i">323</v>
    <v t="i">324</v>
    <v t="i">327</v>
    <v t="i">328</v>
    <v t="i">329</v>
    <v t="i">331</v>
    <v t="i">334</v>
    <v t="i">335</v>
    <v t="i">336</v>
    <v t="i">337</v>
    <v t="i">338</v>
    <v t="i">341</v>
    <v t="i">342</v>
    <v t="i">343</v>
  </a>
  <a r="1" c="236">
    <v>14.88</v>
    <v>15.05</v>
    <v>15.37</v>
    <v>15.72</v>
    <v>15.73</v>
    <v>15.86</v>
    <v>16.41</v>
    <v>16.59</v>
    <v>16.68</v>
    <v>16.739999999999998</v>
    <v>16.62</v>
    <v>16.260000000000002</v>
    <v>16.16</v>
    <v>16.34</v>
    <v>15.99</v>
    <v>15.82</v>
    <v>15.63</v>
    <v>15.64</v>
    <v>15.45</v>
    <v>15.06</v>
    <v>15.03</v>
    <v>15.24</v>
    <v>15.09</v>
    <v>14.63</v>
    <v>14.66</v>
    <v>15.02</v>
    <v>15.02</v>
    <v>14.48</v>
    <v>14.52</v>
    <v>14.87</v>
    <v>15.15</v>
    <v>15.18</v>
    <v>15.01</v>
    <v>14.26</v>
    <v>14.2</v>
    <v>13.69</v>
    <v>13.47</v>
    <v>12.78</v>
    <v>12.62</v>
    <v>11.55</v>
    <v>11.29</v>
    <v>11.04</v>
    <v>10.82</v>
    <v>10.64</v>
    <v>10.3</v>
    <v>10.51</v>
    <v>10.72</v>
    <v>10.49</v>
    <v>10.91</v>
    <v>11.04</v>
    <v>11.2</v>
    <v>11.72</v>
    <v>11.65</v>
    <v>11.46</v>
    <v>11.66</v>
    <v>11.56</v>
    <v>11.47</v>
    <v>11.27</v>
    <v>11.14</v>
    <v>11.24</v>
    <v>11.08</v>
    <v>11.18</v>
    <v>9.26</v>
    <v>7.82</v>
    <v>7.88</v>
    <v>7.29</v>
    <v>8.57</v>
    <v>7.43</v>
    <v>7.71</v>
    <v>7.89</v>
    <v>7.76</v>
    <v>8.1300000000000008</v>
    <v>8.3800000000000008</v>
    <v>8.1</v>
    <v>8.3000000000000007</v>
    <v>8.27</v>
    <v>8.5</v>
    <v>8.7200000000000006</v>
    <v>8.69</v>
    <v>8.56</v>
    <v>8.2799999999999994</v>
    <v>8.49</v>
    <v>8.6199999999999992</v>
    <v>8.23</v>
    <v>7.95</v>
    <v>7.94</v>
    <v>8.3699999999999992</v>
    <v>8.56</v>
    <v>9.1</v>
    <v>9.5</v>
    <v>9.4700000000000006</v>
    <v>9.19</v>
    <v>9.1300000000000008</v>
    <v>8.9700000000000006</v>
    <v>9.0399999999999991</v>
    <v>8.69</v>
    <v>8.6199999999999992</v>
    <v>8.5399999999999991</v>
    <v>8.68</v>
    <v>8.6300000000000008</v>
    <v>8.6999999999999993</v>
    <v>8.39</v>
    <v>8.58</v>
    <v>9.09</v>
    <v>8.7799999999999994</v>
    <v>8.67</v>
    <v>9.0299999999999994</v>
    <v>9.08</v>
    <v>9.17</v>
    <v>9.4600000000000009</v>
    <v>9.52</v>
    <v>9.7799999999999994</v>
    <v>9.56</v>
    <v>9.58</v>
    <v>9.52</v>
    <v>9.4700000000000006</v>
    <v>8.9700000000000006</v>
    <v>8.77</v>
    <v>8.6</v>
    <v>8.9499999999999993</v>
    <v>8.9499999999999993</v>
    <v>8.6</v>
    <v>8.8800000000000008</v>
    <v>9.1199999999999992</v>
    <v>9.1300000000000008</v>
    <v>8.83</v>
    <v>9.3800000000000008</v>
    <v>9.16</v>
    <v>9.2899999999999991</v>
    <v>9.25</v>
    <v>8.76</v>
    <v>8.2899999999999991</v>
    <v>8.23</v>
    <v>8.43</v>
    <v>8.73</v>
    <v>8.4499999999999993</v>
    <v>8.64</v>
    <v>8.92</v>
    <v>9.2799999999999994</v>
    <v>9.1999999999999993</v>
    <v>9.5299999999999994</v>
    <v>9.65</v>
    <v>9.4499999999999993</v>
    <v>9.24</v>
    <v>8.9600000000000009</v>
    <v>8.8800000000000008</v>
    <v>9.36</v>
    <v>9.23</v>
    <v>9.1999999999999993</v>
    <v>9.23</v>
    <v>8.99</v>
    <v>9.34</v>
    <v>9.56</v>
    <v>9.65</v>
    <v>9.42</v>
    <v>9.32</v>
    <v>9.2200000000000006</v>
    <v>9.2799999999999994</v>
    <v>9.3800000000000008</v>
    <v>9.94</v>
    <v>9.5399999999999991</v>
    <v>9.02</v>
    <v>9.3000000000000007</v>
    <v>9.61</v>
    <v>9.5399999999999991</v>
    <v>9.9</v>
    <v>9.43</v>
    <v>9.24</v>
    <v>8.76</v>
    <v>8.34</v>
    <v>8.2200000000000006</v>
    <v>8.6999999999999993</v>
    <v>8.8000000000000007</v>
    <v>8.67</v>
    <v>8.42</v>
    <v>8.76</v>
    <v>8.76</v>
    <v>8.7799999999999994</v>
    <v>8.41</v>
    <v>8.5</v>
    <v>9.09</v>
    <v>9.58</v>
    <v>9.4600000000000009</v>
    <v>9.77</v>
    <v>9.06</v>
    <v>8.92</v>
    <v>9.01</v>
    <v>8.68</v>
    <v>9.0399999999999991</v>
    <v>9.17</v>
    <v>9.1199999999999992</v>
    <v>9.16</v>
    <v>8.9600000000000009</v>
    <v>8.08</v>
    <v>8.6</v>
    <v>8.36</v>
    <v>8.3699999999999992</v>
    <v>8.41</v>
    <v>8.25</v>
    <v>8.1</v>
    <v>7.99</v>
    <v>8.06</v>
    <v>8.5299999999999994</v>
    <v>8.3800000000000008</v>
    <v>8.42</v>
    <v>8.09</v>
    <v>8.14</v>
    <v>8.15</v>
    <v>8.43</v>
    <v>8.5399999999999991</v>
    <v>8.0500000000000007</v>
    <v>8.08</v>
    <v>8.48</v>
    <v>8.86</v>
    <v>8.9600000000000009</v>
    <v>9.69</v>
    <v>9.1199999999999992</v>
    <v>9.16</v>
    <v>9.33</v>
    <v>8.8699999999999992</v>
    <v>8.98</v>
    <v>9.01</v>
    <v>8.74</v>
    <v>8.83</v>
    <v>9.16</v>
    <v>9.19</v>
    <v>9.25</v>
    <v>9.43</v>
    <v>9.35</v>
    <v>9.35</v>
    <v>9.6999999999999993</v>
    <v>9.77</v>
    <v>9.98</v>
    <v>9.91</v>
    <v>9.86</v>
    <v>9.76</v>
  </a>
  <a r="1" c="236">
    <v>14.99</v>
    <v>15.21</v>
    <v>15.53</v>
    <v>15.72</v>
    <v>15.765000000000001</v>
    <v>16.239999999999998</v>
    <v>16.559999999999999</v>
    <v>16.672499999999999</v>
    <v>16.939800000000002</v>
    <v>16.885000000000002</v>
    <v>16.849399999999999</v>
    <v>16.560099999999998</v>
    <v>16.434999999999999</v>
    <v>16.545000000000002</v>
    <v>16.489999999999998</v>
    <v>16.094999999999999</v>
    <v>16.02</v>
    <v>15.79</v>
    <v>15.734999999999999</v>
    <v>15.53</v>
    <v>15.24</v>
    <v>15.33</v>
    <v>15.324999999999999</v>
    <v>15.179</v>
    <v>14.87</v>
    <v>15.11</v>
    <v>15.51</v>
    <v>15.04</v>
    <v>14.57</v>
    <v>15</v>
    <v>15.49</v>
    <v>15.58</v>
    <v>15.244999999999999</v>
    <v>15.13</v>
    <v>14.435</v>
    <v>14.21</v>
    <v>13.775</v>
    <v>13.39</v>
    <v>12.845000000000001</v>
    <v>12.71</v>
    <v>11.62</v>
    <v>11.1</v>
    <v>11.04</v>
    <v>11.18</v>
    <v>10.89</v>
    <v>10.6</v>
    <v>10.95</v>
    <v>10.72</v>
    <v>11.13</v>
    <v>11.275</v>
    <v>11.26</v>
    <v>11.82</v>
    <v>11.87</v>
    <v>11.65</v>
    <v>11.685</v>
    <v>11.77</v>
    <v>11.765000000000001</v>
    <v>11.55</v>
    <v>11.3</v>
    <v>11.42</v>
    <v>11.22</v>
    <v>11.22</v>
    <v>10.51</v>
    <v>8.61</v>
    <v>8.1850000000000005</v>
    <v>8.43</v>
    <v>8.6649999999999991</v>
    <v>8.1374999999999993</v>
    <v>7.7949999999999999</v>
    <v>8.0850000000000009</v>
    <v>8.0350000000000001</v>
    <v>8.2899999999999991</v>
    <v>8.59</v>
    <v>8.19</v>
    <v>8.43</v>
    <v>8.56</v>
    <v>8.5250000000000004</v>
    <v>8.75</v>
    <v>8.8450000000000006</v>
    <v>8.69</v>
    <v>8.4849999999999994</v>
    <v>8.75</v>
    <v>8.7100000000000009</v>
    <v>8.49</v>
    <v>8.16</v>
    <v>8.11</v>
    <v>8.44</v>
    <v>8.6</v>
    <v>9.41</v>
    <v>9.64</v>
    <v>9.5399999999999991</v>
    <v>9.32</v>
    <v>9.2899999999999991</v>
    <v>8.99</v>
    <v>9.1649999999999991</v>
    <v>8.9600000000000009</v>
    <v>8.65</v>
    <v>8.58</v>
    <v>8.7050000000000001</v>
    <v>8.8282000000000007</v>
    <v>8.7646999999999995</v>
    <v>8.6449999999999996</v>
    <v>8.73</v>
    <v>9.1549999999999994</v>
    <v>9.27</v>
    <v>8.89</v>
    <v>9.15</v>
    <v>9.2550000000000008</v>
    <v>9.4700000000000006</v>
    <v>9.6</v>
    <v>9.5350000000000001</v>
    <v>10</v>
    <v>9.7899999999999991</v>
    <v>9.8800000000000008</v>
    <v>9.7899999999999991</v>
    <v>9.6</v>
    <v>9.6050000000000004</v>
    <v>8.9749999999999996</v>
    <v>8.75</v>
    <v>8.9700000000000006</v>
    <v>9.1300000000000008</v>
    <v>8.93</v>
    <v>9.01</v>
    <v>9.17</v>
    <v>9.27</v>
    <v>9.1750000000000007</v>
    <v>9.5549999999999997</v>
    <v>9.4499999999999993</v>
    <v>9.3450000000000006</v>
    <v>9.32</v>
    <v>9.24</v>
    <v>8.8752999999999993</v>
    <v>8.3650000000000002</v>
    <v>8.5649999999999995</v>
    <v>8.98</v>
    <v>8.7788000000000004</v>
    <v>8.69</v>
    <v>8.9649999999999999</v>
    <v>9.33</v>
    <v>9.3255999999999997</v>
    <v>9.56</v>
    <v>9.69</v>
    <v>9.66</v>
    <v>9.4600000000000009</v>
    <v>9.1300000000000008</v>
    <v>8.98</v>
    <v>9.5150000000000006</v>
    <v>9.76</v>
    <v>9.57</v>
    <v>9.4450000000000003</v>
    <v>9.4600000000000009</v>
    <v>9.3699999999999992</v>
    <v>9.5749999999999993</v>
    <v>9.66</v>
    <v>9.6988000000000003</v>
    <v>9.4149999999999991</v>
    <v>9.48</v>
    <v>9.39</v>
    <v>9.5050000000000008</v>
    <v>9.99</v>
    <v>9.61</v>
    <v>9.5150000000000006</v>
    <v>9.625</v>
    <v>9.6199999999999992</v>
    <v>9.65</v>
    <v>9.91</v>
    <v>9.94</v>
    <v>9.49</v>
    <v>9.2100000000000009</v>
    <v>8.84</v>
    <v>8.6</v>
    <v>8.73</v>
    <v>8.81</v>
    <v>8.93</v>
    <v>8.74</v>
    <v>8.8055000000000003</v>
    <v>9.1</v>
    <v>8.84</v>
    <v>8.74</v>
    <v>8.56</v>
    <v>9.24</v>
    <v>9.7750000000000004</v>
    <v>9.69</v>
    <v>9.9700000000000006</v>
    <v>9.65</v>
    <v>8.9600000000000009</v>
    <v>9.09</v>
    <v>9.02</v>
    <v>9.16</v>
    <v>9.4</v>
    <v>9.1598000000000006</v>
    <v>9.19</v>
    <v>9.42</v>
    <v>8.84</v>
    <v>8.6199999999999992</v>
    <v>8.56</v>
    <v>8.7100000000000009</v>
    <v>8.8000000000000007</v>
    <v>8.49</v>
    <v>8.4499999999999993</v>
    <v>8.1999999999999993</v>
    <v>8.2200000000000006</v>
    <v>8.64</v>
    <v>8.68</v>
    <v>8.6300000000000008</v>
    <v>8.4</v>
    <v>8.2881999999999998</v>
    <v>8.3800000000000008</v>
    <v>8.48</v>
    <v>8.7100000000000009</v>
    <v>8.52</v>
    <v>8.3650000000000002</v>
    <v>8.5982000000000003</v>
    <v>8.9</v>
    <v>9.08</v>
    <v>9.8149999999999995</v>
    <v>9.6999999999999993</v>
    <v>9.375</v>
    <v>9.44</v>
    <v>9.3249999999999993</v>
    <v>9.14</v>
    <v>9.0500000000000007</v>
    <v>9.4</v>
    <v>8.86</v>
    <v>9.23</v>
    <v>9.2100000000000009</v>
    <v>9.4600000000000009</v>
    <v>9.4700000000000006</v>
    <v>9.6300000000000008</v>
    <v>9.43</v>
    <v>9.8000000000000007</v>
    <v>9.89</v>
    <v>10.225</v>
    <v>10.050000000000001</v>
    <v>10.005000000000001</v>
    <v>9.82</v>
  </a>
  <a r="1" c="236">
    <v>14.7</v>
    <v>14.872</v>
    <v>15.11</v>
    <v>15.21</v>
    <v>15.43</v>
    <v>15.835000000000001</v>
    <v>15.89</v>
    <v>16.29</v>
    <v>16.63</v>
    <v>16.55</v>
    <v>16.38</v>
    <v>16.055</v>
    <v>16.010000000000002</v>
    <v>16.11</v>
    <v>15.93</v>
    <v>15.48</v>
    <v>15.31</v>
    <v>15.44</v>
    <v>15.38</v>
    <v>14.82</v>
    <v>14.73</v>
    <v>14.8</v>
    <v>15.05</v>
    <v>14.494999999999999</v>
    <v>14.66</v>
    <v>14.78</v>
    <v>15.005000000000001</v>
    <v>14.42</v>
    <v>14.29</v>
    <v>14.57</v>
    <v>14.61</v>
    <v>15.1</v>
    <v>14.845000000000001</v>
    <v>14.1701</v>
    <v>14.12</v>
    <v>13.664999999999999</v>
    <v>13.26</v>
    <v>12.643000000000001</v>
    <v>12.42</v>
    <v>11.47</v>
    <v>10.96</v>
    <v>10.350099999999999</v>
    <v>10.58</v>
    <v>10.64</v>
    <v>10.26</v>
    <v>10.26</v>
    <v>10.45</v>
    <v>10.26</v>
    <v>10.7</v>
    <v>10.88</v>
    <v>11.01</v>
    <v>11.22</v>
    <v>11.565</v>
    <v>11.29</v>
    <v>11.440099999999999</v>
    <v>11.38</v>
    <v>11.46</v>
    <v>11.175000000000001</v>
    <v>11</v>
    <v>10.87</v>
    <v>10.77</v>
    <v>10.87</v>
    <v>9.2100000000000009</v>
    <v>7.6550000000000002</v>
    <v>7.14</v>
    <v>7.13</v>
    <v>6.83</v>
    <v>7.2</v>
    <v>7.2750000000000004</v>
    <v>7.68</v>
    <v>7.73</v>
    <v>7.77</v>
    <v>8.1750000000000007</v>
    <v>7.952</v>
    <v>8.1549999999999994</v>
    <v>8.16</v>
    <v>8.23</v>
    <v>8.34</v>
    <v>8.6</v>
    <v>8.4600000000000009</v>
    <v>8.1300000000000008</v>
    <v>8.24</v>
    <v>8.4550000000000001</v>
    <v>8.17</v>
    <v>7.7050000000000001</v>
    <v>7.77</v>
    <v>8.0299999999999994</v>
    <v>8.3450000000000006</v>
    <v>9.0050000000000008</v>
    <v>9.1199999999999992</v>
    <v>9.34</v>
    <v>9</v>
    <v>8.9499999999999993</v>
    <v>8.74</v>
    <v>8.8949999999999996</v>
    <v>8.69</v>
    <v>8.36</v>
    <v>8.33</v>
    <v>8.41</v>
    <v>8.5749999999999993</v>
    <v>8.5500000000000007</v>
    <v>8.35</v>
    <v>8.4749999999999996</v>
    <v>8.3800000000000008</v>
    <v>8.6999999999999993</v>
    <v>8.6150000000000002</v>
    <v>8.82</v>
    <v>9.0399999999999991</v>
    <v>9.1300000000000008</v>
    <v>9.16</v>
    <v>9.2091999999999992</v>
    <v>9.5299999999999994</v>
    <v>9.4049999999999994</v>
    <v>9.4700000000000006</v>
    <v>9.4849999999999994</v>
    <v>9.3949999999999996</v>
    <v>8.93</v>
    <v>8.7149999999999999</v>
    <v>8.4749999999999996</v>
    <v>8.61</v>
    <v>8.8849999999999998</v>
    <v>8.5950000000000006</v>
    <v>8.49</v>
    <v>8.8249999999999993</v>
    <v>9.0850000000000009</v>
    <v>8.68</v>
    <v>8.8524999999999991</v>
    <v>9.11</v>
    <v>8.9600000000000009</v>
    <v>9.1349999999999998</v>
    <v>8.74</v>
    <v>8.2799999999999994</v>
    <v>8.0399999999999991</v>
    <v>8.2750000000000004</v>
    <v>8.5399999999999991</v>
    <v>8.42</v>
    <v>8.48</v>
    <v>8.5815999999999999</v>
    <v>8.86</v>
    <v>9.125</v>
    <v>9.3000000000000007</v>
    <v>9.33</v>
    <v>9.375</v>
    <v>9.1199999999999992</v>
    <v>8.73</v>
    <v>8.76</v>
    <v>9.01</v>
    <v>9.2149999999999999</v>
    <v>9.15</v>
    <v>9.0749999999999993</v>
    <v>8.92</v>
    <v>9.01</v>
    <v>9.26</v>
    <v>9.3000000000000007</v>
    <v>9.3847000000000005</v>
    <v>9.14</v>
    <v>9.1649999999999991</v>
    <v>9.125</v>
    <v>9.14</v>
    <v>9.36</v>
    <v>8.82</v>
    <v>9.01</v>
    <v>8.9949999999999992</v>
    <v>9.14</v>
    <v>9.4747000000000003</v>
    <v>9.42</v>
    <v>9.3800000000000008</v>
    <v>9.23</v>
    <v>8.6300000000000008</v>
    <v>8.33</v>
    <v>8.2200000000000006</v>
    <v>8.24</v>
    <v>8.48</v>
    <v>8.6199999999999992</v>
    <v>8.42</v>
    <v>8.51</v>
    <v>8.6649999999999991</v>
    <v>8.6300000000000008</v>
    <v>8.35</v>
    <v>8.2799999999999994</v>
    <v>8.6</v>
    <v>9.23</v>
    <v>9.31</v>
    <v>9.4499999999999993</v>
    <v>9.06</v>
    <v>8.6850000000000005</v>
    <v>8.8000000000000007</v>
    <v>8.6349999999999998</v>
    <v>8.7249999999999996</v>
    <v>9.11</v>
    <v>8.8849999999999998</v>
    <v>8.9700000000000006</v>
    <v>8.94</v>
    <v>8.06</v>
    <v>8.1201000000000008</v>
    <v>8.3049999999999997</v>
    <v>8.32</v>
    <v>8.3000000000000007</v>
    <v>8.09</v>
    <v>8.09</v>
    <v>7.99</v>
    <v>7.9301000000000004</v>
    <v>8.39</v>
    <v>8.375</v>
    <v>8.41</v>
    <v>8.0549999999999997</v>
    <v>8</v>
    <v>7.97</v>
    <v>8.1</v>
    <v>8.1300000000000008</v>
    <v>7.99</v>
    <v>8.0299999999999994</v>
    <v>8.15</v>
    <v>8.3800000000000008</v>
    <v>8.7100000000000009</v>
    <v>8.9700000000000006</v>
    <v>9.09</v>
    <v>9.06</v>
    <v>8.9</v>
    <v>8.7550000000000008</v>
    <v>8.64</v>
    <v>8.66</v>
    <v>8.7149999999999999</v>
    <v>8.2149999999999999</v>
    <v>8.6300000000000008</v>
    <v>8.9049999999999994</v>
    <v>9.18</v>
    <v>9.23</v>
    <v>9.33</v>
    <v>9.19</v>
    <v>9.44</v>
    <v>9.7449999999999992</v>
    <v>9.77</v>
    <v>9.81</v>
    <v>9.7100000000000009</v>
    <v>9.4049999999999994</v>
  </a>
  <a r="1" c="236">
    <v>5.0599999999999996</v>
    <v>4.95</v>
    <v>5.18</v>
    <v>5.57</v>
    <v>5.76</v>
    <v>5.5</v>
    <v>5.08</v>
    <v>5.4</v>
    <v>5.54</v>
    <v>5.64</v>
    <v>5.6</v>
    <v>6.3</v>
    <v>6.36</v>
    <v>6.85</v>
    <v>6.99</v>
    <v>6.77</v>
    <v>7.18</v>
    <v>7.42</v>
    <v>7.48</v>
    <v>6.97</v>
    <v>7.22</v>
    <v>7.54</v>
    <v>8.51</v>
    <v>8.94</v>
    <v>9</v>
    <v>10.37</v>
    <v>9.9700000000000006</v>
    <v>11.31</v>
    <v>11.75</v>
    <v>11.54</v>
    <v>12.06</v>
    <v>13.04</v>
    <v>14.68</v>
    <v>14.59</v>
    <v>13.285</v>
    <v>13.55</v>
    <v>12.88</v>
    <v>11.91</v>
    <v>11.73</v>
    <v>9.9600000000000009</v>
    <v>10.71</v>
    <v>12.47</v>
    <v>12.07</v>
    <v>11.47</v>
    <v>11.43</v>
    <v>11.91</v>
    <v>11</v>
    <v>10.4</v>
    <v>11.65</v>
    <v>11.38</v>
    <v>10.94</v>
    <v>9.85</v>
    <v>8.86</v>
    <v>8.7100000000000009</v>
    <v>8.99</v>
    <v>8.48</v>
    <v>8.9</v>
    <v>9.01</v>
    <v>8.25</v>
    <v>8.1999999999999993</v>
    <v>7.88</v>
    <v>8.1199999999999992</v>
    <v>7.33</v>
    <v>6.39</v>
    <v>6.44</v>
    <v>5.77</v>
    <v>5.9</v>
    <v>5.67</v>
    <v>5.54</v>
    <v>5.5</v>
    <v>5.39</v>
    <v>4.74</v>
    <v>5.0199999999999996</v>
    <v>4.8</v>
    <v>4.87</v>
    <v>5.29</v>
    <v>5.42</v>
    <v>5.38</v>
    <v>5.44</v>
    <v>5.66</v>
    <v>6.29</v>
    <v>6.27</v>
    <v>7.08</v>
    <v>6.96</v>
    <v>6.83</v>
    <v>6.3</v>
    <v>6</v>
    <v>5.96</v>
    <v>7.23</v>
    <v>6.39</v>
    <v>6.23</v>
    <v>5.99</v>
    <v>6.43</v>
    <v>6.3</v>
    <v>6.22</v>
    <v>6.48</v>
    <v>6.05</v>
    <v>5.9850000000000003</v>
    <v>6.04</v>
    <v>5.39</v>
    <v>5.46</v>
    <v>5.34</v>
    <v>5.52</v>
    <v>5.54</v>
    <v>5.82</v>
    <v>6.03</v>
    <v>5.91</v>
    <v>6.15</v>
    <v>6.06</v>
    <v>6.02</v>
    <v>5.78</v>
    <v>5.44</v>
    <v>5.68</v>
    <v>5.55</v>
    <v>5.44</v>
    <v>5.48</v>
    <v>5.45</v>
    <v>5.84</v>
    <v>6</v>
    <v>5.91</v>
    <v>6.98</v>
    <v>6.9</v>
    <v>6.61</v>
    <v>7.08</v>
    <v>7.75</v>
    <v>7.54</v>
    <v>7.56</v>
    <v>7.18</v>
    <v>6.97</v>
    <v>7.95</v>
    <v>7.92</v>
    <v>9.0399999999999991</v>
    <v>8.7899999999999991</v>
    <v>8.76</v>
    <v>9.01</v>
    <v>8.43</v>
    <v>8.09</v>
    <v>8.74</v>
    <v>8.33</v>
    <v>8.26</v>
    <v>8.34</v>
    <v>8.2799999999999994</v>
    <v>8.02</v>
    <v>8.31</v>
    <v>7.49</v>
    <v>7.82</v>
    <v>7.83</v>
    <v>8.01</v>
    <v>8.15</v>
    <v>7.98</v>
    <v>8.02</v>
    <v>7.8</v>
    <v>8.01</v>
    <v>7.95</v>
    <v>7.77</v>
    <v>7.75</v>
    <v>7.84</v>
    <v>7.98</v>
    <v>7.34</v>
    <v>8.2899999999999991</v>
    <v>7.84</v>
    <v>7.81</v>
    <v>7.8</v>
    <v>8.5299999999999994</v>
    <v>8.66</v>
    <v>8.06</v>
    <v>8</v>
    <v>7.64</v>
    <v>7.9</v>
    <v>7.68</v>
    <v>8.33</v>
    <v>7.93</v>
    <v>9.11</v>
    <v>9.57</v>
    <v>9.59</v>
    <v>9.59</v>
    <v>9.85</v>
    <v>9.9499999999999993</v>
    <v>9.6300000000000008</v>
    <v>10.050000000000001</v>
    <v>9.35</v>
    <v>10.37</v>
    <v>11.13</v>
    <v>10.8</v>
    <v>10.41</v>
    <v>10.33</v>
    <v>10.76</v>
    <v>11.24</v>
    <v>10.58</v>
    <v>10.61</v>
    <v>9.93</v>
    <v>9.89</v>
    <v>9.58</v>
    <v>8.51</v>
    <v>9.41</v>
    <v>9.18</v>
    <v>9.59</v>
    <v>9.0299999999999994</v>
    <v>8.76</v>
    <v>9.3699999999999992</v>
    <v>9.36</v>
    <v>9.07</v>
    <v>9.39</v>
    <v>9.6199999999999992</v>
    <v>10.02</v>
    <v>10.24</v>
    <v>11.04</v>
    <v>10.41</v>
    <v>10.4</v>
    <v>10.14</v>
    <v>9.2799999999999994</v>
    <v>9.83</v>
    <v>9.9649999999999999</v>
    <v>9.65</v>
    <v>9.6999999999999993</v>
    <v>9.7899999999999991</v>
    <v>8.9700000000000006</v>
    <v>8.77</v>
    <v>8.8000000000000007</v>
    <v>8.58</v>
    <v>8.6649999999999991</v>
    <v>8.32</v>
    <v>8.2200000000000006</v>
    <v>8.39</v>
    <v>8.89</v>
    <v>8.94</v>
    <v>8.91</v>
    <v>8.94</v>
    <v>8.9700000000000006</v>
    <v>8.77</v>
    <v>8.89</v>
    <v>8.85</v>
    <v>8.94</v>
    <v>9.33</v>
    <v>9.52</v>
    <v>9.09</v>
  </a>
  <a r="1" c="50">
    <v t="i">1</v>
    <v t="i">8</v>
    <v t="i">15</v>
    <v t="i">23</v>
    <v t="i">29</v>
    <v t="i">36</v>
    <v t="i">43</v>
    <v t="i">51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149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247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</a>
  <a r="1" c="50">
    <v>2.8</v>
    <v>2.2400000000000002</v>
    <v>2.0699999999999998</v>
    <v>2.04</v>
    <v>1.75</v>
    <v>1.91</v>
    <v>1.83</v>
    <v>1.25</v>
    <v>0.98429999999999995</v>
    <v>0.8085</v>
    <v>0.73839999999999995</v>
    <v>0.70009999999999994</v>
    <v>1.1200000000000001</v>
    <v>0.92090000000000005</v>
    <v>0.81399999999999995</v>
    <v>0.88790000000000002</v>
    <v>0.71509999999999996</v>
    <v>0.81859999999999999</v>
    <v>0.76500000000000001</v>
    <v>0.93010000000000004</v>
    <v>0.92679999999999996</v>
    <v>1.22</v>
    <v>1.7</v>
    <v>1.82</v>
    <v>1.58</v>
    <v>1.83</v>
    <v>1.85</v>
    <v>2.12</v>
    <v>2.23</v>
    <v>2.13</v>
    <v>2.2000000000000002</v>
    <v>3.55</v>
    <v>3.86</v>
    <v>4.49</v>
    <v>5.86</v>
    <v>5.63</v>
    <v>6.56</v>
    <v>6.72</v>
    <v>7.66</v>
    <v>9.91</v>
    <v>9.2200000000000006</v>
    <v>7.61</v>
    <v>7.46</v>
    <v>6.44</v>
    <v>5.81</v>
    <v>7.18</v>
    <v>6.7350000000000003</v>
    <v>7.9</v>
    <v>9.07</v>
    <v>8.3249999999999993</v>
  </a>
  <a r="1" c="50">
    <v>3.4</v>
    <v>3.13</v>
    <v>2.27</v>
    <v>2.46</v>
    <v>2</v>
    <v>1.92</v>
    <v>2.23</v>
    <v>1.94</v>
    <v>1.26</v>
    <v>1</v>
    <v>1.18</v>
    <v>0.79579999999999995</v>
    <v>1.1399999999999999</v>
    <v>1.25</v>
    <v>0.9899</v>
    <v>0.96499999999999997</v>
    <v>0.9</v>
    <v>0.85370000000000001</v>
    <v>0.79890000000000005</v>
    <v>0.94</v>
    <v>1.05</v>
    <v>1.23</v>
    <v>1.885</v>
    <v>2.0449999999999999</v>
    <v>1.9</v>
    <v>1.91</v>
    <v>2.29</v>
    <v>2.2400000000000002</v>
    <v>2.6398999999999999</v>
    <v>2.7</v>
    <v>2.27</v>
    <v>3.95</v>
    <v>4.3899999999999997</v>
    <v>4.51</v>
    <v>6.1879999999999997</v>
    <v>5.95</v>
    <v>6.72</v>
    <v>6.8598999999999997</v>
    <v>8.1198999999999995</v>
    <v>10.28</v>
    <v>11.6999</v>
    <v>11.215</v>
    <v>8.19</v>
    <v>8.3149999999999995</v>
    <v>6.69</v>
    <v>7.86</v>
    <v>8.0350000000000001</v>
    <v>8.8800000000000008</v>
    <v>9.34</v>
    <v>9.86</v>
  </a>
  <a r="1" c="50">
    <v>2.2799999999999998</v>
    <v>2.09</v>
    <v>1.8201000000000001</v>
    <v>1.94</v>
    <v>1.64</v>
    <v>1.5</v>
    <v>1.8049999999999999</v>
    <v>1.24</v>
    <v>0.9163</v>
    <v>0.75070000000000003</v>
    <v>0.56999999999999995</v>
    <v>0.68</v>
    <v>0.69110000000000005</v>
    <v>0.8337</v>
    <v>0.65910000000000002</v>
    <v>0.81530000000000002</v>
    <v>0.69040000000000001</v>
    <v>0.72840000000000005</v>
    <v>0.73109999999999997</v>
    <v>0.76</v>
    <v>0.8276</v>
    <v>0.89</v>
    <v>1.26</v>
    <v>1.4000999999999999</v>
    <v>1.46</v>
    <v>1.36</v>
    <v>1.8</v>
    <v>1.71</v>
    <v>2.12</v>
    <v>2.02</v>
    <v>1.78</v>
    <v>2.25</v>
    <v>3.31</v>
    <v>3.2</v>
    <v>4.53</v>
    <v>4.9000000000000004</v>
    <v>5.21</v>
    <v>5.75</v>
    <v>6.58</v>
    <v>7.18</v>
    <v>9.1900999999999993</v>
    <v>7.5549999999999997</v>
    <v>6.4649999999999999</v>
    <v>6.12</v>
    <v>4.95</v>
    <v>5.48</v>
    <v>5.93</v>
    <v>6.67</v>
    <v>7.32</v>
    <v>8.3049999999999997</v>
  </a>
  <a r="1" c="236">
    <v>9.16</v>
    <v>9.09</v>
    <v>8.83</v>
    <v>8.8699999999999992</v>
    <v>8.9</v>
    <v>8.59</v>
    <v>8.7899999999999991</v>
    <v>8.91</v>
    <v>8.9700000000000006</v>
    <v>8.9700000000000006</v>
    <v>9</v>
    <v>9.0299999999999994</v>
    <v>8.9700000000000006</v>
    <v>9</v>
    <v>8.9499999999999993</v>
    <v>8.82</v>
    <v>8.99</v>
    <v>8.9700000000000006</v>
    <v>9</v>
    <v>8.82</v>
    <v>8.92</v>
    <v>8.99</v>
    <v>9</v>
    <v>8.98</v>
    <v>8.9499999999999993</v>
    <v>8.76</v>
    <v>8.7799999999999994</v>
    <v>8.7799999999999994</v>
    <v>8.9700000000000006</v>
    <v>8.9499999999999993</v>
    <v>8.93</v>
    <v>8.8800000000000008</v>
    <v>8.74</v>
    <v>8.5500000000000007</v>
    <v>8.5500000000000007</v>
    <v>8.5299999999999994</v>
    <v>8.6199999999999992</v>
    <v>8.11</v>
    <v>8.31</v>
    <v>8.52</v>
    <v>8.08</v>
    <v>8.16</v>
    <v>7.98</v>
    <v>8.07</v>
    <v>7.81</v>
    <v>7.49</v>
    <v>7.37</v>
    <v>7.27</v>
    <v>7.35</v>
    <v>7.44</v>
    <v>7.48</v>
    <v>7.71</v>
    <v>7.74</v>
    <v>7.61</v>
    <v>7.69</v>
    <v>7.6</v>
    <v>7.59</v>
    <v>7.59</v>
    <v>7.36</v>
    <v>7.26</v>
    <v>7.35</v>
    <v>7.45</v>
    <v>6.92</v>
    <v>6.58</v>
    <v>6.46</v>
    <v>6.41</v>
    <v>6.83</v>
    <v>6.64</v>
    <v>6.74</v>
    <v>6.71</v>
    <v>6.65</v>
    <v>6.56</v>
    <v>6.64</v>
    <v>6.43</v>
    <v>6.58</v>
    <v>6.72</v>
    <v>6.81</v>
    <v>6.77</v>
    <v>6.79</v>
    <v>6.72</v>
    <v>6.71</v>
    <v>6.76</v>
    <v>6.88</v>
    <v>6.89</v>
    <v>6.17</v>
    <v>5.96</v>
    <v>6.01</v>
    <v>5.83</v>
    <v>6.17</v>
    <v>6.24</v>
    <v>6.16</v>
    <v>6.07</v>
    <v>6.09</v>
    <v>6.07</v>
    <v>6.11</v>
    <v>6.07</v>
    <v>6.09</v>
    <v>5.99</v>
    <v>6.26</v>
    <v>6.21</v>
    <v>6.23</v>
    <v>6.25</v>
    <v>6.34</v>
    <v>6.4</v>
    <v>6.38</v>
    <v>6.5</v>
    <v>6.56</v>
    <v>6.57</v>
    <v>6.57</v>
    <v>6.49</v>
    <v>6.38</v>
    <v>6.09</v>
    <v>6.16</v>
    <v>6.02</v>
    <v>6.07</v>
    <v>6.04</v>
    <v>6.19</v>
    <v>6.33</v>
    <v>6.19</v>
    <v>6.33</v>
    <v>6.45</v>
    <v>6.3</v>
    <v>6.34</v>
    <v>6.35</v>
    <v>6.47</v>
    <v>6.39</v>
    <v>6.39</v>
    <v>6.37</v>
    <v>6.59</v>
    <v>6.41</v>
    <v>6.36</v>
    <v>6.25</v>
    <v>6.35</v>
    <v>6.43</v>
    <v>6.32</v>
    <v>6.31</v>
    <v>6.47</v>
    <v>6.66</v>
    <v>6.68</v>
    <v>6.77</v>
    <v>6.71</v>
    <v>6.66</v>
    <v>6.67</v>
    <v>6.43</v>
    <v>6.09</v>
    <v>6.24</v>
    <v>6.5</v>
    <v>7.33</v>
    <v>7.25</v>
    <v>7.51</v>
    <v>7.47</v>
    <v>7.71</v>
    <v>7.87</v>
    <v>7.82</v>
    <v>7.82</v>
    <v>7.84</v>
    <v>7.91</v>
    <v>7.9</v>
    <v>7.98</v>
    <v>8.26</v>
    <v>8.17</v>
    <v>8.17</v>
    <v>8.24</v>
    <v>8.25</v>
    <v>8.34</v>
    <v>8.11</v>
    <v>8.1</v>
    <v>8.14</v>
    <v>8.11</v>
    <v>8.2100000000000009</v>
    <v>8.11</v>
    <v>7.93</v>
    <v>8.32</v>
    <v>8.16</v>
    <v>8.19</v>
    <v>8.16</v>
    <v>8.19</v>
    <v>8.2200000000000006</v>
    <v>8.14</v>
    <v>8.08</v>
    <v>8.23</v>
    <v>8.24</v>
    <v>8</v>
    <v>8.14</v>
    <v>8.18</v>
    <v>8.08</v>
    <v>7.96</v>
    <v>8</v>
    <v>8</v>
    <v>8.11</v>
    <v>7.8</v>
    <v>7.78</v>
    <v>7.76</v>
    <v>7.54</v>
    <v>7.72</v>
    <v>7.97</v>
    <v>8.0500000000000007</v>
    <v>7.97</v>
    <v>8.09</v>
    <v>8.1199999999999992</v>
    <v>8.1300000000000008</v>
    <v>7.98</v>
    <v>7.9</v>
    <v>8.01</v>
    <v>8.0399999999999991</v>
    <v>8.1300000000000008</v>
    <v>7.84</v>
    <v>7.9</v>
    <v>7.86</v>
    <v>7.67</v>
    <v>7.67</v>
    <v>7.91</v>
    <v>7.77</v>
    <v>7.96</v>
    <v>7.65</v>
    <v>7.87</v>
    <v>7.37</v>
    <v>7.17</v>
    <v>7.18</v>
    <v>7.14</v>
    <v>6.98</v>
    <v>6.93</v>
    <v>6.83</v>
    <v>7.11</v>
    <v>7.32</v>
    <v>7.74</v>
    <v>7.7</v>
    <v>7.71</v>
    <v>7.78</v>
    <v>7.93</v>
    <v>8</v>
    <v>7.88</v>
    <v>7.92</v>
    <v>7.41</v>
    <v>7.59</v>
    <v>7.88</v>
  </a>
  <a r="1" c="236">
    <v>9.31</v>
    <v>9.41</v>
    <v>9.3000000000000007</v>
    <v>9.36</v>
    <v>9.4600000000000009</v>
    <v>9.02</v>
    <v>9.23</v>
    <v>9.2100000000000009</v>
    <v>9.27</v>
    <v>9.36</v>
    <v>9.41</v>
    <v>9.51</v>
    <v>9.5399999999999991</v>
    <v>9.65</v>
    <v>9.61</v>
    <v>9.68</v>
    <v>9.66</v>
    <v>9.59</v>
    <v>9.64</v>
    <v>9.58</v>
    <v>9.64</v>
    <v>9.76</v>
    <v>9.7799999999999994</v>
    <v>9.83</v>
    <v>9.65</v>
    <v>9.64</v>
    <v>9.57</v>
    <v>9.5500000000000007</v>
    <v>9.64</v>
    <v>9.77</v>
    <v>9.85</v>
    <v>9.56</v>
    <v>9.07</v>
    <v>9.19</v>
    <v>9.34</v>
    <v>9.11</v>
    <v>9.0299999999999994</v>
    <v>9.19</v>
    <v>9.49</v>
    <v>9.1300000000000008</v>
    <v>9.11</v>
    <v>9.15</v>
    <v>9.02</v>
    <v>8.86</v>
    <v>8.6300000000000008</v>
    <v>8.8800000000000008</v>
    <v>8.89</v>
    <v>8.81</v>
    <v>8.9</v>
    <v>9.1199999999999992</v>
    <v>8.98</v>
    <v>9.1999999999999993</v>
    <v>9.08</v>
    <v>9.0050000000000008</v>
    <v>8.69</v>
    <v>8.6199999999999992</v>
    <v>8.52</v>
    <v>8.59</v>
    <v>8.43</v>
    <v>8.16</v>
    <v>7.95</v>
    <v>7.99</v>
    <v>8</v>
    <v>7.5</v>
    <v>7.15</v>
    <v>6.72</v>
    <v>6.89</v>
    <v>6.51</v>
    <v>6.48</v>
    <v>6.72</v>
    <v>6.9</v>
    <v>6.7</v>
    <v>6.83</v>
    <v>6.71</v>
    <v>6.91</v>
    <v>7.1</v>
    <v>7.2</v>
    <v>7.35</v>
    <v>7.39</v>
    <v>7.52</v>
    <v>7.68</v>
    <v>6.68</v>
    <v>6.67</v>
    <v>6.53</v>
    <v>6.19</v>
    <v>6.09</v>
    <v>6.08</v>
    <v>5.98</v>
    <v>6.21</v>
    <v>6.02</v>
    <v>5.88</v>
    <v>5.95</v>
    <v>6.43</v>
    <v>6.42</v>
    <v>6.59</v>
    <v>6.34</v>
    <v>6.26</v>
    <v>6.22</v>
    <v>6.24</v>
    <v>6.1</v>
    <v>6.21</v>
    <v>6.07</v>
    <v>6.16</v>
    <v>6.26</v>
    <v>6.1</v>
    <v>5.96</v>
    <v>6.16</v>
    <v>6.03</v>
    <v>6.11</v>
    <v>6.14</v>
    <v>6.17</v>
    <v>6.03</v>
    <v>6.05</v>
    <v>5.8</v>
    <v>5.73</v>
    <v>5.64</v>
    <v>5.71</v>
    <v>5.71</v>
    <v>5.66</v>
    <v>5.69</v>
    <v>5.93</v>
    <v>5.73</v>
    <v>5.84</v>
    <v>5.95</v>
    <v>6.1</v>
    <v>6.05</v>
    <v>6.22</v>
    <v>6.42</v>
    <v>6.3</v>
    <v>6.09</v>
    <v>6.24</v>
    <v>5.91</v>
    <v>6.07</v>
    <v>6.29</v>
    <v>5.96</v>
    <v>6.05</v>
    <v>6.22</v>
    <v>6.31</v>
    <v>6.28</v>
    <v>6.06</v>
    <v>6.12</v>
    <v>6.13</v>
    <v>6.13</v>
    <v>5.99</v>
    <v>6.32</v>
    <v>6.83</v>
    <v>6.99</v>
    <v>6.93</v>
    <v>6.79</v>
    <v>6.76</v>
    <v>6.6550000000000002</v>
    <v>6.98</v>
    <v>7.19</v>
    <v>7.12</v>
    <v>7.4</v>
    <v>7.41</v>
    <v>7.34</v>
    <v>7.4</v>
    <v>7.6</v>
    <v>7.61</v>
    <v>7.48</v>
    <v>7.52</v>
    <v>7.64</v>
    <v>7.65</v>
    <v>7.59</v>
    <v>7.88</v>
    <v>7.85</v>
    <v>8.02</v>
    <v>7.99</v>
    <v>7.98</v>
    <v>7.89</v>
    <v>7.94</v>
    <v>8.02</v>
    <v>7.99</v>
    <v>7.73</v>
    <v>8.01</v>
    <v>7.97</v>
    <v>8.48</v>
    <v>8.33</v>
    <v>8.57</v>
    <v>8.16</v>
    <v>8.35</v>
    <v>8.32</v>
    <v>8.24</v>
    <v>7.94</v>
    <v>7.88</v>
    <v>7.71</v>
    <v>8.25</v>
    <v>8.1999999999999993</v>
    <v>8.16</v>
    <v>8.16</v>
    <v>8.26</v>
    <v>8.27</v>
    <v>8.3000000000000007</v>
    <v>8.18</v>
    <v>8.0399999999999991</v>
    <v>8.3699999999999992</v>
    <v>8.11</v>
    <v>8.0399999999999991</v>
    <v>8.44</v>
    <v>8.4700000000000006</v>
    <v>8.5500000000000007</v>
    <v>8.5</v>
    <v>8.67</v>
    <v>8.8800000000000008</v>
    <v>8.86</v>
    <v>8.9</v>
    <v>8.9</v>
    <v>9.0299999999999994</v>
    <v>8.86</v>
    <v>8.99</v>
    <v>9.19</v>
    <v>8.9</v>
    <v>8.8699999999999992</v>
    <v>9</v>
    <v>9.32</v>
    <v>9.42</v>
    <v>9.3800000000000008</v>
    <v>9.48</v>
    <v>9.42</v>
    <v>9.59</v>
    <v>9.73</v>
    <v>9.4499999999999993</v>
    <v>9.56</v>
    <v>9.89</v>
    <v>9.8699999999999992</v>
    <v>10.02</v>
    <v>9.93</v>
    <v>9.8000000000000007</v>
    <v>9.73</v>
    <v>9.7799999999999994</v>
    <v>9.9499999999999993</v>
    <v>9.9</v>
    <v>9.85</v>
    <v>9.81</v>
    <v>9.85</v>
  </a>
  <a r="1" c="236">
    <v>9.48</v>
    <v>9.32</v>
    <v>9.41</v>
    <v>9.33</v>
    <v>9.3699999999999992</v>
    <v>9.34</v>
    <v>9.44</v>
    <v>9.1999999999999993</v>
    <v>9.35</v>
    <v>9.26</v>
    <v>9.4600000000000009</v>
    <v>9.5</v>
    <v>9.5</v>
    <v>9.4499999999999993</v>
    <v>9.6</v>
    <v>9.61</v>
    <v>9.66</v>
    <v>9.6</v>
    <v>9.6300000000000008</v>
    <v>9.6199999999999992</v>
    <v>9.44</v>
    <v>9.6199999999999992</v>
    <v>9.8000000000000007</v>
    <v>9.7799999999999994</v>
    <v>9.84</v>
    <v>9.69</v>
    <v>9.5399999999999991</v>
    <v>9.3800000000000008</v>
    <v>9.6300000000000008</v>
    <v>9.68</v>
    <v>9.73</v>
    <v>9.11</v>
    <v>9.42</v>
    <v>9.15</v>
    <v>9.16</v>
    <v>9.42</v>
    <v>9.07</v>
    <v>9</v>
    <v>9.2200000000000006</v>
    <v>9.4700000000000006</v>
    <v>9.15</v>
    <v>9.11</v>
    <v>9.09</v>
    <v>9.02</v>
    <v>8.7899999999999991</v>
    <v>8.64</v>
    <v>8.8699999999999992</v>
    <v>8.94</v>
    <v>8.8699999999999992</v>
    <v>8.93</v>
    <v>9.11</v>
    <v>9.0399999999999991</v>
    <v>9.11</v>
    <v>9</v>
    <v>9.07</v>
    <v>8.6999999999999993</v>
    <v>8.6300000000000008</v>
    <v>8.5399999999999991</v>
    <v>8.61</v>
    <v>8.31</v>
    <v>8.18</v>
    <v>7.87</v>
    <v>7.83</v>
    <v>7.89</v>
    <v>7.3</v>
    <v>7.36</v>
    <v>6.53</v>
    <v>6.72</v>
    <v>6.5</v>
    <v>6.61</v>
    <v>6.7</v>
    <v>6.85</v>
    <v>6.64</v>
    <v>6.78</v>
    <v>6.79</v>
    <v>7</v>
    <v>7.14</v>
    <v>7.14</v>
    <v>7.35</v>
    <v>7.36</v>
    <v>7.49</v>
    <v>6.625</v>
    <v>6.69</v>
    <v>6.64</v>
    <v>6.5</v>
    <v>6.24</v>
    <v>5.98</v>
    <v>6.09</v>
    <v>6.17</v>
    <v>6.2</v>
    <v>6.03</v>
    <v>5.9</v>
    <v>5.96</v>
    <v>6.38</v>
    <v>6.5</v>
    <v>6.52</v>
    <v>6.3</v>
    <v>6.15</v>
    <v>6.32</v>
    <v>6.27</v>
    <v>6.13</v>
    <v>6.18</v>
    <v>6.09</v>
    <v>6.15</v>
    <v>6.24</v>
    <v>6.1</v>
    <v>6.03</v>
    <v>6.19</v>
    <v>6.09</v>
    <v>6.17</v>
    <v>6.13</v>
    <v>6.05</v>
    <v>6.07</v>
    <v>5.99</v>
    <v>5.78</v>
    <v>5.75</v>
    <v>5.63</v>
    <v>5.76</v>
    <v>5.7</v>
    <v>5.7249999999999996</v>
    <v>5.69</v>
    <v>5.9</v>
    <v>5.7</v>
    <v>5.82</v>
    <v>6.01</v>
    <v>6.1</v>
    <v>6.05</v>
    <v>6.28</v>
    <v>6.44</v>
    <v>6.28</v>
    <v>6.0750000000000002</v>
    <v>6.29</v>
    <v>5.96</v>
    <v>6.55</v>
    <v>6.35</v>
    <v>6</v>
    <v>6.03</v>
    <v>6.29</v>
    <v>6.36</v>
    <v>6.27</v>
    <v>6.17</v>
    <v>6.14</v>
    <v>6.14</v>
    <v>6.29</v>
    <v>5.96</v>
    <v>6.34</v>
    <v>6.8150000000000004</v>
    <v>6.95</v>
    <v>6.94</v>
    <v>6.77</v>
    <v>6.74</v>
    <v>6.72</v>
    <v>7.05</v>
    <v>7.16</v>
    <v>7.2</v>
    <v>7.37</v>
    <v>7.41</v>
    <v>7.35</v>
    <v>7.31</v>
    <v>7.7</v>
    <v>7.55</v>
    <v>7.44</v>
    <v>7.41</v>
    <v>7.63</v>
    <v>7.67</v>
    <v>7.71</v>
    <v>7.9</v>
    <v>7.83</v>
    <v>8.08</v>
    <v>8.0299999999999994</v>
    <v>7.99</v>
    <v>7.83</v>
    <v>7.96</v>
    <v>8</v>
    <v>8.01</v>
    <v>7.73</v>
    <v>7.99</v>
    <v>8.48</v>
    <v>8.41</v>
    <v>8.2899999999999991</v>
    <v>8.52</v>
    <v>8.1199999999999992</v>
    <v>8.4</v>
    <v>8.35</v>
    <v>8.2799999999999994</v>
    <v>7.95</v>
    <v>7.97</v>
    <v>7.74</v>
    <v>8.25</v>
    <v>8.2200000000000006</v>
    <v>8.31</v>
    <v>8.16</v>
    <v>8.24</v>
    <v>8.3000000000000007</v>
    <v>8.2899999999999991</v>
    <v>8.07</v>
    <v>8.0549999999999997</v>
    <v>8.39</v>
    <v>8.0399999999999991</v>
    <v>8.1199999999999992</v>
    <v>8.4</v>
    <v>8.48</v>
    <v>8.57</v>
    <v>8.52</v>
    <v>8.66</v>
    <v>8.89</v>
    <v>8.83</v>
    <v>8.9</v>
    <v>8.9</v>
    <v>9.01</v>
    <v>9.08</v>
    <v>9.0500000000000007</v>
    <v>9.1999999999999993</v>
    <v>8.8800000000000008</v>
    <v>8.93</v>
    <v>9</v>
    <v>9.33</v>
    <v>9.41</v>
    <v>9.25</v>
    <v>9.48</v>
    <v>9.3010000000000002</v>
    <v>9.5299999999999994</v>
    <v>9.83</v>
    <v>9.42</v>
    <v>10.005000000000001</v>
    <v>10.08</v>
    <v>10.1</v>
    <v>9.99</v>
    <v>9.92</v>
    <v>9.8650000000000002</v>
    <v>9.7799999999999994</v>
    <v>9.67</v>
    <v>9.9600000000000009</v>
    <v>10.029999999999999</v>
    <v>9.85</v>
    <v>9.7799999999999994</v>
  </a>
  <a r="1" c="236">
    <v>9.57</v>
    <v>9.52</v>
    <v>9.49</v>
    <v>9.5399999999999991</v>
    <v>9.5399999999999991</v>
    <v>9.34</v>
    <v>9.44</v>
    <v>9.39</v>
    <v>9.41</v>
    <v>9.4649999999999999</v>
    <v>9.4600000000000009</v>
    <v>9.6300000000000008</v>
    <v>9.61</v>
    <v>9.73</v>
    <v>9.74</v>
    <v>9.83</v>
    <v>9.81</v>
    <v>9.7200000000000006</v>
    <v>9.8000000000000007</v>
    <v>9.73</v>
    <v>9.68</v>
    <v>9.85</v>
    <v>9.9499999999999993</v>
    <v>9.91</v>
    <v>9.84</v>
    <v>9.7249999999999996</v>
    <v>9.65</v>
    <v>9.59</v>
    <v>9.7200000000000006</v>
    <v>9.82</v>
    <v>9.94</v>
    <v>10</v>
    <v>9.64</v>
    <v>9.26</v>
    <v>9.5549999999999997</v>
    <v>9.5500000000000007</v>
    <v>9.1750000000000007</v>
    <v>9.42</v>
    <v>9.5</v>
    <v>9.4700000000000006</v>
    <v>9.1999999999999993</v>
    <v>9.18</v>
    <v>9.2100000000000009</v>
    <v>9.0350000000000001</v>
    <v>8.91</v>
    <v>8.9600000000000009</v>
    <v>9</v>
    <v>8.94</v>
    <v>9</v>
    <v>9.1199999999999992</v>
    <v>9.1649999999999991</v>
    <v>9.2349999999999994</v>
    <v>9.26</v>
    <v>9.19</v>
    <v>9.08</v>
    <v>8.7100000000000009</v>
    <v>8.67</v>
    <v>8.6</v>
    <v>8.6150000000000002</v>
    <v>8.31</v>
    <v>8.24</v>
    <v>8.02</v>
    <v>8.06</v>
    <v>7.8949999999999996</v>
    <v>7.54</v>
    <v>7.41</v>
    <v>7.06</v>
    <v>6.77</v>
    <v>6.78</v>
    <v>6.8650000000000002</v>
    <v>6.9450000000000003</v>
    <v>6.92</v>
    <v>6.88</v>
    <v>6.915</v>
    <v>6.92</v>
    <v>7.25</v>
    <v>7.21</v>
    <v>7.38</v>
    <v>7.41</v>
    <v>7.58</v>
    <v>7.7050000000000001</v>
    <v>7.07</v>
    <v>6.8</v>
    <v>6.73</v>
    <v>6.585</v>
    <v>6.26</v>
    <v>6.2549999999999999</v>
    <v>6.29</v>
    <v>6.31</v>
    <v>6.23</v>
    <v>6.1090999999999998</v>
    <v>5.96</v>
    <v>6.44</v>
    <v>6.51</v>
    <v>6.65</v>
    <v>6.58</v>
    <v>6.35</v>
    <v>6.27</v>
    <v>6.38</v>
    <v>6.3250000000000002</v>
    <v>6.37</v>
    <v>6.1950000000000003</v>
    <v>6.2</v>
    <v>6.3550000000000004</v>
    <v>6.32</v>
    <v>6.12</v>
    <v>6.19</v>
    <v>6.2</v>
    <v>6.22</v>
    <v>6.23</v>
    <v>6.19</v>
    <v>6.22</v>
    <v>6.15</v>
    <v>5.99</v>
    <v>5.875</v>
    <v>5.77</v>
    <v>5.79</v>
    <v>5.8198999999999996</v>
    <v>5.73</v>
    <v>5.7798999999999996</v>
    <v>5.9450000000000003</v>
    <v>5.92</v>
    <v>5.99</v>
    <v>5.97</v>
    <v>6.15</v>
    <v>6.1584000000000003</v>
    <v>6.25</v>
    <v>6.4450000000000003</v>
    <v>6.44</v>
    <v>6.28</v>
    <v>6.2549999999999999</v>
    <v>6.31</v>
    <v>6.09</v>
    <v>6.77</v>
    <v>6.35</v>
    <v>6.12</v>
    <v>6.2249999999999996</v>
    <v>6.37</v>
    <v>6.37</v>
    <v>6.29</v>
    <v>6.24</v>
    <v>6.1849999999999996</v>
    <v>6.4</v>
    <v>6.38</v>
    <v>6.35</v>
    <v>6.94</v>
    <v>7.0392999999999999</v>
    <v>7.0650000000000004</v>
    <v>6.95</v>
    <v>6.8449999999999998</v>
    <v>6.91</v>
    <v>7.01</v>
    <v>7.28</v>
    <v>7.35</v>
    <v>7.42</v>
    <v>7.51</v>
    <v>7.4550000000000001</v>
    <v>7.44</v>
    <v>7.64</v>
    <v>7.77</v>
    <v>7.63</v>
    <v>7.56</v>
    <v>7.68</v>
    <v>7.7949999999999999</v>
    <v>7.7450000000000001</v>
    <v>7.9</v>
    <v>7.9850000000000003</v>
    <v>8.0299999999999994</v>
    <v>8.19</v>
    <v>8.19</v>
    <v>7.99</v>
    <v>8.11</v>
    <v>8.0500000000000007</v>
    <v>8.11</v>
    <v>8.08</v>
    <v>8.2850000000000001</v>
    <v>8.1199999999999992</v>
    <v>8.52</v>
    <v>8.4350000000000005</v>
    <v>8.58</v>
    <v>8.68</v>
    <v>8.42</v>
    <v>8.4600000000000009</v>
    <v>8.35</v>
    <v>8.34</v>
    <v>8</v>
    <v>8.4350000000000005</v>
    <v>8.3000000000000007</v>
    <v>8.5850000000000009</v>
    <v>8.4250000000000007</v>
    <v>8.31</v>
    <v>8.3149999999999995</v>
    <v>8.5050000000000008</v>
    <v>8.35</v>
    <v>8.3699999999999992</v>
    <v>8.15</v>
    <v>8.4849999999999994</v>
    <v>8.48</v>
    <v>8.15</v>
    <v>8.5500000000000007</v>
    <v>8.6</v>
    <v>8.6150000000000002</v>
    <v>8.57</v>
    <v>8.74</v>
    <v>8.9499999999999993</v>
    <v>9.08</v>
    <v>9.2850000000000001</v>
    <v>9.1649999999999991</v>
    <v>9.17</v>
    <v>9.08</v>
    <v>9.64</v>
    <v>9.3450000000000006</v>
    <v>9.27</v>
    <v>8.98</v>
    <v>9.01</v>
    <v>9.39</v>
    <v>9.5</v>
    <v>9.5</v>
    <v>9.56</v>
    <v>9.6449999999999996</v>
    <v>9.6300000000000008</v>
    <v>9.7750000000000004</v>
    <v>9.8800000000000008</v>
    <v>9.6150000000000002</v>
    <v>10.57</v>
    <v>10.14</v>
    <v>10.1</v>
    <v>10.045</v>
    <v>10.045199999999999</v>
    <v>10.0199</v>
    <v>9.8450000000000006</v>
    <v>9.99</v>
    <v>10.050000000000001</v>
    <v>10.029999999999999</v>
    <v>9.9350000000000005</v>
    <v>9.91</v>
  </a>
  <a r="1" c="236">
    <v>9.2899999999999991</v>
    <v>9.27</v>
    <v>9.2799999999999994</v>
    <v>9.2899999999999991</v>
    <v>9.15</v>
    <v>8.8450000000000006</v>
    <v>8.7850000000000001</v>
    <v>9.1</v>
    <v>9.1150000000000002</v>
    <v>9.19</v>
    <v>9.2100000000000009</v>
    <v>9.3949999999999996</v>
    <v>9.4700000000000006</v>
    <v>9.41</v>
    <v>9.43</v>
    <v>9.5749999999999993</v>
    <v>9.6</v>
    <v>9.4649999999999999</v>
    <v>9.5299999999999994</v>
    <v>9.5549999999999997</v>
    <v>9.39</v>
    <v>9.61</v>
    <v>9.6649999999999991</v>
    <v>9.68</v>
    <v>9.5</v>
    <v>9.4700000000000006</v>
    <v>9.3149999999999995</v>
    <v>9.3539999999999992</v>
    <v>9.4849999999999994</v>
    <v>9.65</v>
    <v>9.68</v>
    <v>9.0701000000000001</v>
    <v>9.0549999999999997</v>
    <v>9.02</v>
    <v>9</v>
    <v>9.09</v>
    <v>9</v>
    <v>8.92</v>
    <v>9.14</v>
    <v>9.1150000000000002</v>
    <v>8.99</v>
    <v>9.06</v>
    <v>9</v>
    <v>8.8000000000000007</v>
    <v>8.5449999999999999</v>
    <v>8.57</v>
    <v>8.7949999999999999</v>
    <v>8.7249999999999996</v>
    <v>8.7899999999999991</v>
    <v>8.85</v>
    <v>8.9649999999999999</v>
    <v>8.9849999999999994</v>
    <v>9.07</v>
    <v>8.93</v>
    <v>8.6300000000000008</v>
    <v>8.52</v>
    <v>8.4</v>
    <v>8.4939999999999998</v>
    <v>8.36</v>
    <v>7.97</v>
    <v>7.9</v>
    <v>7.8449999999999998</v>
    <v>7.72</v>
    <v>7.39</v>
    <v>6.99</v>
    <v>6.62</v>
    <v>6.2</v>
    <v>6.2249999999999996</v>
    <v>6.3250000000000002</v>
    <v>6.47</v>
    <v>6.7</v>
    <v>6.65</v>
    <v>6.63</v>
    <v>6.66</v>
    <v>6.72</v>
    <v>6.9709000000000003</v>
    <v>7.01</v>
    <v>7.05</v>
    <v>7.26</v>
    <v>7.33</v>
    <v>7.37</v>
    <v>6.5609999999999999</v>
    <v>6.53</v>
    <v>6.5</v>
    <v>6.1349999999999998</v>
    <v>5.9249999999999998</v>
    <v>5.82</v>
    <v>5.97</v>
    <v>6.09</v>
    <v>6.01</v>
    <v>5.87</v>
    <v>5.81</v>
    <v>5.91</v>
    <v>6.2649999999999997</v>
    <v>6.39</v>
    <v>6.24</v>
    <v>6.2</v>
    <v>6.12</v>
    <v>6.18</v>
    <v>6.1</v>
    <v>6.05</v>
    <v>6.03</v>
    <v>6.06</v>
    <v>6.1050000000000004</v>
    <v>6.09</v>
    <v>5.9</v>
    <v>6</v>
    <v>6.02</v>
    <v>6.05</v>
    <v>6.09</v>
    <v>6</v>
    <v>6.01</v>
    <v>5.89</v>
    <v>5.78</v>
    <v>5.7149999999999999</v>
    <v>5.62</v>
    <v>5.58</v>
    <v>5.6349999999999998</v>
    <v>5.51</v>
    <v>5.55</v>
    <v>5.6449999999999996</v>
    <v>5.72</v>
    <v>5.66</v>
    <v>5.78</v>
    <v>5.97</v>
    <v>6.01</v>
    <v>6.04</v>
    <v>6.27</v>
    <v>6.2249999999999996</v>
    <v>6.0750000000000002</v>
    <v>6.05</v>
    <v>5.88</v>
    <v>5.9349999999999996</v>
    <v>6.28</v>
    <v>5.915</v>
    <v>5.95</v>
    <v>6.0250000000000004</v>
    <v>6.1550000000000002</v>
    <v>6.2149999999999999</v>
    <v>5.97</v>
    <v>6.0750000000000002</v>
    <v>6.06</v>
    <v>6.09</v>
    <v>5.97</v>
    <v>5.9249999999999998</v>
    <v>6.28</v>
    <v>6.74</v>
    <v>6.8449999999999998</v>
    <v>6.5949999999999998</v>
    <v>6.6849999999999996</v>
    <v>6.61</v>
    <v>6.7050000000000001</v>
    <v>6.98</v>
    <v>7.1</v>
    <v>7.15</v>
    <v>7.36</v>
    <v>7.28</v>
    <v>7.2850000000000001</v>
    <v>7.31</v>
    <v>7.58</v>
    <v>7.42</v>
    <v>7.4</v>
    <v>7.41</v>
    <v>7.5884999999999998</v>
    <v>7.56</v>
    <v>7.6050000000000004</v>
    <v>7.69</v>
    <v>7.81</v>
    <v>7.99</v>
    <v>7.95</v>
    <v>7.8002000000000002</v>
    <v>7.7850000000000001</v>
    <v>7.89</v>
    <v>7.92</v>
    <v>7.68</v>
    <v>7.61</v>
    <v>7.8849999999999998</v>
    <v>8.26</v>
    <v>8.1300000000000008</v>
    <v>8.2200000000000006</v>
    <v>8.14</v>
    <v>8.1199999999999992</v>
    <v>8.2349999999999994</v>
    <v>8.0749999999999993</v>
    <v>7.72</v>
    <v>7.835</v>
    <v>7.68</v>
    <v>7.74</v>
    <v>8.11</v>
    <v>8.1300000000000008</v>
    <v>8.0250000000000004</v>
    <v>8.01</v>
    <v>8.19</v>
    <v>8.16</v>
    <v>8</v>
    <v>7.9649999999999999</v>
    <v>8.01</v>
    <v>8.07</v>
    <v>7.87</v>
    <v>8.09</v>
    <v>8.39</v>
    <v>8.3650000000000002</v>
    <v>8.3249999999999993</v>
    <v>8.4849999999999994</v>
    <v>8.6300000000000008</v>
    <v>8.7799999999999994</v>
    <v>8.7200000000000006</v>
    <v>8.81</v>
    <v>8.7531999999999996</v>
    <v>8.6199999999999992</v>
    <v>8.85</v>
    <v>8.99</v>
    <v>8.8699999999999992</v>
    <v>8.69</v>
    <v>8.83</v>
    <v>8.92</v>
    <v>9.2349999999999994</v>
    <v>9.24</v>
    <v>9.25</v>
    <v>9.42</v>
    <v>9.27</v>
    <v>9.4149999999999991</v>
    <v>9.3699999999999992</v>
    <v>9.31</v>
    <v>9.52</v>
    <v>9.76</v>
    <v>9.7899999999999991</v>
    <v>9.8800000000000008</v>
    <v>9.77</v>
    <v>9.56</v>
    <v>9.66</v>
    <v>9.6343999999999994</v>
    <v>9.7899999999999991</v>
    <v>9.73</v>
    <v>9.7899999999999991</v>
    <v>9.7249999999999996</v>
  </a>
  <a r="1" c="236">
    <v>2349968</v>
    <v>1692753</v>
    <v>1636312</v>
    <v>1600118</v>
    <v>2820828</v>
    <v>3244248</v>
    <v>3587088</v>
    <v>4134129</v>
    <v>2504613</v>
    <v>2265083</v>
    <v>1610164</v>
    <v>1774523</v>
    <v>1635456</v>
    <v>1864692</v>
    <v>1887373</v>
    <v>1831330</v>
    <v>1964198</v>
    <v>1683979</v>
    <v>1627045</v>
    <v>1743009</v>
    <v>1503915</v>
    <v>1311567</v>
    <v>1843664</v>
    <v>2385274</v>
    <v>2826031</v>
    <v>2110970</v>
    <v>2918602</v>
    <v>2927962</v>
    <v>1782509</v>
    <v>1966321</v>
    <v>2490354</v>
    <v>4438033</v>
    <v>3323194</v>
    <v>2603411</v>
    <v>3730640</v>
    <v>2307275</v>
    <v>1567224</v>
    <v>2374716</v>
    <v>3037353</v>
    <v>2569909</v>
    <v>2528569</v>
    <v>2255109</v>
    <v>1976112</v>
    <v>2019197</v>
    <v>2883783</v>
    <v>3632964</v>
    <v>2417937</v>
    <v>1666927</v>
    <v>1804098</v>
    <v>2015083</v>
    <v>1787365</v>
    <v>1865465</v>
    <v>1535413</v>
    <v>2929243</v>
    <v>5646959</v>
    <v>3054325</v>
    <v>2719892</v>
    <v>2456640</v>
    <v>3686661</v>
    <v>4766129</v>
    <v>2984272</v>
    <v>3208314</v>
    <v>4769343</v>
    <v>3184954</v>
    <v>3705206</v>
    <v>4582649</v>
    <v>9532942</v>
    <v>4930212</v>
    <v>3813104</v>
    <v>2622993</v>
    <v>3296548</v>
    <v>3313665</v>
    <v>3105765</v>
    <v>2750349</v>
    <v>3907883</v>
    <v>5787624</v>
    <v>4644682</v>
    <v>3683901</v>
    <v>4267093</v>
    <v>3739290</v>
    <v>4493694</v>
    <v>10697496</v>
    <v>6371917</v>
    <v>4239565</v>
    <v>5544969</v>
    <v>5657301</v>
    <v>9231289</v>
    <v>8856154</v>
    <v>6698108</v>
    <v>3770726</v>
    <v>3354981</v>
    <v>4214094</v>
    <v>8141540</v>
    <v>5792808</v>
    <v>4099140</v>
    <v>3627226</v>
    <v>2995155</v>
    <v>2822292</v>
    <v>4436665</v>
    <v>5503660</v>
    <v>7003579</v>
    <v>3291139</v>
    <v>3874184</v>
    <v>5044090</v>
    <v>4522470</v>
    <v>3732477</v>
    <v>5145581</v>
    <v>4597825</v>
    <v>3446759</v>
    <v>4799315</v>
    <v>3856610</v>
    <v>4224896</v>
    <v>6885169</v>
    <v>6174552</v>
    <v>5415440</v>
    <v>17425362</v>
    <v>5706517</v>
    <v>3997313</v>
    <v>2700031</v>
    <v>4149393</v>
    <v>9952134</v>
    <v>5467328</v>
    <v>5184467</v>
    <v>3866190</v>
    <v>3120129</v>
    <v>5480573</v>
    <v>4186237</v>
    <v>5592665</v>
    <v>4188297</v>
    <v>2557717</v>
    <v>2328041</v>
    <v>2983836</v>
    <v>3273097</v>
    <v>5224662</v>
    <v>5161913</v>
    <v>3632497</v>
    <v>3464763</v>
    <v>3348124</v>
    <v>3082170</v>
    <v>3505161</v>
    <v>4439773</v>
    <v>3571002</v>
    <v>4113285</v>
    <v>8283756</v>
    <v>5961673</v>
    <v>7853842</v>
    <v>4595866</v>
    <v>3926265</v>
    <v>4078587</v>
    <v>3934694</v>
    <v>2932219</v>
    <v>3250701</v>
    <v>6828436</v>
    <v>5221717</v>
    <v>4667840</v>
    <v>3770856</v>
    <v>2641992</v>
    <v>2458953</v>
    <v>3423589</v>
    <v>3924063</v>
    <v>3126438</v>
    <v>2920136</v>
    <v>2000046</v>
    <v>3623470</v>
    <v>4153629</v>
    <v>4561381</v>
    <v>5272635</v>
    <v>5572392</v>
    <v>5559297</v>
    <v>3388206</v>
    <v>2644702</v>
    <v>3540957</v>
    <v>1907061</v>
    <v>2877575</v>
    <v>3394050</v>
    <v>7491392</v>
    <v>4990964</v>
    <v>9460775</v>
    <v>13465911</v>
    <v>4285100</v>
    <v>3884443</v>
    <v>2842144</v>
    <v>3285602</v>
    <v>4770151</v>
    <v>8565996</v>
    <v>4556096</v>
    <v>14116338</v>
    <v>9970735</v>
    <v>6600235</v>
    <v>4235174</v>
    <v>3321290</v>
    <v>3764870</v>
    <v>5948121</v>
    <v>3643704</v>
    <v>3281269</v>
    <v>4301929</v>
    <v>5928727</v>
    <v>5487875</v>
    <v>3124047</v>
    <v>7369951</v>
    <v>3248747</v>
    <v>3326429</v>
    <v>2244354</v>
    <v>2997632</v>
    <v>6102978</v>
    <v>3703002</v>
    <v>5584328</v>
    <v>4905471</v>
    <v>4890537</v>
    <v>7627287</v>
    <v>9726906</v>
    <v>7125542</v>
    <v>6906213</v>
    <v>3896176</v>
    <v>3661263</v>
    <v>4601856</v>
    <v>4827367</v>
    <v>3905835</v>
    <v>2746648</v>
    <v>6534743</v>
    <v>3384580</v>
    <v>4072707</v>
    <v>3977072</v>
    <v>4016065</v>
    <v>16369072</v>
    <v>4056855</v>
    <v>3136529</v>
    <v>1610673</v>
    <v>6290262</v>
    <v>4528768</v>
    <v>2921933</v>
    <v>2946244</v>
    <v>3676341</v>
    <v>3294185</v>
    <v>3617918</v>
    <v>4208881</v>
  </a>
  <a r="1" c="236">
    <v>3.43</v>
    <v>3.41</v>
    <v>3.3</v>
    <v>3.34</v>
    <v>3.37</v>
    <v>3.47</v>
    <v>3.26</v>
    <v>3.3</v>
    <v>3.31</v>
    <v>3.3</v>
    <v>3.28</v>
    <v>3.3</v>
    <v>3.22</v>
    <v>3.15</v>
    <v>3</v>
    <v>3.01</v>
    <v>3.06</v>
    <v>3.08</v>
    <v>3.13</v>
    <v>3.13</v>
    <v>3.2</v>
    <v>3.22</v>
    <v>3.2</v>
    <v>3.33</v>
    <v>3.17</v>
    <v>3.26</v>
    <v>3.16</v>
    <v>3.27</v>
    <v>3.35</v>
    <v>3.15</v>
    <v>3.22</v>
    <v>3.18</v>
    <v>3.24</v>
    <v>3.04</v>
    <v>2.99</v>
    <v>2.97</v>
    <v>3.03</v>
    <v>2.95</v>
    <v>3</v>
    <v>3.04</v>
    <v>3.1</v>
    <v>3.3</v>
    <v>3.34</v>
    <v>3.57</v>
    <v>3.28</v>
    <v>3.28</v>
    <v>3.26</v>
    <v>3.45</v>
    <v>3.37</v>
    <v>3.37</v>
    <v>3.28</v>
    <v>3.42</v>
    <v>3.42</v>
    <v>3.39</v>
    <v>3.26</v>
    <v>3.11</v>
    <v>3.06</v>
    <v>3.1</v>
    <v>2.95</v>
    <v>2.92</v>
    <v>2.98</v>
    <v>2.92</v>
    <v>2.84</v>
    <v>2.61</v>
    <v>2.58</v>
    <v>2.2799999999999998</v>
    <v>2.5099999999999998</v>
    <v>2.5099999999999998</v>
    <v>2.81</v>
    <v>2.84</v>
    <v>2.88</v>
    <v>3.01</v>
    <v>2.98</v>
    <v>3.11</v>
    <v>4.3499999999999996</v>
    <v>4.67</v>
    <v>4.9800000000000004</v>
    <v>4.4400000000000004</v>
    <v>4.3499999999999996</v>
    <v>4.33</v>
    <v>4.2300000000000004</v>
    <v>4.18</v>
    <v>4.1100000000000003</v>
    <v>4.12</v>
    <v>4.21</v>
    <v>3.91</v>
    <v>3.76</v>
    <v>3.78</v>
    <v>3.46</v>
    <v>3.5</v>
    <v>3.5</v>
    <v>3.55</v>
    <v>3.6</v>
    <v>3.64</v>
    <v>3.7</v>
    <v>3.59</v>
    <v>3.6</v>
    <v>3.58</v>
    <v>3.53</v>
    <v>3.58</v>
    <v>3.55</v>
    <v>3.58</v>
    <v>3.75</v>
    <v>3.77</v>
    <v>4.6900000000000004</v>
    <v>4.41</v>
    <v>4.21</v>
    <v>4.38</v>
    <v>4.32</v>
    <v>4.3099999999999996</v>
    <v>4.34</v>
    <v>4.43</v>
    <v>4.3499999999999996</v>
    <v>4.3899999999999997</v>
    <v>4.3600000000000003</v>
    <v>4.1399999999999997</v>
    <v>4.08</v>
    <v>3.9</v>
    <v>3.7</v>
    <v>4.1500000000000004</v>
    <v>4.08</v>
    <v>4.09</v>
    <v>4.1500000000000004</v>
    <v>4.4800000000000004</v>
    <v>4.5199999999999996</v>
    <v>4.55</v>
    <v>4.4400000000000004</v>
    <v>4.59</v>
    <v>4.72</v>
    <v>4.8</v>
    <v>4.91</v>
    <v>4.95</v>
    <v>5.23</v>
    <v>5.47</v>
    <v>5.39</v>
    <v>5.85</v>
    <v>6.11</v>
    <v>5.78</v>
    <v>5.6</v>
    <v>5.36</v>
    <v>5.23</v>
    <v>5.25</v>
    <v>5.12</v>
    <v>5.19</v>
    <v>5.27</v>
    <v>5.48</v>
    <v>5.76</v>
    <v>5.75</v>
    <v>5.71</v>
    <v>5.66</v>
    <v>5.78</v>
    <v>5.89</v>
    <v>5.92</v>
    <v>5.97</v>
    <v>6.01</v>
    <v>6.05</v>
    <v>5.91</v>
    <v>5.92</v>
    <v>5.95</v>
    <v>6.09</v>
    <v>6.4</v>
    <v>6.56</v>
    <v>6.59</v>
    <v>6.46</v>
    <v>6.84</v>
    <v>6.69</v>
    <v>6.7</v>
    <v>6.75</v>
    <v>6.76</v>
    <v>6.73</v>
    <v>6.74</v>
    <v>6.61</v>
    <v>6.98</v>
    <v>6.92</v>
    <v>7.3</v>
    <v>7.14</v>
    <v>7.04</v>
    <v>7.25</v>
    <v>7.53</v>
    <v>7.64</v>
    <v>7.73</v>
    <v>7.68</v>
    <v>7.94</v>
    <v>8.3000000000000007</v>
    <v>8.48</v>
    <v>8.8000000000000007</v>
    <v>10.119999999999999</v>
    <v>9.65</v>
    <v>9.99</v>
    <v>9.66</v>
    <v>10.07</v>
    <v>10.31</v>
    <v>9.75</v>
    <v>9.6999999999999993</v>
    <v>10.01</v>
    <v>9.8800000000000008</v>
    <v>10.51</v>
    <v>10.4</v>
    <v>9.5500000000000007</v>
    <v>10.11</v>
    <v>8.77</v>
    <v>8.6999999999999993</v>
    <v>8.5299999999999994</v>
    <v>8.5299999999999994</v>
    <v>8.1300000000000008</v>
    <v>8.1300000000000008</v>
    <v>8.1</v>
    <v>8.2899999999999991</v>
    <v>8.2899999999999991</v>
    <v>8.11</v>
    <v>7.71</v>
    <v>7.88</v>
    <v>7.84</v>
    <v>8.19</v>
    <v>8.59</v>
    <v>8.41</v>
    <v>8.73</v>
    <v>8.65</v>
    <v>8.6199999999999992</v>
    <v>8.5299999999999994</v>
    <v>8.73</v>
    <v>8.93</v>
    <v>8.27</v>
    <v>8.2100000000000009</v>
    <v>8.6999999999999993</v>
    <v>9.24</v>
    <v>9.61</v>
    <v>10.19</v>
    <v>10.18</v>
    <v>9.92</v>
    <v>9.93</v>
    <v>9.9499999999999993</v>
    <v>9.84</v>
    <v>9.51</v>
    <v>9.4600000000000009</v>
    <v>9.5299999999999994</v>
  </a>
  <a r="1" c="236">
    <v>3.52</v>
    <v>3.4449999999999998</v>
    <v>3.4449999999999998</v>
    <v>3.4599000000000002</v>
    <v>3.4</v>
    <v>3.55</v>
    <v>3.4249999999999998</v>
    <v>3.32</v>
    <v>3.3889</v>
    <v>3.3450000000000002</v>
    <v>3.3149999999999999</v>
    <v>3.35</v>
    <v>3.34</v>
    <v>3.33</v>
    <v>3.25</v>
    <v>3.02</v>
    <v>3.1</v>
    <v>3.1349999999999998</v>
    <v>3.25</v>
    <v>3.23</v>
    <v>3.26</v>
    <v>3.25</v>
    <v>3.3201000000000001</v>
    <v>3.3889</v>
    <v>3.3519999999999999</v>
    <v>3.27</v>
    <v>3.28</v>
    <v>3.28</v>
    <v>3.36</v>
    <v>3.4</v>
    <v>3.24</v>
    <v>3.2250000000000001</v>
    <v>3.28</v>
    <v>3.25</v>
    <v>3.0790000000000002</v>
    <v>3.01</v>
    <v>3.0550000000000002</v>
    <v>3.0150000000000001</v>
    <v>3.01</v>
    <v>3.13</v>
    <v>3.14</v>
    <v>3.35</v>
    <v>3.38</v>
    <v>3.6</v>
    <v>3.54</v>
    <v>3.4049999999999998</v>
    <v>3.3106</v>
    <v>3.5</v>
    <v>3.5350000000000001</v>
    <v>3.4</v>
    <v>3.4666000000000001</v>
    <v>3.42</v>
    <v>3.5</v>
    <v>3.43</v>
    <v>3.4499</v>
    <v>3.35</v>
    <v>3.19</v>
    <v>3.15</v>
    <v>3.13</v>
    <v>2.99</v>
    <v>3.1150000000000002</v>
    <v>2.97</v>
    <v>2.9350000000000001</v>
    <v>2.8250000000000002</v>
    <v>2.76</v>
    <v>2.6850000000000001</v>
    <v>2.54</v>
    <v>2.61</v>
    <v>2.9</v>
    <v>3</v>
    <v>2.95</v>
    <v>3.1</v>
    <v>3.05</v>
    <v>3.14</v>
    <v>4.57</v>
    <v>5.0549999999999997</v>
    <v>5.0599999999999996</v>
    <v>4.91</v>
    <v>4.49</v>
    <v>4.38</v>
    <v>4.4199000000000002</v>
    <v>4.3</v>
    <v>4.2699999999999996</v>
    <v>4.3499999999999996</v>
    <v>4.2699999999999996</v>
    <v>4.29</v>
    <v>4.05</v>
    <v>3.89</v>
    <v>3.78</v>
    <v>3.6</v>
    <v>3.5449999999999999</v>
    <v>3.61</v>
    <v>3.63</v>
    <v>3.7</v>
    <v>3.7549999999999999</v>
    <v>3.75</v>
    <v>3.6949999999999998</v>
    <v>3.6678999999999999</v>
    <v>3.5649999999999999</v>
    <v>3.64</v>
    <v>3.6549999999999998</v>
    <v>3.6349999999999998</v>
    <v>3.8</v>
    <v>3.875</v>
    <v>4.7699999999999996</v>
    <v>4.8499999999999996</v>
    <v>4.46</v>
    <v>4.4400000000000004</v>
    <v>4.5599999999999996</v>
    <v>4.45</v>
    <v>4.43</v>
    <v>4.58</v>
    <v>4.5199999999999996</v>
    <v>4.45</v>
    <v>4.46</v>
    <v>4.415</v>
    <v>4.2252000000000001</v>
    <v>3.99</v>
    <v>3.9350000000000001</v>
    <v>4.165</v>
    <v>4.1100000000000003</v>
    <v>4.18</v>
    <v>4.2450000000000001</v>
    <v>4.5599999999999996</v>
    <v>4.7050000000000001</v>
    <v>4.6100000000000003</v>
    <v>4.59</v>
    <v>4.625</v>
    <v>4.7350000000000003</v>
    <v>4.8449999999999998</v>
    <v>5.01</v>
    <v>5.0049999999999999</v>
    <v>5.2649999999999997</v>
    <v>5.49</v>
    <v>5.5899000000000001</v>
    <v>5.91</v>
    <v>6.16</v>
    <v>6.16</v>
    <v>5.79</v>
    <v>5.6</v>
    <v>5.31</v>
    <v>5.38</v>
    <v>5.3997999999999999</v>
    <v>5.2450000000000001</v>
    <v>5.39</v>
    <v>5.59</v>
    <v>5.81</v>
    <v>5.8</v>
    <v>5.83</v>
    <v>5.835</v>
    <v>5.8898999999999999</v>
    <v>5.92</v>
    <v>6</v>
    <v>6.05</v>
    <v>6.06</v>
    <v>6.12</v>
    <v>6.08</v>
    <v>5.9950000000000001</v>
    <v>6.0198999999999998</v>
    <v>6.15</v>
    <v>6.56</v>
    <v>6.625</v>
    <v>6.5949999999999998</v>
    <v>6.6749999999999998</v>
    <v>6.9349999999999996</v>
    <v>6.95</v>
    <v>6.85</v>
    <v>6.78</v>
    <v>6.87</v>
    <v>6.8849999999999998</v>
    <v>6.8598999999999997</v>
    <v>6.98</v>
    <v>7.05</v>
    <v>7.05</v>
    <v>7.33</v>
    <v>7.31</v>
    <v>7.36</v>
    <v>7.27</v>
    <v>7.55</v>
    <v>7.81</v>
    <v>8.0549999999999997</v>
    <v>7.86</v>
    <v>7.97</v>
    <v>8.33</v>
    <v>8.58</v>
    <v>9.0549999999999997</v>
    <v>10.16</v>
    <v>10.435</v>
    <v>10.39</v>
    <v>10.3399</v>
    <v>10.16</v>
    <v>10.44</v>
    <v>10.36</v>
    <v>10</v>
    <v>10.185</v>
    <v>10.135</v>
    <v>10.9</v>
    <v>10.74</v>
    <v>10.25</v>
    <v>10.11</v>
    <v>9.42</v>
    <v>8.7799999999999994</v>
    <v>8.91</v>
    <v>8.5749999999999993</v>
    <v>8.31</v>
    <v>8.25</v>
    <v>8.4491999999999994</v>
    <v>8.33</v>
    <v>8.33</v>
    <v>8.3699999999999992</v>
    <v>8.0549999999999997</v>
    <v>7.95</v>
    <v>8.27</v>
    <v>8.2899999999999991</v>
    <v>8.7249999999999996</v>
    <v>8.7200000000000006</v>
    <v>8.93</v>
    <v>8.81</v>
    <v>8.7349999999999994</v>
    <v>8.86</v>
    <v>8.8550000000000004</v>
    <v>9.3000000000000007</v>
    <v>9.09</v>
    <v>8.41</v>
    <v>8.7200000000000006</v>
    <v>9.32</v>
    <v>9.61</v>
    <v>10.23</v>
    <v>10.465</v>
    <v>10.31</v>
    <v>10.106299999999999</v>
    <v>10.02</v>
    <v>10.24</v>
    <v>9.8800000000000008</v>
    <v>9.66</v>
    <v>9.6150000000000002</v>
  </a>
  <a r="1" c="236">
    <v>3.34</v>
    <v>3.37</v>
    <v>3.29</v>
    <v>3.32</v>
    <v>3.3250000000000002</v>
    <v>3.34</v>
    <v>3.24</v>
    <v>3.19</v>
    <v>3.3</v>
    <v>3.24</v>
    <v>3.25</v>
    <v>3.2650000000000001</v>
    <v>3.2</v>
    <v>3.1</v>
    <v>2.895</v>
    <v>2.87</v>
    <v>2.98</v>
    <v>3.0150000000000001</v>
    <v>3.0950000000000002</v>
    <v>3.1</v>
    <v>3.07</v>
    <v>3.1349999999999998</v>
    <v>3.1800999999999999</v>
    <v>3.15</v>
    <v>3.14</v>
    <v>3.1349999999999998</v>
    <v>3.14</v>
    <v>3.12</v>
    <v>3.22</v>
    <v>3.15</v>
    <v>3.15</v>
    <v>3.12</v>
    <v>3.16</v>
    <v>3.01</v>
    <v>2.88</v>
    <v>2.92</v>
    <v>2.94</v>
    <v>2.94</v>
    <v>2.91</v>
    <v>3.03</v>
    <v>3.03</v>
    <v>3.09</v>
    <v>3.27</v>
    <v>3.33</v>
    <v>3.24</v>
    <v>3.25</v>
    <v>3.15</v>
    <v>3.2759999999999998</v>
    <v>3.33</v>
    <v>3.3</v>
    <v>3.24</v>
    <v>3.26</v>
    <v>3.32</v>
    <v>3.32</v>
    <v>3.24</v>
    <v>3.09</v>
    <v>3.04</v>
    <v>3.0350000000000001</v>
    <v>2.87</v>
    <v>2.8</v>
    <v>2.85</v>
    <v>2.85</v>
    <v>2.8149999999999999</v>
    <v>2.5499999999999998</v>
    <v>2.48</v>
    <v>2.2599999999999998</v>
    <v>2.2601</v>
    <v>2.4700000000000002</v>
    <v>2.6</v>
    <v>2.75</v>
    <v>2.84</v>
    <v>2.92</v>
    <v>2.89</v>
    <v>3.01</v>
    <v>3.3</v>
    <v>4.1500000000000004</v>
    <v>4.6100000000000003</v>
    <v>4.3499999999999996</v>
    <v>4.1749999999999998</v>
    <v>4.1900000000000004</v>
    <v>4.08</v>
    <v>4.085</v>
    <v>4.0949999999999998</v>
    <v>4.12</v>
    <v>4.0999999999999996</v>
    <v>3.8149999999999999</v>
    <v>3.72</v>
    <v>3.7450000000000001</v>
    <v>3.37</v>
    <v>3.48</v>
    <v>3.3650000000000002</v>
    <v>3.4</v>
    <v>3.45</v>
    <v>3.54</v>
    <v>3.6349999999999998</v>
    <v>3.51</v>
    <v>3.53</v>
    <v>3.5301</v>
    <v>3.415</v>
    <v>3.51</v>
    <v>3.5335000000000001</v>
    <v>3.49</v>
    <v>3.6549999999999998</v>
    <v>3.64</v>
    <v>3.96</v>
    <v>4.3449999999999998</v>
    <v>4.1399999999999997</v>
    <v>4.2</v>
    <v>4.3099999999999996</v>
    <v>4.2699999999999996</v>
    <v>4.3</v>
    <v>4.3250000000000002</v>
    <v>4.32</v>
    <v>4.3550000000000004</v>
    <v>4.3099999999999996</v>
    <v>4.12</v>
    <v>4.05</v>
    <v>3.86</v>
    <v>3.61</v>
    <v>3.71</v>
    <v>3.95</v>
    <v>4.05</v>
    <v>4.07</v>
    <v>4.1500000000000004</v>
    <v>4.4000000000000004</v>
    <v>4.4400000000000004</v>
    <v>4.34</v>
    <v>4.37</v>
    <v>4.59</v>
    <v>4.68</v>
    <v>4.7949999999999999</v>
    <v>4.84</v>
    <v>4.99</v>
    <v>5.1150000000000002</v>
    <v>5.3</v>
    <v>5.43</v>
    <v>5.82</v>
    <v>5.76</v>
    <v>5.56</v>
    <v>5.2850000000000001</v>
    <v>5.15</v>
    <v>5.17</v>
    <v>5.07</v>
    <v>5.0949999999999998</v>
    <v>5.14</v>
    <v>5.3879999999999999</v>
    <v>5.35</v>
    <v>5.6428000000000003</v>
    <v>5.6349999999999998</v>
    <v>5.6</v>
    <v>5.53</v>
    <v>5.76</v>
    <v>5.8150000000000004</v>
    <v>5.84</v>
    <v>5.89</v>
    <v>5.95</v>
    <v>5.85</v>
    <v>5.89</v>
    <v>5.81</v>
    <v>5.8550000000000004</v>
    <v>6.08</v>
    <v>6.4</v>
    <v>6.4050000000000002</v>
    <v>6.4349999999999996</v>
    <v>6.47</v>
    <v>6.55</v>
    <v>6.585</v>
    <v>6.56</v>
    <v>6.67</v>
    <v>6.67</v>
    <v>6.64</v>
    <v>6.585</v>
    <v>6.59</v>
    <v>6.83</v>
    <v>6.92</v>
    <v>7.1050000000000004</v>
    <v>6.95</v>
    <v>6.9</v>
    <v>7.26</v>
    <v>7.5049999999999999</v>
    <v>7.67</v>
    <v>7.6</v>
    <v>7.61</v>
    <v>7.97</v>
    <v>8.34</v>
    <v>8.4649999999999999</v>
    <v>8.27</v>
    <v>9.3244000000000007</v>
    <v>9.83</v>
    <v>9.6300000000000008</v>
    <v>9.59</v>
    <v>10.07</v>
    <v>9.67</v>
    <v>9.6150000000000002</v>
    <v>9.8949999999999996</v>
    <v>9.5399999999999991</v>
    <v>9.9700000000000006</v>
    <v>10.33</v>
    <v>9.36</v>
    <v>9.5890000000000004</v>
    <v>8.7200000000000006</v>
    <v>8.3101000000000003</v>
    <v>8.48</v>
    <v>8.32</v>
    <v>7.87</v>
    <v>7.67</v>
    <v>7.93</v>
    <v>7.96</v>
    <v>7.83</v>
    <v>7.9950000000000001</v>
    <v>7.6749999999999998</v>
    <v>7.7149999999999999</v>
    <v>7.8250000000000002</v>
    <v>7.78</v>
    <v>8.4600000000000009</v>
    <v>8.35</v>
    <v>8.33</v>
    <v>8.48</v>
    <v>8.11</v>
    <v>8.39</v>
    <v>8.4550000000000001</v>
    <v>8.74</v>
    <v>8.2349999999999994</v>
    <v>8.02</v>
    <v>8.25</v>
    <v>8.66</v>
    <v>9.24</v>
    <v>9.73</v>
    <v>10.15</v>
    <v>9.83</v>
    <v>9.77</v>
    <v>9.8000000000000007</v>
    <v>9.74</v>
    <v>9.4700000000000006</v>
    <v>9.3826000000000001</v>
    <v>9.1300000000000008</v>
  </a>
  <a r="1" c="236">
    <v>2.63</v>
    <v>2.8</v>
    <v>2.69</v>
    <v>2.65</v>
    <v>2.54</v>
    <v>2.2400000000000002</v>
    <v>1.88</v>
    <v>1.99</v>
    <v>2.21</v>
    <v>2.2000000000000002</v>
    <v>2.0699999999999998</v>
    <v>2.0099999999999998</v>
    <v>2.37</v>
    <v>2.11</v>
    <v>2.04</v>
    <v>1.94</v>
    <v>1.81</v>
    <v>1.71</v>
    <v>1.69</v>
    <v>1.75</v>
    <v>1.6</v>
    <v>1.69</v>
    <v>1.64</v>
    <v>1.76</v>
    <v>1.91</v>
    <v>2.1</v>
    <v>2.1</v>
    <v>1.94</v>
    <v>1.92</v>
    <v>1.83</v>
    <v>1.65</v>
    <v>1.43</v>
    <v>1.39</v>
    <v>1.25</v>
    <v>1.1000000000000001</v>
    <v>1.04</v>
    <v>1.08</v>
    <v>0.97040000000000004</v>
    <v>0.98429999999999995</v>
    <v>0.85229999999999995</v>
    <v>0.87119999999999997</v>
    <v>0.88749999999999996</v>
    <v>0.80459999999999998</v>
    <v>0.8085</v>
    <v>0.72699999999999998</v>
    <v>0.72350000000000003</v>
    <v>0.69699999999999995</v>
    <v>0.67669999999999997</v>
    <v>0.73839999999999995</v>
    <v>0.77439999999999998</v>
    <v>0.74480000000000002</v>
    <v>0.75760000000000005</v>
    <v>0.69010000000000005</v>
    <v>0.70009999999999994</v>
    <v>0.81200000000000006</v>
    <v>0.88580000000000003</v>
    <v>0.84499999999999997</v>
    <v>0.99980000000000002</v>
    <v>1.1200000000000001</v>
    <v>1.07</v>
    <v>1.1000000000000001</v>
    <v>1.1100000000000001</v>
    <v>0.89939999999999998</v>
    <v>0.92090000000000005</v>
    <v>0.86</v>
    <v>0.75</v>
    <v>0.83009999999999995</v>
    <v>0.77510000000000001</v>
    <v>0.81399999999999995</v>
    <v>0.9143</v>
    <v>0.87419999999999998</v>
    <v>0.86370000000000002</v>
    <v>0.88790000000000002</v>
    <v>0.79810000000000003</v>
    <v>0.82010000000000005</v>
    <v>0.84189999999999998</v>
    <v>0.80049999999999999</v>
    <v>0.71509999999999996</v>
    <v>0.75109999999999999</v>
    <v>0.80679999999999996</v>
    <v>0.77680000000000005</v>
    <v>0.78849999999999998</v>
    <v>0.81859999999999999</v>
    <v>0.76429999999999998</v>
    <v>0.75719999999999998</v>
    <v>0.75349999999999995</v>
    <v>0.79090000000000005</v>
    <v>0.76500000000000001</v>
    <v>0.82979999999999998</v>
    <v>0.86370000000000002</v>
    <v>0.87590000000000001</v>
    <v>0.85670000000000002</v>
    <v>0.93010000000000004</v>
    <v>0.97940000000000005</v>
    <v>0.94259999999999999</v>
    <v>0.86509999999999998</v>
    <v>0.9093</v>
    <v>0.92679999999999996</v>
    <v>0.94220000000000004</v>
    <v>1.07</v>
    <v>1.07</v>
    <v>1.22</v>
    <v>1.47</v>
    <v>1.42</v>
    <v>1.75</v>
    <v>1.58</v>
    <v>1.7</v>
    <v>1.68</v>
    <v>1.52</v>
    <v>1.48</v>
    <v>1.71</v>
    <v>1.82</v>
    <v>1.69</v>
    <v>1.56</v>
    <v>1.55</v>
    <v>1.58</v>
    <v>1.43</v>
    <v>1.59</v>
    <v>1.6</v>
    <v>1.75</v>
    <v>1.83</v>
    <v>1.92</v>
    <v>1.96</v>
    <v>1.88</v>
    <v>1.85</v>
    <v>1.75</v>
    <v>1.79</v>
    <v>1.84</v>
    <v>2.0099999999999998</v>
    <v>2.12</v>
    <v>2.31</v>
    <v>2.29</v>
    <v>2.4</v>
    <v>2.4</v>
    <v>2.23</v>
    <v>2.25</v>
    <v>2.1</v>
    <v>2.1800000000000002</v>
    <v>2.14</v>
    <v>2.13</v>
    <v>2</v>
    <v>1.82</v>
    <v>2.0699999999999998</v>
    <v>2.12</v>
    <v>2.2000000000000002</v>
    <v>2.67</v>
    <v>3.07</v>
    <v>3.33</v>
    <v>3.25</v>
    <v>3.55</v>
    <v>3.43</v>
    <v>4.29</v>
    <v>3.52</v>
    <v>3.93</v>
    <v>3.86</v>
    <v>4.01</v>
    <v>3.59</v>
    <v>3.61</v>
    <v>3.8</v>
    <v>4.49</v>
    <v>4.8499999999999996</v>
    <v>4.97</v>
    <v>5.07</v>
    <v>5.7</v>
    <v>5.86</v>
    <v>5.46</v>
    <v>5.03</v>
    <v>5.33</v>
    <v>5.63</v>
    <v>6.06</v>
    <v>5.45</v>
    <v>5.56</v>
    <v>6.42</v>
    <v>6.56</v>
    <v>6.38</v>
    <v>6.09</v>
    <v>6.1</v>
    <v>6.6</v>
    <v>6.72</v>
    <v>7.26</v>
    <v>7.88</v>
    <v>7.35</v>
    <v>7.75</v>
    <v>7.66</v>
    <v>7.87</v>
    <v>7.72</v>
    <v>7.31</v>
    <v>9.2100000000000009</v>
    <v>9.91</v>
    <v>10.66</v>
    <v>11.09</v>
    <v>11.26</v>
    <v>10.49</v>
    <v>9.2200000000000006</v>
    <v>10.81</v>
    <v>10.41</v>
    <v>9.51</v>
    <v>8.1999999999999993</v>
    <v>7.61</v>
    <v>7.77</v>
    <v>7.19</v>
    <v>6.74</v>
    <v>7.06</v>
    <v>7.46</v>
    <v>7.53</v>
    <v>6.79</v>
    <v>6.75</v>
    <v>6.29</v>
    <v>6.44</v>
    <v>6.15</v>
    <v>5.96</v>
    <v>6</v>
    <v>5.25</v>
    <v>5.81</v>
    <v>5.88</v>
    <v>5.8</v>
    <v>5.51</v>
    <v>6.56</v>
    <v>7.18</v>
    <v>6.2549999999999999</v>
    <v>7.84</v>
    <v>7.5</v>
    <v>6.27</v>
    <v>6.7350000000000003</v>
    <v>8.7200000000000006</v>
    <v>8.44</v>
    <v>8.24</v>
    <v>7.9</v>
    <v>7.58</v>
    <v>8.07</v>
    <v>8.92</v>
    <v>9.19</v>
    <v>9.07</v>
    <v>9.02</v>
    <v>9.23</v>
    <v>8.3249999999999993</v>
  </a>
  <a r="1" c="236">
    <v>2.79</v>
    <v>3.4</v>
    <v>3.13</v>
    <v>2.7591000000000001</v>
    <v>2.73</v>
    <v>2.46</v>
    <v>2.19</v>
    <v>2.13</v>
    <v>2.2578999999999998</v>
    <v>2.27</v>
    <v>2.2000000000000002</v>
    <v>2.1398999999999999</v>
    <v>2.46</v>
    <v>2.2999999999999998</v>
    <v>2.21</v>
    <v>2</v>
    <v>1.99</v>
    <v>1.81</v>
    <v>1.77</v>
    <v>1.835</v>
    <v>1.6794</v>
    <v>1.7</v>
    <v>1.72</v>
    <v>1.85</v>
    <v>1.92</v>
    <v>2.12</v>
    <v>2.23</v>
    <v>2.14</v>
    <v>1.9499</v>
    <v>1.9693000000000001</v>
    <v>1.94</v>
    <v>1.68</v>
    <v>1.46</v>
    <v>1.45</v>
    <v>1.26</v>
    <v>1.21</v>
    <v>1.1399999999999999</v>
    <v>1.1299999999999999</v>
    <v>1.0215000000000001</v>
    <v>1</v>
    <v>0.93620000000000003</v>
    <v>0.90339999999999998</v>
    <v>0.89900000000000002</v>
    <v>0.83</v>
    <v>0.81</v>
    <v>1.18</v>
    <v>0.70650000000000002</v>
    <v>0.7177</v>
    <v>0.74</v>
    <v>0.79100000000000004</v>
    <v>0.79579999999999995</v>
    <v>0.76580000000000004</v>
    <v>0.75680000000000003</v>
    <v>0.72</v>
    <v>0.82</v>
    <v>0.9</v>
    <v>0.97289999999999999</v>
    <v>1.01</v>
    <v>1.1399999999999999</v>
    <v>1.25</v>
    <v>1.1499999999999999</v>
    <v>1.1298999999999999</v>
    <v>1.07</v>
    <v>0.9677</v>
    <v>0.9899</v>
    <v>0.9</v>
    <v>0.84</v>
    <v>0.82030000000000003</v>
    <v>0.83</v>
    <v>0.96499999999999997</v>
    <v>0.93899999999999995</v>
    <v>0.87860000000000005</v>
    <v>0.91920000000000002</v>
    <v>0.87</v>
    <v>0.83</v>
    <v>0.9</v>
    <v>0.87929999999999997</v>
    <v>0.81559999999999999</v>
    <v>0.77890000000000004</v>
    <v>0.82930000000000004</v>
    <v>0.78859999999999997</v>
    <v>0.83289999999999997</v>
    <v>0.85370000000000001</v>
    <v>0.79890000000000005</v>
    <v>0.77900000000000003</v>
    <v>0.76239999999999997</v>
    <v>0.79879999999999995</v>
    <v>0.79630000000000001</v>
    <v>0.83899999999999997</v>
    <v>0.88639999999999997</v>
    <v>0.92</v>
    <v>0.87</v>
    <v>0.94</v>
    <v>1</v>
    <v>1.05</v>
    <v>0.99650000000000005</v>
    <v>0.91900000000000004</v>
    <v>0.96</v>
    <v>0.95369999999999999</v>
    <v>1.1499999999999999</v>
    <v>1.1000000000000001</v>
    <v>1.23</v>
    <v>1.52</v>
    <v>1.66</v>
    <v>1.79</v>
    <v>1.885</v>
    <v>1.87</v>
    <v>2.0449999999999999</v>
    <v>1.7</v>
    <v>1.6</v>
    <v>1.75</v>
    <v>1.87</v>
    <v>1.9</v>
    <v>1.6988000000000001</v>
    <v>1.61</v>
    <v>1.67</v>
    <v>1.58</v>
    <v>1.6</v>
    <v>1.85</v>
    <v>1.79</v>
    <v>1.91</v>
    <v>2.29</v>
    <v>1.96</v>
    <v>1.95</v>
    <v>2.0150000000000001</v>
    <v>1.97</v>
    <v>1.825</v>
    <v>1.93</v>
    <v>2.0499999999999998</v>
    <v>2.2400000000000002</v>
    <v>2.4500000000000002</v>
    <v>2.35</v>
    <v>2.44</v>
    <v>2.6398999999999999</v>
    <v>2.48</v>
    <v>2.7</v>
    <v>2.27</v>
    <v>2.2000000000000002</v>
    <v>2.33</v>
    <v>2.14</v>
    <v>2.2000000000000002</v>
    <v>2.0099999999999998</v>
    <v>2.14</v>
    <v>2.2200000000000002</v>
    <v>2.27</v>
    <v>2.67</v>
    <v>3.09</v>
    <v>3.37</v>
    <v>3.5</v>
    <v>3.95</v>
    <v>3.76</v>
    <v>4.3899999999999997</v>
    <v>3.79</v>
    <v>3.93</v>
    <v>4.2300000000000004</v>
    <v>4.09</v>
    <v>4.33</v>
    <v>3.66</v>
    <v>3.89</v>
    <v>4.51</v>
    <v>4.9800000000000004</v>
    <v>5.2666000000000004</v>
    <v>5.5049999999999999</v>
    <v>6.01</v>
    <v>6.1879999999999997</v>
    <v>5.95</v>
    <v>5.6779999999999999</v>
    <v>5.39</v>
    <v>5.68</v>
    <v>6.5</v>
    <v>5.59</v>
    <v>6</v>
    <v>6.44</v>
    <v>6.72</v>
    <v>6.8598999999999997</v>
    <v>6.35</v>
    <v>6.25</v>
    <v>6.64</v>
    <v>6.84</v>
    <v>7.36</v>
    <v>8.1198999999999995</v>
    <v>8.07</v>
    <v>7.84</v>
    <v>7.89</v>
    <v>8.7100000000000009</v>
    <v>8.17</v>
    <v>7.95</v>
    <v>9.34</v>
    <v>10.28</v>
    <v>11.63</v>
    <v>11.545</v>
    <v>11.6999</v>
    <v>11.39</v>
    <v>10.51</v>
    <v>11.215</v>
    <v>10.56</v>
    <v>10.87</v>
    <v>9.6300000000000008</v>
    <v>8.16</v>
    <v>8.19</v>
    <v>7.91</v>
    <v>7.26</v>
    <v>7.3</v>
    <v>8.17</v>
    <v>8.3149999999999995</v>
    <v>7.64</v>
    <v>6.95</v>
    <v>6.6150000000000002</v>
    <v>6.5</v>
    <v>6.69</v>
    <v>6.57</v>
    <v>6.25</v>
    <v>5.93</v>
    <v>5.8949999999999996</v>
    <v>6.39</v>
    <v>6.0949999999999998</v>
    <v>6.165</v>
    <v>7.34</v>
    <v>7.86</v>
    <v>7.5149999999999997</v>
    <v>7.92</v>
    <v>8.0350000000000001</v>
    <v>7.97</v>
    <v>6.85</v>
    <v>8.8000000000000007</v>
    <v>8.8800000000000008</v>
    <v>8.68</v>
    <v>8.4694000000000003</v>
    <v>8.07</v>
    <v>8.5500000000000007</v>
    <v>9.1050000000000004</v>
    <v>9.34</v>
    <v>9.3000000000000007</v>
    <v>9.75</v>
    <v>9.86</v>
    <v>9.1150000000000002</v>
  </a>
  <a r="1" c="236">
    <v>2.4500000000000002</v>
    <v>2.76</v>
    <v>2.63</v>
    <v>2.4</v>
    <v>2.09</v>
    <v>2.2000000000000002</v>
    <v>1.8201000000000001</v>
    <v>1.9</v>
    <v>1.9993000000000001</v>
    <v>2.0049999999999999</v>
    <v>2.02</v>
    <v>1.94</v>
    <v>1.99</v>
    <v>2.1</v>
    <v>1.98</v>
    <v>1.83</v>
    <v>1.81</v>
    <v>1.64</v>
    <v>1.68</v>
    <v>1.665</v>
    <v>1.5</v>
    <v>1.62</v>
    <v>1.61</v>
    <v>1.68</v>
    <v>1.76</v>
    <v>1.8206</v>
    <v>2</v>
    <v>1.93</v>
    <v>1.84</v>
    <v>1.8049999999999999</v>
    <v>1.61</v>
    <v>1.4</v>
    <v>1.325</v>
    <v>1.24</v>
    <v>1.1000000000000001</v>
    <v>1</v>
    <v>1.03</v>
    <v>0.97</v>
    <v>0.9163</v>
    <v>0.83899999999999997</v>
    <v>0.78849999999999998</v>
    <v>0.83</v>
    <v>0.8</v>
    <v>0.75070000000000003</v>
    <v>0.68500000000000005</v>
    <v>0.68110000000000004</v>
    <v>0.56999999999999995</v>
    <v>0.65029999999999999</v>
    <v>0.65</v>
    <v>0.72440000000000004</v>
    <v>0.72009999999999996</v>
    <v>0.72099999999999997</v>
    <v>0.68</v>
    <v>0.68</v>
    <v>0.69110000000000005</v>
    <v>0.79500000000000004</v>
    <v>0.80869999999999997</v>
    <v>0.83309999999999995</v>
    <v>0.89</v>
    <v>0.89139999999999997</v>
    <v>1.0101</v>
    <v>0.99</v>
    <v>0.86</v>
    <v>0.8337</v>
    <v>0.81689999999999996</v>
    <v>0.72</v>
    <v>0.65910000000000002</v>
    <v>0.71399999999999997</v>
    <v>0.75</v>
    <v>0.85509999999999997</v>
    <v>0.85</v>
    <v>0.81530000000000002</v>
    <v>0.85099999999999998</v>
    <v>0.7712</v>
    <v>0.77</v>
    <v>0.83140000000000003</v>
    <v>0.78339999999999999</v>
    <v>0.69040000000000001</v>
    <v>0.72840000000000005</v>
    <v>0.73109999999999997</v>
    <v>0.73499999999999999</v>
    <v>0.77170000000000005</v>
    <v>0.78849999999999998</v>
    <v>0.76039999999999996</v>
    <v>0.73540000000000005</v>
    <v>0.73109999999999997</v>
    <v>0.73170000000000002</v>
    <v>0.76170000000000004</v>
    <v>0.76019999999999999</v>
    <v>0.80689999999999995</v>
    <v>0.84389999999999998</v>
    <v>0.76</v>
    <v>0.84009999999999996</v>
    <v>0.85499999999999998</v>
    <v>0.93100000000000005</v>
    <v>0.8276</v>
    <v>0.84350000000000003</v>
    <v>0.86</v>
    <v>0.89</v>
    <v>0.93200000000000005</v>
    <v>1</v>
    <v>1.07</v>
    <v>1.26</v>
    <v>1.4</v>
    <v>1.46</v>
    <v>1.5</v>
    <v>1.58</v>
    <v>1.67</v>
    <v>1.45</v>
    <v>1.4000999999999999</v>
    <v>1.51</v>
    <v>1.66</v>
    <v>1.665</v>
    <v>1.52</v>
    <v>1.46</v>
    <v>1.52</v>
    <v>1.36</v>
    <v>1.4650000000000001</v>
    <v>1.55</v>
    <v>1.53</v>
    <v>1.69</v>
    <v>1.91</v>
    <v>1.8</v>
    <v>1.8</v>
    <v>1.82</v>
    <v>1.72</v>
    <v>1.71</v>
    <v>1.7949999999999999</v>
    <v>1.8</v>
    <v>2.0499999999999998</v>
    <v>2.12</v>
    <v>2.2000000000000002</v>
    <v>2.19</v>
    <v>2.2799999999999998</v>
    <v>2.19</v>
    <v>2.2400000000000002</v>
    <v>2.02</v>
    <v>2.0499999999999998</v>
    <v>2.13</v>
    <v>2.06</v>
    <v>1.98</v>
    <v>1.78</v>
    <v>1.85</v>
    <v>2.0299999999999998</v>
    <v>2.0099999999999998</v>
    <v>2.25</v>
    <v>2.66</v>
    <v>2.92</v>
    <v>3.085</v>
    <v>3.395</v>
    <v>3.31</v>
    <v>3.86</v>
    <v>3.44</v>
    <v>3.43</v>
    <v>3.7450000000000001</v>
    <v>3.7250000000000001</v>
    <v>3.56</v>
    <v>3.2</v>
    <v>3.51</v>
    <v>3.8</v>
    <v>4.53</v>
    <v>4.71</v>
    <v>5.01</v>
    <v>5.2</v>
    <v>5.54</v>
    <v>5.33</v>
    <v>5.01</v>
    <v>4.9000000000000004</v>
    <v>5.03</v>
    <v>5.6</v>
    <v>5.21</v>
    <v>5.3849999999999998</v>
    <v>5.41</v>
    <v>6.2</v>
    <v>6.25</v>
    <v>5.92</v>
    <v>5.75</v>
    <v>6.01</v>
    <v>6.42</v>
    <v>6.58</v>
    <v>7.23</v>
    <v>7.25</v>
    <v>6.79</v>
    <v>7.36</v>
    <v>7.8</v>
    <v>7.57</v>
    <v>7.18</v>
    <v>7.66</v>
    <v>9.1900999999999993</v>
    <v>10.27</v>
    <v>10.45</v>
    <v>10.713200000000001</v>
    <v>10.375</v>
    <v>9.1900999999999993</v>
    <v>9.6831999999999994</v>
    <v>9.8800000000000008</v>
    <v>9.16</v>
    <v>7.92</v>
    <v>7.5549999999999997</v>
    <v>7.33</v>
    <v>7.1245000000000003</v>
    <v>6.4649999999999999</v>
    <v>6.65</v>
    <v>7.4050000000000002</v>
    <v>7.52</v>
    <v>6.66</v>
    <v>6.52</v>
    <v>6.2050000000000001</v>
    <v>6.12</v>
    <v>5.78</v>
    <v>5.77</v>
    <v>5.83</v>
    <v>5.2149999999999999</v>
    <v>4.95</v>
    <v>5.77</v>
    <v>5.6</v>
    <v>5.48</v>
    <v>6.31</v>
    <v>6.1</v>
    <v>5.98</v>
    <v>6.15</v>
    <v>7.26</v>
    <v>6.25</v>
    <v>5.93</v>
    <v>6.67</v>
    <v>8.07</v>
    <v>7.6849999999999996</v>
    <v>7.8</v>
    <v>7.47</v>
    <v>7.32</v>
    <v>7.46</v>
    <v>8.52</v>
    <v>8.58</v>
    <v>8.9700000000000006</v>
    <v>8.61</v>
    <v>8.3049999999999997</v>
  </a>
  <a r="1" c="236">
    <v>1.2</v>
    <v>1.25</v>
    <v>1.1399999999999999</v>
    <v>1.19</v>
    <v>1.0900000000000001</v>
    <v>1.1399999999999999</v>
    <v>1.07</v>
    <v>1.05</v>
    <v>1.3</v>
    <v>1.57</v>
    <v>1.59</v>
    <v>1.62</v>
    <v>1.56</v>
    <v>1.57</v>
    <v>1.57</v>
    <v>1.45</v>
    <v>1.55</v>
    <v>1.48</v>
    <v>1.65</v>
    <v>1.63</v>
    <v>1.78</v>
    <v>1.73</v>
    <v>1.8</v>
    <v>1.82</v>
    <v>1.81</v>
    <v>1.86</v>
    <v>1.79</v>
    <v>1.76</v>
    <v>1.86</v>
    <v>1.88</v>
    <v>2.0699999999999998</v>
    <v>2.37</v>
    <v>2.2200000000000002</v>
    <v>1.96</v>
    <v>1.97</v>
    <v>1.85</v>
    <v>1.86</v>
    <v>1.7</v>
    <v>1.71</v>
    <v>1.69</v>
    <v>1.68</v>
    <v>1.88</v>
    <v>1.91</v>
    <v>1.82</v>
    <v>1.74</v>
    <v>1.75</v>
    <v>1.78</v>
    <v>1.73</v>
    <v>1.85</v>
    <v>1.81</v>
    <v>1.89</v>
    <v>1.87</v>
    <v>1.77</v>
    <v>1.82</v>
    <v>1.78</v>
    <v>1.79</v>
    <v>1.66</v>
    <v>1.7</v>
    <v>1.72</v>
    <v>1.72</v>
    <v>1.66</v>
    <v>1.94</v>
    <v>1.95</v>
    <v>1.83</v>
    <v>1.76</v>
    <v>1.62</v>
    <v>1.79</v>
    <v>1.86</v>
    <v>1.95</v>
    <v>2.83</v>
    <v>2.87</v>
    <v>2.79</v>
    <v>2.96</v>
    <v>2.44</v>
    <v>2.36</v>
    <v>2.5499999999999998</v>
    <v>3.69</v>
    <v>3.05</v>
    <v>3.31</v>
    <v>3.28</v>
    <v>3.14</v>
    <v>3.1</v>
    <v>2.98</v>
    <v>3.12</v>
    <v>3.09</v>
    <v>2.91</v>
    <v>3.04</v>
    <v>3.11</v>
    <v>3.14</v>
    <v>2.97</v>
    <v>2.99</v>
    <v>3.3</v>
    <v>3.64</v>
    <v>4.45</v>
    <v>4.47</v>
    <v>4.3899999999999997</v>
    <v>4.3</v>
    <v>4.62</v>
    <v>4.6900000000000004</v>
    <v>4.72</v>
    <v>4.3499999999999996</v>
    <v>4.47</v>
    <v>3.98</v>
    <v>4.21</v>
    <v>4.24</v>
    <v>4.08</v>
    <v>4.0999999999999996</v>
    <v>4.37</v>
    <v>4.24</v>
    <v>4.34</v>
    <v>4.8</v>
    <v>4.34</v>
    <v>5.59</v>
    <v>5.44</v>
    <v>6.75</v>
    <v>6.56</v>
    <v>6.56</v>
    <v>6.61</v>
    <v>7.49</v>
    <v>7.18</v>
    <v>6.81</v>
    <v>6.6</v>
    <v>5.94</v>
    <v>6.38</v>
    <v>7.11</v>
    <v>6.65</v>
    <v>6.56</v>
    <v>6.27</v>
    <v>6.85</v>
    <v>6.57</v>
    <v>7.28</v>
    <v>7.57</v>
    <v>7.68</v>
    <v>7.9</v>
    <v>7.64</v>
    <v>7.06</v>
    <v>7.23</v>
    <v>7.63</v>
    <v>8.1</v>
    <v>7.79</v>
    <v>7.45</v>
    <v>6.61</v>
    <v>6.11</v>
    <v>5.94</v>
    <v>5.87</v>
    <v>5.6449999999999996</v>
    <v>5.1849999999999996</v>
    <v>5.25</v>
    <v>5.52</v>
    <v>5.62</v>
    <v>5.35</v>
    <v>5.31</v>
    <v>5.44</v>
    <v>5.41</v>
    <v>4.92</v>
    <v>4.79</v>
    <v>4.72</v>
    <v>4.67</v>
    <v>4.95</v>
    <v>4.8600000000000003</v>
    <v>5.0599999999999996</v>
    <v>5.37</v>
    <v>5.31</v>
    <v>5.26</v>
    <v>5.36</v>
    <v>5.44</v>
    <v>5.67</v>
    <v>5.12</v>
    <v>5.12</v>
    <v>5.22</v>
    <v>5.2</v>
    <v>5.12</v>
    <v>5.17</v>
    <v>5.52</v>
    <v>5.43</v>
    <v>5.67</v>
    <v>5.49</v>
    <v>5.67</v>
    <v>5.79</v>
    <v>5.77</v>
    <v>6.32</v>
    <v>6.16</v>
    <v>6.56</v>
    <v>6.36</v>
    <v>6.47</v>
    <v>6.37</v>
    <v>6.94</v>
    <v>7.12</v>
    <v>7.41</v>
    <v>7.72</v>
    <v>9.2799999999999994</v>
    <v>9.1199999999999992</v>
    <v>9.3800000000000008</v>
    <v>8.8849999999999998</v>
    <v>10.69</v>
    <v>10.69</v>
    <v>9.61</v>
    <v>8.69</v>
    <v>8.19</v>
    <v>8.3800000000000008</v>
    <v>7.81</v>
    <v>7.26</v>
    <v>7.15</v>
    <v>7.13</v>
    <v>6.88</v>
    <v>6.99</v>
    <v>6.88</v>
    <v>7.12</v>
    <v>7.07</v>
    <v>6.3949999999999996</v>
    <v>5.99</v>
    <v>6</v>
    <v>5.53</v>
    <v>5.73</v>
    <v>5.91</v>
    <v>5.83</v>
    <v>5.64</v>
    <v>5.17</v>
    <v>5.08</v>
    <v>4.8849999999999998</v>
    <v>5.42</v>
    <v>5.35</v>
    <v>5.21</v>
    <v>5.17</v>
    <v>5.34</v>
    <v>5.43</v>
    <v>5.83</v>
    <v>6.96</v>
    <v>6.2850000000000001</v>
    <v>7.4</v>
    <v>7.72</v>
    <v>7.8</v>
    <v>7.59</v>
    <v>7.8</v>
    <v>7.74</v>
    <v>200.78</v>
  </a>
  <a r="1" c="236">
    <v>1.1399999999999999</v>
    <v>1.2</v>
    <v>1.25</v>
    <v>1.1399999999999999</v>
    <v>1.17</v>
    <v>1.1200000000000001</v>
    <v>1.1299999999999999</v>
    <v>1.07</v>
    <v>1.1100000000000001</v>
    <v>1.3</v>
    <v>1.79</v>
    <v>1.63</v>
    <v>1.62</v>
    <v>1.57</v>
    <v>1.58</v>
    <v>1.53</v>
    <v>1.52</v>
    <v>1.57</v>
    <v>1.51</v>
    <v>1.66</v>
    <v>1.58</v>
    <v>1.81</v>
    <v>1.75</v>
    <v>1.81</v>
    <v>1.83</v>
    <v>1.84</v>
    <v>1.88</v>
    <v>1.75</v>
    <v>1.8</v>
    <v>1.84</v>
    <v>1.88</v>
    <v>2.25</v>
    <v>2.29</v>
    <v>2.19</v>
    <v>2.0750000000000002</v>
    <v>1.97</v>
    <v>1.85</v>
    <v>1.9</v>
    <v>1.67</v>
    <v>1.74</v>
    <v>1.65</v>
    <v>1.72</v>
    <v>1.85</v>
    <v>1.93</v>
    <v>1.79</v>
    <v>1.72</v>
    <v>1.78</v>
    <v>1.78</v>
    <v>1.74</v>
    <v>1.85</v>
    <v>1.81</v>
    <v>1.9</v>
    <v>1.86</v>
    <v>1.78</v>
    <v>1.84</v>
    <v>1.8</v>
    <v>1.79</v>
    <v>1.69</v>
    <v>1.98</v>
    <v>1.69</v>
    <v>1.79</v>
    <v>1.64</v>
    <v>1.78</v>
    <v>1.89</v>
    <v>1.65</v>
    <v>1.84</v>
    <v>1.62</v>
    <v>1.74</v>
    <v>1.87</v>
    <v>2.4</v>
    <v>3.5649999999999999</v>
    <v>2.88</v>
    <v>2.78</v>
    <v>2.94</v>
    <v>2.44</v>
    <v>2.37</v>
    <v>2.58</v>
    <v>3.5</v>
    <v>3.28</v>
    <v>3.6</v>
    <v>3.125</v>
    <v>3.08</v>
    <v>3.15</v>
    <v>3.0350000000000001</v>
    <v>3.06</v>
    <v>3.03</v>
    <v>2.9750000000000001</v>
    <v>3.03</v>
    <v>3.17</v>
    <v>3.19</v>
    <v>2.92</v>
    <v>3</v>
    <v>3.4350000000000001</v>
    <v>3.63</v>
    <v>4.54</v>
    <v>4.4779999999999998</v>
    <v>4.3600000000000003</v>
    <v>4.28</v>
    <v>4.8</v>
    <v>4.72</v>
    <v>4.8</v>
    <v>4.3499999999999996</v>
    <v>4.5549999999999997</v>
    <v>4</v>
    <v>4.2149999999999999</v>
    <v>4.2300000000000004</v>
    <v>4.1399999999999997</v>
    <v>4.1399999999999997</v>
    <v>4.38</v>
    <v>4.2</v>
    <v>4.3</v>
    <v>4.55</v>
    <v>4.63</v>
    <v>5.5</v>
    <v>6.0650000000000004</v>
    <v>7.25</v>
    <v>6.6</v>
    <v>6.7450000000000001</v>
    <v>7.31</v>
    <v>7.875</v>
    <v>7</v>
    <v>6.89</v>
    <v>6.5</v>
    <v>5.93</v>
    <v>6.66</v>
    <v>6.92</v>
    <v>6.66</v>
    <v>6.54</v>
    <v>6.75</v>
    <v>6.75</v>
    <v>6.52</v>
    <v>7.4550000000000001</v>
    <v>7.6</v>
    <v>7.6150000000000002</v>
    <v>7.7949999999999999</v>
    <v>7.7949999999999999</v>
    <v>7.01</v>
    <v>7.3</v>
    <v>7.61</v>
    <v>7.9</v>
    <v>7.8</v>
    <v>7.42</v>
    <v>6.43</v>
    <v>6.15</v>
    <v>5.75</v>
    <v>6.6849999999999996</v>
    <v>5.68</v>
    <v>5.18</v>
    <v>5.23</v>
    <v>5.55</v>
    <v>5.52</v>
    <v>5.33</v>
    <v>5.37</v>
    <v>5.335</v>
    <v>5</v>
    <v>4.95</v>
    <v>4.75</v>
    <v>4.6399999999999997</v>
    <v>4.5999999999999996</v>
    <v>4.9349999999999996</v>
    <v>4.9000000000000004</v>
    <v>5</v>
    <v>5.4</v>
    <v>5.31</v>
    <v>5.22</v>
    <v>5.4</v>
    <v>5.51</v>
    <v>5.51</v>
    <v>5.14</v>
    <v>5.12</v>
    <v>5.17</v>
    <v>5.22</v>
    <v>5.1100000000000003</v>
    <v>5.18</v>
    <v>5.52</v>
    <v>5.7750000000000004</v>
    <v>5.58</v>
    <v>5.52</v>
    <v>5.65</v>
    <v>5.81</v>
    <v>5.81</v>
    <v>6.49</v>
    <v>6.01</v>
    <v>6.65</v>
    <v>6.46</v>
    <v>6.39</v>
    <v>6.35</v>
    <v>7.07</v>
    <v>7.25</v>
    <v>7.63</v>
    <v>8.0250000000000004</v>
    <v>9.0399999999999991</v>
    <v>9.6199999999999992</v>
    <v>9.5</v>
    <v>9.26</v>
    <v>10.744999999999999</v>
    <v>10.67</v>
    <v>9.84</v>
    <v>8.1199999999999992</v>
    <v>8.42</v>
    <v>8</v>
    <v>7.42</v>
    <v>7.3250000000000002</v>
    <v>7.35</v>
    <v>6.806</v>
    <v>6.85</v>
    <v>7.2</v>
    <v>7.05</v>
    <v>7.16</v>
    <v>7.05</v>
    <v>6.03</v>
    <v>6.02</v>
    <v>6.11</v>
    <v>5.31</v>
    <v>6.05</v>
    <v>5.82</v>
    <v>5.86</v>
    <v>5.65</v>
    <v>4.96</v>
    <v>5.0650000000000004</v>
    <v>4.8499999999999996</v>
    <v>5.76</v>
    <v>5.49</v>
    <v>5.18</v>
    <v>5.23</v>
    <v>5.32</v>
    <v>5.53</v>
    <v>6.56</v>
    <v>6.61</v>
    <v>6.77</v>
    <v>7.23</v>
    <v>7.43</v>
    <v>7.74</v>
    <v>7.61</v>
    <v>7.6</v>
    <v>198.79</v>
  </a>
  <a r="1" c="236">
    <v>1.2</v>
    <v>1.27</v>
    <v>1.27</v>
    <v>1.19</v>
    <v>1.18</v>
    <v>1.18</v>
    <v>1.1499999999999999</v>
    <v>1.0874999999999999</v>
    <v>1.32</v>
    <v>1.595</v>
    <v>1.88</v>
    <v>1.71</v>
    <v>1.62</v>
    <v>1.59</v>
    <v>1.66</v>
    <v>1.54</v>
    <v>1.61</v>
    <v>1.5779000000000001</v>
    <v>1.7</v>
    <v>1.72</v>
    <v>1.8299000000000001</v>
    <v>1.94</v>
    <v>1.87</v>
    <v>1.87</v>
    <v>1.89</v>
    <v>1.89</v>
    <v>1.88</v>
    <v>1.88</v>
    <v>1.8697999999999999</v>
    <v>1.88</v>
    <v>2.08</v>
    <v>2.5499999999999998</v>
    <v>2.39</v>
    <v>2.2349999999999999</v>
    <v>2.16</v>
    <v>1.97</v>
    <v>1.92</v>
    <v>1.98</v>
    <v>1.79</v>
    <v>1.79</v>
    <v>1.73</v>
    <v>1.89</v>
    <v>2.02</v>
    <v>1.9474</v>
    <v>1.84</v>
    <v>1.78</v>
    <v>1.82</v>
    <v>1.8049999999999999</v>
    <v>1.85</v>
    <v>1.89</v>
    <v>1.89</v>
    <v>1.915</v>
    <v>1.865</v>
    <v>1.82</v>
    <v>1.87</v>
    <v>1.8154999999999999</v>
    <v>1.79</v>
    <v>1.74</v>
    <v>2.1</v>
    <v>2.17</v>
    <v>1.82</v>
    <v>1.95</v>
    <v>1.98</v>
    <v>1.9</v>
    <v>1.8998999999999999</v>
    <v>1.84</v>
    <v>1.81</v>
    <v>1.94</v>
    <v>1.97</v>
    <v>2.87</v>
    <v>3.57</v>
    <v>3.09</v>
    <v>3.15</v>
    <v>2.97</v>
    <v>2.46</v>
    <v>2.6</v>
    <v>3.8</v>
    <v>3.5150000000000001</v>
    <v>3.69</v>
    <v>3.6</v>
    <v>3.14</v>
    <v>3.14</v>
    <v>3.34</v>
    <v>3.12</v>
    <v>3.3</v>
    <v>3.05</v>
    <v>3.07</v>
    <v>3.13</v>
    <v>3.39</v>
    <v>3.22</v>
    <v>3.0750000000000002</v>
    <v>3.46</v>
    <v>3.67</v>
    <v>4.5599999999999996</v>
    <v>4.6349999999999998</v>
    <v>4.84</v>
    <v>4.4195000000000002</v>
    <v>4.75</v>
    <v>5.16</v>
    <v>5.09</v>
    <v>5.0199999999999996</v>
    <v>4.5</v>
    <v>4.59</v>
    <v>4.26</v>
    <v>4.34</v>
    <v>4.25</v>
    <v>4.2300000000000004</v>
    <v>4.42</v>
    <v>4.38</v>
    <v>4.41</v>
    <v>4.9349999999999996</v>
    <v>4.74</v>
    <v>5.66</v>
    <v>5.81</v>
    <v>7.3</v>
    <v>7.4</v>
    <v>6.74</v>
    <v>6.88</v>
    <v>8.1150000000000002</v>
    <v>7.9093999999999998</v>
    <v>7.1475999999999997</v>
    <v>6.9</v>
    <v>6.5350000000000001</v>
    <v>6.45</v>
    <v>7.35</v>
    <v>6.9999000000000002</v>
    <v>6.7599</v>
    <v>6.7</v>
    <v>7.25</v>
    <v>6.93</v>
    <v>7.3</v>
    <v>7.85</v>
    <v>7.69</v>
    <v>8.19</v>
    <v>7.8609999999999998</v>
    <v>8.1</v>
    <v>7.32</v>
    <v>7.68</v>
    <v>8.6300000000000008</v>
    <v>7.99</v>
    <v>7.83</v>
    <v>7.42</v>
    <v>6.49</v>
    <v>6.15</v>
    <v>5.99</v>
    <v>6.69</v>
    <v>5.73</v>
    <v>5.48</v>
    <v>5.61</v>
    <v>5.6881000000000004</v>
    <v>5.5552000000000001</v>
    <v>5.3875000000000002</v>
    <v>5.63</v>
    <v>5.43</v>
    <v>5.0343999999999998</v>
    <v>5.05</v>
    <v>4.7699999999999996</v>
    <v>4.72</v>
    <v>5.0149999999999997</v>
    <v>5.0298999999999996</v>
    <v>5.29</v>
    <v>5.46</v>
    <v>5.41</v>
    <v>5.43</v>
    <v>5.45</v>
    <v>5.59</v>
    <v>5.9021999999999997</v>
    <v>5.52</v>
    <v>5.21</v>
    <v>5.32</v>
    <v>5.29</v>
    <v>5.3650000000000002</v>
    <v>5.29</v>
    <v>5.64</v>
    <v>5.56</v>
    <v>5.98</v>
    <v>5.69</v>
    <v>5.79</v>
    <v>5.9850000000000003</v>
    <v>6.14</v>
    <v>6.44</v>
    <v>6.58</v>
    <v>6.85</v>
    <v>6.67</v>
    <v>6.6</v>
    <v>6.58</v>
    <v>6.99</v>
    <v>7.22</v>
    <v>7.69</v>
    <v>7.9050000000000002</v>
    <v>9.5500000000000007</v>
    <v>9.1300000000000008</v>
    <v>9.8699999999999992</v>
    <v>10.07</v>
    <v>11.35</v>
    <v>10.87</v>
    <v>10.729900000000001</v>
    <v>9.8699999999999992</v>
    <v>8.34</v>
    <v>8.59</v>
    <v>8.15</v>
    <v>7.8</v>
    <v>7.39</v>
    <v>7.54</v>
    <v>7.0460000000000003</v>
    <v>7.02</v>
    <v>7.22</v>
    <v>7.2949999999999999</v>
    <v>7.21</v>
    <v>7.05</v>
    <v>6.2649999999999997</v>
    <v>6.1105999999999998</v>
    <v>6.12</v>
    <v>5.7549999999999999</v>
    <v>6.1349999999999998</v>
    <v>5.8857999999999997</v>
    <v>5.88</v>
    <v>5.67</v>
    <v>5.12</v>
    <v>5.0682</v>
    <v>5.45</v>
    <v>5.87</v>
    <v>5.99</v>
    <v>5.22</v>
    <v>5.3799000000000001</v>
    <v>5.44</v>
    <v>5.9749999999999996</v>
    <v>7.07</v>
    <v>6.66</v>
    <v>7.64</v>
    <v>7.75</v>
    <v>8.08</v>
    <v>7.89</v>
    <v>8.14</v>
    <v>7.86</v>
    <v>200.9</v>
  </a>
  <a r="1" c="236">
    <v>1.1100000000000001</v>
    <v>1.1200000000000001</v>
    <v>1.05</v>
    <v>1.0901000000000001</v>
    <v>1.06</v>
    <v>1.1000000000000001</v>
    <v>1.04</v>
    <v>1.02</v>
    <v>1.1000000000000001</v>
    <v>1.2855000000000001</v>
    <v>1.4650000000000001</v>
    <v>1.3301000000000001</v>
    <v>1.51</v>
    <v>1.415</v>
    <v>1.52</v>
    <v>1.42</v>
    <v>1.4450000000000001</v>
    <v>1.44</v>
    <v>1.47</v>
    <v>1.61</v>
    <v>1.55</v>
    <v>1.71</v>
    <v>1.665</v>
    <v>1.7649999999999999</v>
    <v>1.77</v>
    <v>1.81</v>
    <v>1.7749999999999999</v>
    <v>1.71</v>
    <v>1.78</v>
    <v>1.825</v>
    <v>1.835</v>
    <v>2.2000000000000002</v>
    <v>2.14</v>
    <v>1.92</v>
    <v>1.92</v>
    <v>1.73</v>
    <v>1.84</v>
    <v>1.67</v>
    <v>1.625</v>
    <v>1.65</v>
    <v>1.61</v>
    <v>1.7</v>
    <v>1.8105</v>
    <v>1.794</v>
    <v>1.7050000000000001</v>
    <v>1.66</v>
    <v>1.72</v>
    <v>1.7</v>
    <v>1.74</v>
    <v>1.8</v>
    <v>1.78</v>
    <v>1.86</v>
    <v>1.76</v>
    <v>1.77</v>
    <v>1.7549999999999999</v>
    <v>1.7448999999999999</v>
    <v>1.65</v>
    <v>1.65</v>
    <v>1.69</v>
    <v>1.57</v>
    <v>1.61</v>
    <v>1.61</v>
    <v>1.77</v>
    <v>1.75</v>
    <v>1.65</v>
    <v>1.6</v>
    <v>1.6</v>
    <v>1.7108000000000001</v>
    <v>1.84</v>
    <v>2.15</v>
    <v>2.63</v>
    <v>2.67</v>
    <v>2.72</v>
    <v>2.2200000000000002</v>
    <v>2.2599999999999998</v>
    <v>2.3193999999999999</v>
    <v>2.5750000000000002</v>
    <v>2.915</v>
    <v>3.2650000000000001</v>
    <v>3.11</v>
    <v>2.92</v>
    <v>2.915</v>
    <v>2.9550000000000001</v>
    <v>2.94</v>
    <v>3</v>
    <v>2.8113999999999999</v>
    <v>2.86</v>
    <v>2.98</v>
    <v>3.105</v>
    <v>2.93</v>
    <v>2.83</v>
    <v>3</v>
    <v>3.31</v>
    <v>3.54</v>
    <v>4.3216000000000001</v>
    <v>4.2050000000000001</v>
    <v>4.26</v>
    <v>4.12</v>
    <v>4.34</v>
    <v>4.46</v>
    <v>4.3049999999999997</v>
    <v>4.17</v>
    <v>3.93</v>
    <v>3.94</v>
    <v>4.1550000000000002</v>
    <v>3.98</v>
    <v>4.0599999999999996</v>
    <v>4.0002000000000004</v>
    <v>4.0999999999999996</v>
    <v>3.95</v>
    <v>4.26</v>
    <v>4.33</v>
    <v>4.585</v>
    <v>5.3</v>
    <v>5.91</v>
    <v>6.48</v>
    <v>6.25</v>
    <v>6.31</v>
    <v>7.24</v>
    <v>7.15</v>
    <v>6.71</v>
    <v>6.45</v>
    <v>5.85</v>
    <v>5.83</v>
    <v>6.5350000000000001</v>
    <v>6.5350000000000001</v>
    <v>6.29</v>
    <v>6.27</v>
    <v>6.6</v>
    <v>6.5</v>
    <v>6.33</v>
    <v>7.12</v>
    <v>7.19</v>
    <v>7.42</v>
    <v>7.51</v>
    <v>7</v>
    <v>6.73</v>
    <v>7.21</v>
    <v>7.59</v>
    <v>7.67</v>
    <v>7.4</v>
    <v>6.58</v>
    <v>5.96</v>
    <v>5.66</v>
    <v>5.47</v>
    <v>5.28</v>
    <v>5.18</v>
    <v>5.1100000000000003</v>
    <v>5.2206000000000001</v>
    <v>5.47</v>
    <v>5.23</v>
    <v>5.2350000000000003</v>
    <v>5.25</v>
    <v>5.2</v>
    <v>4.5934999999999997</v>
    <v>4.74</v>
    <v>4.49</v>
    <v>4.3715999999999999</v>
    <v>4.57</v>
    <v>4.835</v>
    <v>4.88</v>
    <v>4.9000000000000004</v>
    <v>5.13</v>
    <v>5.24</v>
    <v>5.01</v>
    <v>5.16</v>
    <v>5.46</v>
    <v>5.0599999999999996</v>
    <v>4.93</v>
    <v>5.0731999999999999</v>
    <v>5.05</v>
    <v>5.04</v>
    <v>5.0599999999999996</v>
    <v>5.13</v>
    <v>5.26</v>
    <v>5.5350000000000001</v>
    <v>5.35</v>
    <v>5.34</v>
    <v>5.6483999999999996</v>
    <v>5.68</v>
    <v>5.8</v>
    <v>6.13</v>
    <v>5.8</v>
    <v>6.3</v>
    <v>6.2329999999999997</v>
    <v>6.25</v>
    <v>6.3</v>
    <v>6.9349999999999996</v>
    <v>7.11</v>
    <v>7.3212000000000002</v>
    <v>7.96</v>
    <v>8.5101999999999993</v>
    <v>9.06</v>
    <v>8.8049999999999997</v>
    <v>9.2200000000000006</v>
    <v>9.75</v>
    <v>9.31</v>
    <v>8.5299999999999994</v>
    <v>8.01</v>
    <v>7.92</v>
    <v>7.73</v>
    <v>6.9749999999999996</v>
    <v>7.125</v>
    <v>7.11</v>
    <v>6.64</v>
    <v>6.71</v>
    <v>6.78</v>
    <v>6.79</v>
    <v>6.96</v>
    <v>6.26</v>
    <v>5.9225000000000003</v>
    <v>5.8849999999999998</v>
    <v>5.5</v>
    <v>5.29</v>
    <v>5.9</v>
    <v>5.6050000000000004</v>
    <v>5.49</v>
    <v>5.14</v>
    <v>4.8</v>
    <v>4.75</v>
    <v>4.79</v>
    <v>5.34</v>
    <v>5.2</v>
    <v>4.87</v>
    <v>5.15</v>
    <v>5.03</v>
    <v>5.47</v>
    <v>6.2786</v>
    <v>6.26</v>
    <v>6.72</v>
    <v>7.0145</v>
    <v>7.3</v>
    <v>7.57</v>
    <v>7.59</v>
    <v>7.35</v>
    <v>198.79</v>
  </a>
  <a r="1" c="236">
    <v>1642362</v>
    <v>2020511</v>
    <v>4071635</v>
    <v>1177824</v>
    <v>1574014</v>
    <v>1568636</v>
    <v>1595203</v>
    <v>978372</v>
    <v>6703346</v>
    <v>11496000</v>
    <v>16346691</v>
    <v>8499631</v>
    <v>2217276</v>
    <v>2942882</v>
    <v>2686295</v>
    <v>1886184</v>
    <v>1775529</v>
    <v>1504950</v>
    <v>2384540</v>
    <v>1920745</v>
    <v>4313738</v>
    <v>5689668</v>
    <v>2460574</v>
    <v>2570729</v>
    <v>1986131</v>
    <v>2353404</v>
    <v>1600092</v>
    <v>2131359</v>
    <v>1734190</v>
    <v>1318644</v>
    <v>4284689</v>
    <v>10624521</v>
    <v>3553202</v>
    <v>3712877</v>
    <v>2698484</v>
    <v>2542928</v>
    <v>891357</v>
    <v>2194487</v>
    <v>1886166</v>
    <v>1345165</v>
    <v>1784230</v>
    <v>2621956</v>
    <v>3182482</v>
    <v>1495222</v>
    <v>1702953</v>
    <v>1286017</v>
    <v>803587</v>
    <v>972294</v>
    <v>774169</v>
    <v>1252246</v>
    <v>1072712</v>
    <v>1044477</v>
    <v>920632</v>
    <v>1903139</v>
    <v>1298689</v>
    <v>910547</v>
    <v>1890880</v>
    <v>1550093</v>
    <v>9627535</v>
    <v>13344857</v>
    <v>7306110</v>
    <v>4811843</v>
    <v>3888720</v>
    <v>3012836</v>
    <v>3025602</v>
    <v>4067528</v>
    <v>2461576</v>
    <v>3443549</v>
    <v>2134063</v>
    <v>29891681</v>
    <v>40977152</v>
    <v>16223548</v>
    <v>13155765</v>
    <v>12240575</v>
    <v>4174226</v>
    <v>6193965</v>
    <v>65605673</v>
    <v>21902277</v>
    <v>15387781</v>
    <v>14185313</v>
    <v>6421673</v>
    <v>6190844</v>
    <v>8583164</v>
    <v>5554109</v>
    <v>7052955</v>
    <v>6272791</v>
    <v>3992129</v>
    <v>4122261</v>
    <v>9292268</v>
    <v>5861433</v>
    <v>7603880</v>
    <v>11650827</v>
    <v>9806617</v>
    <v>24111766</v>
    <v>11757769</v>
    <v>11646238</v>
    <v>4915522</v>
    <v>11417859</v>
    <v>22676511</v>
    <v>9995710</v>
    <v>8757407</v>
    <v>8799696</v>
    <v>9150959</v>
    <v>4822264</v>
    <v>4839744</v>
    <v>5138828</v>
    <v>2691386</v>
    <v>5899053</v>
    <v>4224190</v>
    <v>6405276</v>
    <v>12152227</v>
    <v>6791297</v>
    <v>23778430</v>
    <v>13568984</v>
    <v>47177221</v>
    <v>20893440</v>
    <v>8766006</v>
    <v>8655809</v>
    <v>28380661</v>
    <v>15489520</v>
    <v>9439325</v>
    <v>8932927</v>
    <v>12028098</v>
    <v>13645960</v>
    <v>19253357</v>
    <v>10204685</v>
    <v>8169929</v>
    <v>6840836</v>
    <v>17737333</v>
    <v>8048613</v>
    <v>13757613</v>
    <v>17875305</v>
    <v>10540373</v>
    <v>12946854</v>
    <v>10138628</v>
    <v>15144962</v>
    <v>7962696</v>
    <v>8021374</v>
    <v>16059648</v>
    <v>7447091</v>
    <v>6559219</v>
    <v>11524770</v>
    <v>13143406</v>
    <v>12807860</v>
    <v>19265525</v>
    <v>33077789</v>
    <v>14925078</v>
    <v>8367969</v>
    <v>7173546</v>
    <v>5644165</v>
    <v>7644053</v>
    <v>4678334</v>
    <v>6153939</v>
    <v>8758697</v>
    <v>17505048</v>
    <v>6680987</v>
    <v>10622299</v>
    <v>6794273</v>
    <v>9552513</v>
    <v>8080925</v>
    <v>12875327</v>
    <v>9834787</v>
    <v>6931739</v>
    <v>4878954</v>
    <v>13342223</v>
    <v>9719656</v>
    <v>11505504</v>
    <v>9250759</v>
    <v>5672470</v>
    <v>4980924</v>
    <v>3991834</v>
    <v>4196497</v>
    <v>4657846</v>
    <v>7436145</v>
    <v>5056344</v>
    <v>7882987</v>
    <v>5324307</v>
    <v>5467481</v>
    <v>7321049</v>
    <v>10762091</v>
    <v>12092408</v>
    <v>8889022</v>
    <v>16032852</v>
    <v>6696970</v>
    <v>5044270</v>
    <v>4216258</v>
    <v>9077249</v>
    <v>7024420</v>
    <v>10655414</v>
    <v>11383287</v>
    <v>33987747</v>
    <v>16003195</v>
    <v>16173166</v>
    <v>19925965</v>
    <v>28349972</v>
    <v>21740533</v>
    <v>16493130</v>
    <v>14080541</v>
    <v>8962420</v>
    <v>6698854</v>
    <v>7096584</v>
    <v>13034521</v>
    <v>4560245</v>
    <v>5267178</v>
    <v>8620708</v>
    <v>5964886</v>
    <v>5523057</v>
    <v>7029331</v>
    <v>4869539</v>
    <v>8004884</v>
    <v>5894454</v>
    <v>5285564</v>
    <v>8908625</v>
    <v>8499583</v>
    <v>5322408</v>
    <v>4969265</v>
    <v>4284777</v>
    <v>7080003</v>
    <v>9796592</v>
    <v>5825015</v>
    <v>11619425</v>
    <v>14352595</v>
    <v>9546498</v>
    <v>5792363</v>
    <v>4197811</v>
    <v>4461081</v>
    <v>16260282</v>
    <v>17733538</v>
    <v>11619603</v>
    <v>23049762</v>
    <v>11020068</v>
    <v>10816788</v>
    <v>6135868</v>
    <v>9863591</v>
    <v>5847717</v>
    <v>245881</v>
  </a>
  <a r="1" c="236">
    <v>2.59</v>
    <v>2.89</v>
    <v>2.84</v>
    <v>3.25</v>
    <v>3.01</v>
    <v>2.78</v>
    <v>2.67</v>
    <v>2.59</v>
    <v>2.6</v>
    <v>2.54</v>
    <v>2.5099999999999998</v>
    <v>2.58</v>
    <v>2.65</v>
    <v>2.77</v>
    <v>2.52</v>
    <v>2.5</v>
    <v>2.4500000000000002</v>
    <v>2.42</v>
    <v>2.4</v>
    <v>2.31</v>
    <v>2.27</v>
    <v>2.41</v>
    <v>2.4500000000000002</v>
    <v>2.41</v>
    <v>2.38</v>
    <v>2.2799999999999998</v>
    <v>2.23</v>
    <v>2.2799999999999998</v>
    <v>2.29</v>
    <v>2.27</v>
    <v>2.3199999999999998</v>
    <v>2.2999999999999998</v>
    <v>2.27</v>
    <v>2.21</v>
    <v>2.08</v>
    <v>2.0499999999999998</v>
    <v>1.98</v>
    <v>1.97</v>
    <v>1.97</v>
    <v>1.82</v>
    <v>1.82</v>
    <v>1.87</v>
    <v>1.89</v>
    <v>2.02</v>
    <v>1.88</v>
    <v>2.29</v>
    <v>2.2400000000000002</v>
    <v>2.21</v>
    <v>2.14</v>
    <v>2.09</v>
    <v>1.96</v>
    <v>1.98</v>
    <v>1.96</v>
    <v>1.89</v>
    <v>1.96</v>
    <v>1.94</v>
    <v>1.88</v>
    <v>1.87</v>
    <v>1.82</v>
    <v>1.76</v>
    <v>1.75</v>
    <v>1.79</v>
    <v>1.66</v>
    <v>1.66</v>
    <v>1.8</v>
    <v>1.66</v>
    <v>1.79</v>
    <v>1.75</v>
    <v>1.99</v>
    <v>2.02</v>
    <v>2.02</v>
    <v>1.88</v>
    <v>1.97</v>
    <v>1.98</v>
    <v>2.06</v>
    <v>2.08</v>
    <v>2.13</v>
    <v>2.13</v>
    <v>2.16</v>
    <v>2.1800000000000002</v>
    <v>2.25</v>
    <v>2.27</v>
    <v>2.46</v>
    <v>2.38</v>
    <v>2.09</v>
    <v>2.04</v>
    <v>2.1</v>
    <v>2.09</v>
    <v>2.15</v>
    <v>2.19</v>
    <v>2.17</v>
    <v>2.2400000000000002</v>
    <v>2.2599999999999998</v>
    <v>2.2999999999999998</v>
    <v>2.17</v>
    <v>2.0299999999999998</v>
    <v>2.25</v>
    <v>2.2999999999999998</v>
    <v>2.2400000000000002</v>
    <v>2.2000000000000002</v>
    <v>2.2599999999999998</v>
    <v>2.12</v>
    <v>2.34</v>
    <v>2.4500000000000002</v>
    <v>2.4500000000000002</v>
    <v>2.48</v>
    <v>2.48</v>
    <v>2.5099999999999998</v>
    <v>2.5299999999999998</v>
    <v>2.2000000000000002</v>
    <v>1.81</v>
    <v>1.73</v>
    <v>1.86</v>
    <v>1.71</v>
    <v>1.79</v>
    <v>1.97</v>
    <v>2.0299999999999998</v>
    <v>2.0499999999999998</v>
    <v>1.88</v>
    <v>1.97</v>
    <v>1.93</v>
    <v>1.95</v>
    <v>1.94</v>
    <v>2.0499999999999998</v>
    <v>2.09</v>
    <v>2.08</v>
    <v>2.0499999999999998</v>
    <v>2.37</v>
    <v>2.31</v>
    <v>2.2000000000000002</v>
    <v>2.14</v>
    <v>2.13</v>
    <v>2.23</v>
    <v>2.2400000000000002</v>
    <v>2.2999999999999998</v>
    <v>2.35</v>
    <v>2.35</v>
    <v>2.56</v>
    <v>2.5099999999999998</v>
    <v>2.5</v>
    <v>2.5499999999999998</v>
    <v>2.46</v>
    <v>2.41</v>
    <v>2.36</v>
    <v>2.23</v>
    <v>2.31</v>
    <v>2.37</v>
    <v>2.35</v>
    <v>2.34</v>
    <v>2.2999999999999998</v>
    <v>2.2400000000000002</v>
    <v>2.3199999999999998</v>
    <v>2.61</v>
    <v>2.76</v>
    <v>2.75</v>
    <v>2.9</v>
    <v>2.69</v>
    <v>2.71</v>
    <v>2.74</v>
    <v>2.9</v>
    <v>2.88</v>
    <v>2.98</v>
    <v>2.95</v>
    <v>2.92</v>
    <v>2.97</v>
    <v>2.95</v>
    <v>3.15</v>
    <v>3.42</v>
    <v>3.9</v>
    <v>3.49</v>
    <v>3.35</v>
    <v>3.32</v>
    <v>3.35</v>
    <v>3.14</v>
    <v>3.15</v>
    <v>3.27</v>
    <v>3.26</v>
    <v>3.17</v>
    <v>3.22</v>
    <v>3.27</v>
    <v>3.22</v>
    <v>3.24</v>
    <v>3.01</v>
    <v>3.2</v>
    <v>3.22</v>
    <v>3.7</v>
    <v>3.7</v>
    <v>3.71</v>
    <v>3.71</v>
    <v>3.77</v>
    <v>3.66</v>
    <v>3.72</v>
    <v>3.75</v>
    <v>3.74</v>
    <v>3.68</v>
    <v>3.55</v>
    <v>3.77</v>
    <v>3.63</v>
    <v>3.41</v>
    <v>3.7</v>
    <v>4.21</v>
    <v>4.1500000000000004</v>
    <v>4.3899999999999997</v>
    <v>4.8499999999999996</v>
    <v>5.04</v>
    <v>5.37</v>
    <v>5.26</v>
    <v>5.15</v>
    <v>5.22</v>
    <v>5.17</v>
    <v>4.83</v>
    <v>4.92</v>
    <v>5.0199999999999996</v>
    <v>4.7300000000000004</v>
    <v>4.6399999999999997</v>
    <v>4.9800000000000004</v>
    <v>4.93</v>
    <v>4.6900000000000004</v>
    <v>4.8600000000000003</v>
    <v>4.67</v>
    <v>4.8</v>
    <v>7.15</v>
    <v>7.01</v>
    <v>6.99</v>
    <v>7.41</v>
    <v>7.88</v>
    <v>8.01</v>
    <v>8.0299999999999994</v>
    <v>7.88</v>
    <v>7.47</v>
    <v>8.3699999999999992</v>
    <v>8.31</v>
    <v>8.5500000000000007</v>
    <v>8.58</v>
    <v>8</v>
    <v>7.84</v>
  </a>
  <a r="1" c="236">
    <v>2.68</v>
    <v>2.63</v>
    <v>2.95</v>
    <v>2.96</v>
    <v>3.32</v>
    <v>2.91</v>
    <v>2.68</v>
    <v>2.64</v>
    <v>2.66</v>
    <v>2.59</v>
    <v>2.57</v>
    <v>2.5499999999999998</v>
    <v>2.57</v>
    <v>2.69</v>
    <v>2.77</v>
    <v>2.556</v>
    <v>2.48</v>
    <v>2.4300000000000002</v>
    <v>2.48</v>
    <v>2.39</v>
    <v>2.2799999999999998</v>
    <v>2.25</v>
    <v>2.4500000000000002</v>
    <v>2.46</v>
    <v>2.41</v>
    <v>2.4</v>
    <v>2.27</v>
    <v>2.21</v>
    <v>2.31</v>
    <v>2.33</v>
    <v>2.2999999999999998</v>
    <v>2.2999999999999998</v>
    <v>2.2999999999999998</v>
    <v>2.2999999999999998</v>
    <v>2.2200000000000002</v>
    <v>2.08</v>
    <v>2.08</v>
    <v>1.97</v>
    <v>1.95</v>
    <v>2.1</v>
    <v>1.78</v>
    <v>1.8</v>
    <v>1.86</v>
    <v>1.89</v>
    <v>1.8</v>
    <v>1.89</v>
    <v>2.3199999999999998</v>
    <v>2.2400000000000002</v>
    <v>2.2400000000000002</v>
    <v>2.15</v>
    <v>2.0699999999999998</v>
    <v>1.95</v>
    <v>1.99</v>
    <v>1.92</v>
    <v>1.93</v>
    <v>1.96</v>
    <v>1.95</v>
    <v>1.9</v>
    <v>1.88</v>
    <v>1.79</v>
    <v>1.76</v>
    <v>1.74</v>
    <v>1.68</v>
    <v>1.69</v>
    <v>1.6</v>
    <v>1.87</v>
    <v>1.64</v>
    <v>1.74</v>
    <v>1.79</v>
    <v>2.0099999999999998</v>
    <v>2</v>
    <v>2</v>
    <v>1.9</v>
    <v>1.95</v>
    <v>2.0099999999999998</v>
    <v>2.14</v>
    <v>2.09</v>
    <v>2.1</v>
    <v>2.14</v>
    <v>2.15</v>
    <v>2.15</v>
    <v>2.25</v>
    <v>2.31</v>
    <v>2.4350000000000001</v>
    <v>2.35</v>
    <v>2.11</v>
    <v>2.2200000000000002</v>
    <v>2.1</v>
    <v>2.19</v>
    <v>2.1800000000000002</v>
    <v>2.1800000000000002</v>
    <v>2.15</v>
    <v>2.2400000000000002</v>
    <v>2.2200000000000002</v>
    <v>2.2999999999999998</v>
    <v>2.16</v>
    <v>2.0499999999999998</v>
    <v>2.19</v>
    <v>2.36</v>
    <v>2.25</v>
    <v>2.2200000000000002</v>
    <v>2.2400000000000002</v>
    <v>2.17</v>
    <v>2.33</v>
    <v>2.5</v>
    <v>2.46</v>
    <v>2.5299999999999998</v>
    <v>2.52</v>
    <v>2.54</v>
    <v>2.5299999999999998</v>
    <v>2.2000000000000002</v>
    <v>1.81</v>
    <v>1.66</v>
    <v>1.85</v>
    <v>1.73</v>
    <v>1.92</v>
    <v>2</v>
    <v>2.06</v>
    <v>2.0299999999999998</v>
    <v>1.87</v>
    <v>1.97</v>
    <v>1.98</v>
    <v>1.95</v>
    <v>1.93</v>
    <v>2.0499999999999998</v>
    <v>2.08</v>
    <v>2.09</v>
    <v>2.14</v>
    <v>2.38</v>
    <v>2.2799999999999998</v>
    <v>2.21</v>
    <v>2.14</v>
    <v>2.17</v>
    <v>2.23</v>
    <v>2.2799999999999998</v>
    <v>2.37</v>
    <v>2.35</v>
    <v>2.4</v>
    <v>2.5299999999999998</v>
    <v>2.5</v>
    <v>2.52</v>
    <v>2.5499999999999998</v>
    <v>2.4700000000000002</v>
    <v>2.34</v>
    <v>2.2799999999999998</v>
    <v>2.2400000000000002</v>
    <v>2.33</v>
    <v>2.38</v>
    <v>2.33</v>
    <v>2.42</v>
    <v>2.2999999999999998</v>
    <v>2.25</v>
    <v>2.35</v>
    <v>2.68</v>
    <v>2.77</v>
    <v>2.76</v>
    <v>2.9</v>
    <v>2.68</v>
    <v>2.69</v>
    <v>2.77</v>
    <v>2.91</v>
    <v>2.88</v>
    <v>2.99</v>
    <v>2.98</v>
    <v>2.94</v>
    <v>2.95</v>
    <v>3.01</v>
    <v>3.21</v>
    <v>3.48</v>
    <v>3.82</v>
    <v>3.57</v>
    <v>3.38</v>
    <v>3.28</v>
    <v>3.34</v>
    <v>3.16</v>
    <v>3.14</v>
    <v>3.25</v>
    <v>3.32</v>
    <v>3.22</v>
    <v>3.23</v>
    <v>3.26</v>
    <v>3.25</v>
    <v>3.17</v>
    <v>3.04</v>
    <v>3.2349999999999999</v>
    <v>3.38</v>
    <v>3.7349999999999999</v>
    <v>3.74</v>
    <v>3.75</v>
    <v>3.78</v>
    <v>3.76</v>
    <v>3.64</v>
    <v>3.72</v>
    <v>3.81</v>
    <v>3.82</v>
    <v>3.66</v>
    <v>3.61</v>
    <v>3.8</v>
    <v>3.55</v>
    <v>3.47</v>
    <v>3.68</v>
    <v>4.13</v>
    <v>4.3099999999999996</v>
    <v>4.42</v>
    <v>4.92</v>
    <v>5.04</v>
    <v>5.4</v>
    <v>5.1100000000000003</v>
    <v>5.12</v>
    <v>5.34</v>
    <v>5.15</v>
    <v>4.7</v>
    <v>4.87</v>
    <v>4.8899999999999997</v>
    <v>4.8099999999999996</v>
    <v>4.5999999999999996</v>
    <v>5</v>
    <v>4.8499999999999996</v>
    <v>4.57</v>
    <v>4.8099999999999996</v>
    <v>4.6500000000000004</v>
    <v>4.99</v>
    <v>7.1950000000000003</v>
    <v>6.94</v>
    <v>7.08</v>
    <v>7.47</v>
    <v>7.87</v>
    <v>8.1199999999999992</v>
    <v>7.93</v>
    <v>7.88</v>
    <v>7.7</v>
    <v>8.3000000000000007</v>
    <v>8.33</v>
    <v>8.7650000000000006</v>
    <v>8.52</v>
    <v>7.94</v>
  </a>
  <a r="1" c="236">
    <v>2.7349999999999999</v>
    <v>2.89</v>
    <v>3.02</v>
    <v>3.4550000000000001</v>
    <v>3.32</v>
    <v>2.99</v>
    <v>2.7</v>
    <v>2.65</v>
    <v>2.7650000000000001</v>
    <v>2.61</v>
    <v>2.605</v>
    <v>2.66</v>
    <v>2.73</v>
    <v>2.82</v>
    <v>2.82</v>
    <v>2.5750000000000002</v>
    <v>2.48</v>
    <v>2.5099999999999998</v>
    <v>2.54</v>
    <v>2.4906999999999999</v>
    <v>2.36</v>
    <v>2.4251999999999998</v>
    <v>2.4700000000000002</v>
    <v>2.46</v>
    <v>2.42</v>
    <v>2.41</v>
    <v>2.3250000000000002</v>
    <v>2.31</v>
    <v>2.335</v>
    <v>2.3799000000000001</v>
    <v>2.375</v>
    <v>2.355</v>
    <v>2.3199000000000001</v>
    <v>2.33</v>
    <v>2.2400000000000002</v>
    <v>2.0950000000000002</v>
    <v>2.13</v>
    <v>2.06</v>
    <v>2.02</v>
    <v>2.19</v>
    <v>1.84</v>
    <v>1.89</v>
    <v>1.9</v>
    <v>2.0649999999999999</v>
    <v>1.92</v>
    <v>2.35</v>
    <v>2.42</v>
    <v>2.2949999999999999</v>
    <v>2.3149999999999999</v>
    <v>2.17</v>
    <v>2.09</v>
    <v>2</v>
    <v>1.99</v>
    <v>1.9350000000000001</v>
    <v>1.9750000000000001</v>
    <v>2.04</v>
    <v>1.96</v>
    <v>1.905</v>
    <v>1.885</v>
    <v>1.79</v>
    <v>1.7849999999999999</v>
    <v>1.85</v>
    <v>1.7450000000000001</v>
    <v>1.69</v>
    <v>1.83</v>
    <v>1.9</v>
    <v>1.84</v>
    <v>1.7749999999999999</v>
    <v>2.0299999999999998</v>
    <v>2.08</v>
    <v>2.06</v>
    <v>2.06</v>
    <v>2</v>
    <v>2.0499999999999998</v>
    <v>2.11</v>
    <v>2.23</v>
    <v>2.15</v>
    <v>2.14</v>
    <v>2.2200000000000002</v>
    <v>2.2000000000000002</v>
    <v>2.27</v>
    <v>2.29</v>
    <v>2.54</v>
    <v>2.52</v>
    <v>2.4344000000000001</v>
    <v>2.14</v>
    <v>2.2999999999999998</v>
    <v>2.145</v>
    <v>2.25</v>
    <v>2.2299000000000002</v>
    <v>2.2349999999999999</v>
    <v>2.2599999999999998</v>
    <v>2.29</v>
    <v>2.39</v>
    <v>2.2999999999999998</v>
    <v>2.2050000000000001</v>
    <v>2.2599999999999998</v>
    <v>2.33</v>
    <v>2.415</v>
    <v>2.35</v>
    <v>2.2799999999999998</v>
    <v>2.27</v>
    <v>2.375</v>
    <v>2.46</v>
    <v>2.5299999999999998</v>
    <v>2.5350000000000001</v>
    <v>2.61</v>
    <v>2.5299999999999998</v>
    <v>2.65</v>
    <v>2.72</v>
    <v>2.23</v>
    <v>1.82</v>
    <v>1.885</v>
    <v>1.86</v>
    <v>1.8149999999999999</v>
    <v>2.0099</v>
    <v>2.0299999999999998</v>
    <v>2.14</v>
    <v>2.0499999999999998</v>
    <v>1.97</v>
    <v>2.0299999999999998</v>
    <v>2.1</v>
    <v>1.97</v>
    <v>2.0699999999999998</v>
    <v>2.12</v>
    <v>2.15</v>
    <v>2.14</v>
    <v>2.4300000000000002</v>
    <v>2.4</v>
    <v>2.31</v>
    <v>2.2349999999999999</v>
    <v>2.23</v>
    <v>2.29</v>
    <v>2.3250000000000002</v>
    <v>2.4</v>
    <v>2.48</v>
    <v>2.4087999999999998</v>
    <v>2.57</v>
    <v>2.62</v>
    <v>2.57</v>
    <v>2.76</v>
    <v>2.58</v>
    <v>2.5550000000000002</v>
    <v>2.4550000000000001</v>
    <v>2.3199999999999998</v>
    <v>2.31</v>
    <v>2.41</v>
    <v>2.38</v>
    <v>2.5</v>
    <v>2.5499000000000001</v>
    <v>2.33</v>
    <v>2.33</v>
    <v>2.71</v>
    <v>2.7650000000000001</v>
    <v>2.8650000000000002</v>
    <v>2.92</v>
    <v>2.92</v>
    <v>2.73</v>
    <v>2.85</v>
    <v>2.98</v>
    <v>2.98</v>
    <v>3.0289000000000001</v>
    <v>3.0497000000000001</v>
    <v>3.0773999999999999</v>
    <v>2.99</v>
    <v>3.0249999999999999</v>
    <v>3.19</v>
    <v>3.48</v>
    <v>4.0899000000000001</v>
    <v>3.83</v>
    <v>3.58</v>
    <v>3.4081999999999999</v>
    <v>3.44</v>
    <v>3.35</v>
    <v>3.2044999999999999</v>
    <v>3.41</v>
    <v>3.4</v>
    <v>3.46</v>
    <v>3.29</v>
    <v>3.29</v>
    <v>3.3</v>
    <v>3.395</v>
    <v>3.21</v>
    <v>3.2565</v>
    <v>3.3</v>
    <v>3.95</v>
    <v>3.83</v>
    <v>3.77</v>
    <v>3.85</v>
    <v>3.875</v>
    <v>3.7898000000000001</v>
    <v>3.7949999999999999</v>
    <v>3.81</v>
    <v>3.82</v>
    <v>3.82</v>
    <v>3.66</v>
    <v>3.8</v>
    <v>3.835</v>
    <v>3.6150000000000002</v>
    <v>3.7050000000000001</v>
    <v>4.21</v>
    <v>4.32</v>
    <v>4.4000000000000004</v>
    <v>4.87</v>
    <v>5.12</v>
    <v>5.4450000000000003</v>
    <v>5.55</v>
    <v>5.4</v>
    <v>5.3265000000000002</v>
    <v>5.38</v>
    <v>5.19</v>
    <v>4.9950000000000001</v>
    <v>5.17</v>
    <v>5.04</v>
    <v>4.87</v>
    <v>5.03</v>
    <v>5.15</v>
    <v>4.9450000000000003</v>
    <v>5.35</v>
    <v>4.9124999999999996</v>
    <v>4.95</v>
    <v>7.35</v>
    <v>7.5</v>
    <v>7.14</v>
    <v>7.4850000000000003</v>
    <v>7.93</v>
    <v>8.24</v>
    <v>8.14</v>
    <v>8.0350999999999999</v>
    <v>7.93</v>
    <v>8.3849999999999998</v>
    <v>8.5649999999999995</v>
    <v>8.6999999999999993</v>
    <v>8.9522999999999993</v>
    <v>8.81</v>
    <v>8.0500000000000007</v>
  </a>
  <a r="1" c="236">
    <v>2.5649999999999999</v>
    <v>2.605</v>
    <v>2.81</v>
    <v>2.96</v>
    <v>2.92</v>
    <v>2.73</v>
    <v>2.44</v>
    <v>2.5</v>
    <v>2.4950000000000001</v>
    <v>2.4750000000000001</v>
    <v>2.4700000000000002</v>
    <v>2.5</v>
    <v>2.5499999999999998</v>
    <v>2.61</v>
    <v>2.5</v>
    <v>2.41</v>
    <v>2.391</v>
    <v>2.4049999999999998</v>
    <v>2.38</v>
    <v>2.29</v>
    <v>2.2250000000000001</v>
    <v>2.23</v>
    <v>2.35</v>
    <v>2.38</v>
    <v>2.29</v>
    <v>2.2730000000000001</v>
    <v>2.2200000000000002</v>
    <v>2.16</v>
    <v>2.25</v>
    <v>2.2599999999999998</v>
    <v>2.2599999999999998</v>
    <v>2.2799999999999998</v>
    <v>2.25</v>
    <v>2.2000000000000002</v>
    <v>2.08</v>
    <v>1.97</v>
    <v>1.97</v>
    <v>1.96</v>
    <v>1.89</v>
    <v>1.8</v>
    <v>1.7050000000000001</v>
    <v>1.71</v>
    <v>1.8</v>
    <v>1.8</v>
    <v>1.76</v>
    <v>1.82</v>
    <v>2.1800000000000002</v>
    <v>2.0950000000000002</v>
    <v>2.11</v>
    <v>2.04</v>
    <v>1.93</v>
    <v>1.9</v>
    <v>1.9</v>
    <v>1.86</v>
    <v>1.845</v>
    <v>1.911</v>
    <v>1.85</v>
    <v>1.85</v>
    <v>1.8</v>
    <v>1.6950000000000001</v>
    <v>1.66</v>
    <v>1.72</v>
    <v>1.64</v>
    <v>1.57</v>
    <v>1.54</v>
    <v>1.62</v>
    <v>1.61</v>
    <v>1.62</v>
    <v>1.7211000000000001</v>
    <v>1.92</v>
    <v>1.95</v>
    <v>1.8149999999999999</v>
    <v>1.885</v>
    <v>1.9</v>
    <v>1.98</v>
    <v>2.0499999999999998</v>
    <v>2.06</v>
    <v>2.06</v>
    <v>2.13</v>
    <v>2.1</v>
    <v>2.1240000000000001</v>
    <v>2.2000000000000002</v>
    <v>2.31</v>
    <v>2.38</v>
    <v>2.08</v>
    <v>2</v>
    <v>1.98</v>
    <v>2.0299999999999998</v>
    <v>2.1</v>
    <v>2.1</v>
    <v>2.09</v>
    <v>2.12</v>
    <v>2.2008000000000001</v>
    <v>2.2149999999999999</v>
    <v>2.1</v>
    <v>2.0099999999999998</v>
    <v>2</v>
    <v>2.165</v>
    <v>2.23</v>
    <v>2.1349999999999998</v>
    <v>2.1800000000000002</v>
    <v>2.11</v>
    <v>2.16</v>
    <v>2.2799999999999998</v>
    <v>2.4300000000000002</v>
    <v>2.39</v>
    <v>2.4550000000000001</v>
    <v>2.41</v>
    <v>2.4849999999999999</v>
    <v>1.97</v>
    <v>1.8</v>
    <v>1.69</v>
    <v>1.57</v>
    <v>1.71</v>
    <v>1.58</v>
    <v>1.84</v>
    <v>1.91</v>
    <v>2.0299999999999998</v>
    <v>1.86</v>
    <v>1.81</v>
    <v>1.92</v>
    <v>1.95</v>
    <v>1.865</v>
    <v>1.9</v>
    <v>2.0099999999999998</v>
    <v>2.0350000000000001</v>
    <v>2.0326</v>
    <v>2.14</v>
    <v>2.25</v>
    <v>2.17</v>
    <v>2.06</v>
    <v>2.08</v>
    <v>2.15</v>
    <v>2.2000000000000002</v>
    <v>2.2400000000000002</v>
    <v>2.3199999999999998</v>
    <v>2.3199999999999998</v>
    <v>2.3616999999999999</v>
    <v>2.4700000000000002</v>
    <v>2.46</v>
    <v>2.5150000000000001</v>
    <v>2.4249999999999998</v>
    <v>2.35</v>
    <v>2.33</v>
    <v>2.2200000000000002</v>
    <v>2.2200000000000002</v>
    <v>2.2599999999999998</v>
    <v>2.25</v>
    <v>2.19</v>
    <v>2.29</v>
    <v>2.1800000000000002</v>
    <v>2.21</v>
    <v>2.335</v>
    <v>2.59</v>
    <v>2.72</v>
    <v>2.72</v>
    <v>2.6749999999999998</v>
    <v>2.57</v>
    <v>2.68</v>
    <v>2.7549999999999999</v>
    <v>2.835</v>
    <v>2.86</v>
    <v>2.9</v>
    <v>2.89</v>
    <v>2.871</v>
    <v>2.91</v>
    <v>3</v>
    <v>3.15</v>
    <v>3.47</v>
    <v>3.2</v>
    <v>3.2549999999999999</v>
    <v>3.2650000000000001</v>
    <v>3.23</v>
    <v>3.08</v>
    <v>3.08</v>
    <v>3.09</v>
    <v>3.2149999999999999</v>
    <v>3.145</v>
    <v>3.15</v>
    <v>3.15</v>
    <v>3.17</v>
    <v>3.18</v>
    <v>2.99</v>
    <v>2.9950000000000001</v>
    <v>3.15</v>
    <v>3.31</v>
    <v>3.53</v>
    <v>3.6040999999999999</v>
    <v>3.665</v>
    <v>3.645</v>
    <v>3.5150000000000001</v>
    <v>3.62</v>
    <v>3.6412</v>
    <v>3.5539000000000001</v>
    <v>3.6</v>
    <v>3.5</v>
    <v>3.51</v>
    <v>3.59</v>
    <v>3.36</v>
    <v>3.45</v>
    <v>3.6644999999999999</v>
    <v>3.9211999999999998</v>
    <v>4.085</v>
    <v>4.41</v>
    <v>4.82</v>
    <v>5.0199999999999996</v>
    <v>5.1100000000000003</v>
    <v>5.1100000000000003</v>
    <v>5.0599999999999996</v>
    <v>5.0999999999999996</v>
    <v>3.92</v>
    <v>4.5199999999999996</v>
    <v>4.8</v>
    <v>4.45</v>
    <v>4.5599999999999996</v>
    <v>4.53</v>
    <v>4.83</v>
    <v>4.66</v>
    <v>4.53</v>
    <v>4.6150000000000002</v>
    <v>4.59</v>
    <v>4.9400000000000004</v>
    <v>6.85</v>
    <v>6.51</v>
    <v>7</v>
    <v>7.32</v>
    <v>7.82</v>
    <v>7.91</v>
    <v>7.75</v>
    <v>7.4550000000000001</v>
    <v>7.55</v>
    <v>8.11</v>
    <v>8.15</v>
    <v>8.44</v>
    <v>7.9950000000000001</v>
    <v>7.8</v>
  </a>
  <a r="1" c="236">
    <v>2155127</v>
    <v>1850381</v>
    <v>2803876</v>
    <v>7882030</v>
    <v>3438517</v>
    <v>2669118</v>
    <v>3551637</v>
    <v>2999907</v>
    <v>2893771</v>
    <v>2820328</v>
    <v>2382822</v>
    <v>2070362</v>
    <v>5767631</v>
    <v>3240719</v>
    <v>2099064</v>
    <v>2329156</v>
    <v>2094512</v>
    <v>1356455</v>
    <v>1315312</v>
    <v>2229624</v>
    <v>3066413</v>
    <v>1317941</v>
    <v>1951812</v>
    <v>1276098</v>
    <v>2396724</v>
    <v>1802627</v>
    <v>1607746</v>
    <v>1583922</v>
    <v>1076202</v>
    <v>1205136</v>
    <v>1537919</v>
    <v>859265</v>
    <v>749891</v>
    <v>1743891</v>
    <v>1845327</v>
    <v>3171608</v>
    <v>1593939</v>
    <v>1253649</v>
    <v>2464587</v>
    <v>5779029</v>
    <v>3005950</v>
    <v>3296413</v>
    <v>3782645</v>
    <v>4180422</v>
    <v>3381893</v>
    <v>4569905</v>
    <v>5547560</v>
    <v>4393119</v>
    <v>3351024</v>
    <v>1377711</v>
    <v>2142794</v>
    <v>2053459</v>
    <v>1802141</v>
    <v>3526547</v>
    <v>3704226</v>
    <v>2360329</v>
    <v>1303412</v>
    <v>1603080</v>
    <v>1431592</v>
    <v>3045653</v>
    <v>2923560</v>
    <v>2384109</v>
    <v>3769336</v>
    <v>4161286</v>
    <v>5439057</v>
    <v>3702094</v>
    <v>4304939</v>
    <v>4556748</v>
    <v>4185387</v>
    <v>3074438</v>
    <v>3192497</v>
    <v>3429803</v>
    <v>2956314</v>
    <v>2627137</v>
    <v>3482032</v>
    <v>4085844</v>
    <v>2195620</v>
    <v>2072237</v>
    <v>1769230</v>
    <v>2596108</v>
    <v>2732069</v>
    <v>2147872</v>
    <v>5903989</v>
    <v>2683020</v>
    <v>3874946</v>
    <v>3819372</v>
    <v>3964623</v>
    <v>3316773</v>
    <v>3024992</v>
    <v>2640385</v>
    <v>3291363</v>
    <v>2400814</v>
    <v>1804904</v>
    <v>3206098</v>
    <v>5658061</v>
    <v>7587324</v>
    <v>5348276</v>
    <v>3065435</v>
    <v>4188665</v>
    <v>8053613</v>
    <v>6076366</v>
    <v>4775068</v>
    <v>7292464</v>
    <v>4427863</v>
    <v>4555086</v>
    <v>4380565</v>
    <v>5095094</v>
    <v>5917576</v>
    <v>3949639</v>
    <v>24284539</v>
    <v>18706289</v>
    <v>8955051</v>
    <v>9713303</v>
    <v>6439252</v>
    <v>8747003</v>
    <v>12721104</v>
    <v>7943956</v>
    <v>6325664</v>
    <v>11279440</v>
    <v>6719899</v>
    <v>14186949</v>
    <v>8359660</v>
    <v>6092568</v>
    <v>4695359</v>
    <v>3367697</v>
    <v>6145020</v>
    <v>4765498</v>
    <v>13951957</v>
    <v>8144677</v>
    <v>3355396</v>
    <v>4562981</v>
    <v>5426616</v>
    <v>4218619</v>
    <v>3247099</v>
    <v>4927534</v>
    <v>4498970</v>
    <v>3595159</v>
    <v>7131024</v>
    <v>3904235</v>
    <v>3720616</v>
    <v>5888658</v>
    <v>4492675</v>
    <v>3312312</v>
    <v>2614144</v>
    <v>3602077</v>
    <v>3047565</v>
    <v>2433179</v>
    <v>4649310</v>
    <v>4844229</v>
    <v>4788519</v>
    <v>3719606</v>
    <v>4278080</v>
    <v>11112859</v>
    <v>6391390</v>
    <v>4463671</v>
    <v>5097301</v>
    <v>4699183</v>
    <v>4499672</v>
    <v>3417339</v>
    <v>7596488</v>
    <v>3561877</v>
    <v>4634883</v>
    <v>4787177</v>
    <v>4018786</v>
    <v>2392671</v>
    <v>3086365</v>
    <v>6487956</v>
    <v>12006074</v>
    <v>22005971</v>
    <v>14581768</v>
    <v>6005601</v>
    <v>4330459</v>
    <v>5602710</v>
    <v>7940624</v>
    <v>7247027</v>
    <v>6346237</v>
    <v>4954239</v>
    <v>7609979</v>
    <v>7670732</v>
    <v>4334451</v>
    <v>3607482</v>
    <v>4777010</v>
    <v>7079022</v>
    <v>4713618</v>
    <v>4835659</v>
    <v>20449928</v>
    <v>8810083</v>
    <v>5117834</v>
    <v>7086736</v>
    <v>6115643</v>
    <v>5544435</v>
    <v>5818276</v>
    <v>6680842</v>
    <v>6099936</v>
    <v>4413250</v>
    <v>5430014</v>
    <v>10814191</v>
    <v>6775947</v>
    <v>5843074</v>
    <v>8482145</v>
    <v>13149103</v>
    <v>10738581</v>
    <v>7824752</v>
    <v>9601941</v>
    <v>8729747</v>
    <v>11414470</v>
    <v>18021429</v>
    <v>11450821</v>
    <v>6919097</v>
    <v>7443612</v>
    <v>21050538</v>
    <v>6581033</v>
    <v>6222036</v>
    <v>6833028</v>
    <v>5425297</v>
    <v>4863077</v>
    <v>6539848</v>
    <v>5770534</v>
    <v>11448466</v>
    <v>6985525</v>
    <v>5895769</v>
    <v>59110306</v>
    <v>20245471</v>
    <v>11224695</v>
    <v>9024381</v>
    <v>7724687</v>
    <v>6995751</v>
    <v>3191839</v>
    <v>5164026</v>
    <v>4788357</v>
    <v>8494176</v>
    <v>7244893</v>
    <v>6080102</v>
    <v>7571047</v>
    <v>5916518</v>
    <v>5995063</v>
  </a>
  <a r="1" c="236">
    <v>9.4972999999999992</v>
    <v>9.7236999999999991</v>
    <v>9.7630999999999997</v>
    <v>9.6056000000000008</v>
    <v>9.5859000000000005</v>
    <v>9.4972999999999992</v>
    <v>9.5564</v>
    <v>9.6252999999999993</v>
    <v>9.7926000000000002</v>
    <v>9.8515999999999995</v>
    <v>10.019</v>
    <v>10.265000000000001</v>
    <v>9.8712999999999997</v>
    <v>9.9992999999999999</v>
    <v>9.9598999999999993</v>
    <v>10.2158</v>
    <v>9.9205000000000005</v>
    <v>10.048500000000001</v>
    <v>9.9992999999999999</v>
    <v>9.9205000000000005</v>
    <v>9.7334999999999994</v>
    <v>9.9992999999999999</v>
    <v>9.8515999999999995</v>
    <v>9.1135000000000002</v>
    <v>9.0937999999999999</v>
    <v>9.0937999999999999</v>
    <v>9.0642999999999994</v>
    <v>9.0839999999999996</v>
    <v>9.2020999999999997</v>
    <v>9.33</v>
    <v>9.2899999999999991</v>
    <v>9.34</v>
    <v>9.39</v>
    <v>9.2799999999999994</v>
    <v>9.35</v>
    <v>9.42</v>
    <v>9.4700000000000006</v>
    <v>9.2899999999999991</v>
    <v>9.5500000000000007</v>
    <v>9.39</v>
    <v>9.1199999999999992</v>
    <v>9.65</v>
    <v>9.61</v>
    <v>9.9</v>
    <v>9.9600000000000009</v>
    <v>9.69</v>
    <v>9.59</v>
    <v>9.5299999999999994</v>
    <v>9.73</v>
    <v>9.92</v>
    <v>9.9499999999999993</v>
    <v>10.17</v>
    <v>10.01</v>
    <v>10</v>
    <v>10.25</v>
    <v>10.29</v>
    <v>10.3</v>
    <v>9.9</v>
    <v>9.7200000000000006</v>
    <v>10.029999999999999</v>
    <v>9.94</v>
    <v>10.15</v>
    <v>9.5399999999999991</v>
    <v>9.58</v>
    <v>9.24</v>
    <v>8.69</v>
    <v>9.5</v>
    <v>9.14</v>
    <v>9.33</v>
    <v>9.7100000000000009</v>
    <v>9.4499999999999993</v>
    <v>9.4</v>
    <v>9.6300000000000008</v>
    <v>9.4700000000000006</v>
    <v>9.65</v>
    <v>9.7799999999999994</v>
    <v>10.06</v>
    <v>10.039999999999999</v>
    <v>10.02</v>
    <v>10.15</v>
    <v>10.01</v>
    <v>10.18</v>
    <v>10.28</v>
    <v>10.17</v>
    <v>10.44</v>
    <v>10.28</v>
    <v>10.28</v>
    <v>10.43</v>
    <v>10.55</v>
    <v>10.6</v>
    <v>10.65</v>
    <v>10.75</v>
    <v>10.8</v>
    <v>10.75</v>
    <v>10.72</v>
    <v>10.48</v>
    <v>10.44</v>
    <v>10.36</v>
    <v>10.31</v>
    <v>10.17</v>
    <v>10.220000000000001</v>
    <v>10.38</v>
    <v>9.98</v>
    <v>10.19</v>
    <v>10.24</v>
    <v>10.1</v>
    <v>10.26</v>
    <v>10.34</v>
    <v>10.6</v>
    <v>10.66</v>
    <v>10.53</v>
    <v>10.43</v>
    <v>10.62</v>
    <v>10.42</v>
    <v>10.43</v>
    <v>10.59</v>
    <v>10.75</v>
    <v>10.73</v>
    <v>10.48</v>
    <v>10.63</v>
    <v>10.8</v>
    <v>10.85</v>
    <v>11.35</v>
    <v>11.77</v>
    <v>11.81</v>
    <v>11.59</v>
    <v>11.68</v>
    <v>11.83</v>
    <v>11.91</v>
    <v>11.78</v>
    <v>11.88</v>
    <v>11.57</v>
    <v>11.24</v>
    <v>11.15</v>
    <v>11.16</v>
    <v>11.31</v>
    <v>11.19</v>
    <v>11.38</v>
    <v>11.26</v>
    <v>11.47</v>
    <v>11.28</v>
    <v>11.08</v>
    <v>10.87</v>
    <v>11.07</v>
    <v>10.82</v>
    <v>10.95</v>
    <v>11.06</v>
    <v>11.21</v>
    <v>11.28</v>
    <v>11.32</v>
    <v>11.14</v>
    <v>11.25</v>
    <v>11.44</v>
    <v>11.44</v>
    <v>11.44</v>
    <v>11.46</v>
    <v>11.58</v>
    <v>11.49</v>
    <v>11.33</v>
    <v>11.74</v>
    <v>11.82</v>
    <v>11.84</v>
    <v>11.91</v>
    <v>11.71</v>
    <v>11.77</v>
    <v>11.72</v>
    <v>11.62</v>
    <v>11.68</v>
    <v>11.74</v>
    <v>11.69</v>
    <v>11.49</v>
    <v>11.42</v>
    <v>11.76</v>
    <v>11.68</v>
    <v>11.68</v>
    <v>11.61</v>
    <v>11.66</v>
    <v>11.74</v>
    <v>11.62</v>
    <v>11.66</v>
    <v>11.73</v>
    <v>11.63</v>
    <v>11.62</v>
    <v>12.01</v>
    <v>12.09</v>
    <v>11.96</v>
    <v>12.27</v>
    <v>12.22</v>
    <v>12.67</v>
    <v>12.7</v>
    <v>11.92</v>
    <v>11.74</v>
    <v>11.5</v>
    <v>11.41</v>
    <v>11.54</v>
    <v>11.65</v>
    <v>11.76</v>
    <v>11.74</v>
    <v>11.92</v>
    <v>11.99</v>
    <v>12.56</v>
    <v>12.43</v>
    <v>12.34</v>
    <v>13.84</v>
    <v>13.26</v>
    <v>13.13</v>
    <v>13.24</v>
    <v>13.06</v>
    <v>13.13</v>
    <v>13.01</v>
    <v>12.79</v>
    <v>13.11</v>
    <v>13.12</v>
    <v>13.21</v>
    <v>13.16</v>
    <v>13.3</v>
    <v>13.45</v>
    <v>13.28</v>
    <v>13.19</v>
    <v>12.88</v>
    <v>13.02</v>
    <v>12.9</v>
    <v>12.41</v>
    <v>12.83</v>
    <v>12.96</v>
    <v>13.17</v>
    <v>13.19</v>
    <v>13.28</v>
    <v>13.16</v>
    <v>12.96</v>
    <v>13.09</v>
    <v>13.14</v>
    <v>13.03</v>
    <v>13.14</v>
    <v>13.08</v>
    <v>13.41</v>
  </a>
  <a r="1" c="236">
    <v>68235708</v>
    <v>78487552</v>
    <v>64867023</v>
    <v>63407119</v>
    <v>62670278</v>
    <v>74552875</v>
    <v>67084313</v>
    <v>46150035</v>
    <v>69778271</v>
    <v>46505753</v>
    <v>61780110</v>
    <v>66726387</v>
    <v>65993172</v>
    <v>57145140</v>
    <v>43598838</v>
    <v>74257329</v>
    <v>93659287</v>
    <v>71111881</v>
    <v>70782906</v>
    <v>105393560</v>
    <v>133542924</v>
    <v>69821048</v>
    <v>126184045</v>
    <v>226339032</v>
    <v>143116839</v>
    <v>73328062</v>
    <v>55726170</v>
    <v>68421994</v>
    <v>73218126</v>
    <v>54642783</v>
    <v>62175764</v>
    <v>50191726</v>
    <v>39787792</v>
    <v>58437662</v>
    <v>72562637</v>
    <v>88876827</v>
    <v>87948083</v>
    <v>70518755</v>
    <v>137992574</v>
    <v>154435905</v>
    <v>167499954</v>
    <v>157774904</v>
    <v>136680746</v>
    <v>150644884</v>
    <v>167183809</v>
    <v>210126974</v>
    <v>129994592</v>
    <v>137747632</v>
    <v>91313759</v>
    <v>98583068</v>
    <v>102730930</v>
    <v>124697379</v>
    <v>109103733</v>
    <v>240638631</v>
    <v>102847191</v>
    <v>83674856</v>
    <v>140975582</v>
    <v>229032469</v>
    <v>136868327</v>
    <v>139951868</v>
    <v>135388684</v>
    <v>136908485</v>
    <v>220270980</v>
    <v>177466228</v>
    <v>274938497</v>
    <v>199286778</v>
    <v>199662988</v>
    <v>163535434</v>
    <v>146073701</v>
    <v>189955001</v>
    <v>125469023</v>
    <v>133804943</v>
    <v>129204565</v>
    <v>94138882</v>
    <v>121387081</v>
    <v>158691527</v>
    <v>87031042</v>
    <v>88682432</v>
    <v>77051524</v>
    <v>141980313</v>
    <v>136406235</v>
    <v>126532486</v>
    <v>82228655</v>
    <v>105766259</v>
    <v>131814035</v>
    <v>116936644</v>
    <v>107173416</v>
    <v>76350701</v>
    <v>102035764</v>
    <v>83671012</v>
    <v>84453089</v>
    <v>71096528</v>
    <v>64913005</v>
    <v>60195734</v>
    <v>61063828</v>
    <v>89090498</v>
    <v>94081143</v>
    <v>80519024</v>
    <v>89066847</v>
    <v>102335584</v>
    <v>101688883</v>
    <v>152191621</v>
    <v>170340783</v>
    <v>121584328</v>
    <v>123191229</v>
    <v>133269444</v>
    <v>105916694</v>
    <v>63638928</v>
    <v>87955501</v>
    <v>93094876</v>
    <v>76393291</v>
    <v>90106172</v>
    <v>75195179</v>
    <v>100969375</v>
    <v>82770168</v>
    <v>116743402</v>
    <v>77576511</v>
    <v>77244413</v>
    <v>91927326</v>
    <v>88416356</v>
    <v>182008244</v>
    <v>88472231</v>
    <v>140150738</v>
    <v>122331588</v>
    <v>60311463</v>
    <v>73842100</v>
    <v>74190215</v>
    <v>63886882</v>
    <v>67263023</v>
    <v>65340737</v>
    <v>62098074</v>
    <v>65101902</v>
    <v>107978145</v>
    <v>70345257</v>
    <v>68812553</v>
    <v>65515630</v>
    <v>79403755</v>
    <v>76163207</v>
    <v>63557796</v>
    <v>52312257</v>
    <v>54173647</v>
    <v>58371483</v>
    <v>79866858</v>
    <v>101090884</v>
    <v>73541489</v>
    <v>56696828</v>
    <v>58864252</v>
    <v>59519843</v>
    <v>71774972</v>
    <v>48465317</v>
    <v>84332966</v>
    <v>64021039</v>
    <v>63823345</v>
    <v>52469244</v>
    <v>46141355</v>
    <v>37113805</v>
    <v>58020177</v>
    <v>46469853</v>
    <v>51779301</v>
    <v>58538704</v>
    <v>45038754</v>
    <v>48613273</v>
    <v>40381477</v>
    <v>47723668</v>
    <v>44069734</v>
    <v>57704182</v>
    <v>47728660</v>
    <v>33136650</v>
    <v>47547831</v>
    <v>39734522</v>
    <v>41262743</v>
    <v>47021328</v>
    <v>64196118</v>
    <v>50100809</v>
    <v>47942431</v>
    <v>58064970</v>
    <v>68585945</v>
    <v>55040063</v>
    <v>71676341</v>
    <v>58432710</v>
    <v>55667552</v>
    <v>60193780</v>
    <v>67656337</v>
    <v>117681848</v>
    <v>83325012</v>
    <v>70765048</v>
    <v>73578427</v>
    <v>74530532</v>
    <v>100778558</v>
    <v>90544937</v>
    <v>154390154</v>
    <v>78469653</v>
    <v>70320483</v>
    <v>84595402</v>
    <v>73939384</v>
    <v>89117946</v>
    <v>88960726</v>
    <v>108701202</v>
    <v>107633522</v>
    <v>77878936</v>
    <v>297153158</v>
    <v>415062173</v>
    <v>479840312</v>
    <v>298366862</v>
    <v>140859004</v>
    <v>96738451</v>
    <v>127512240</v>
    <v>80766301</v>
    <v>68861988</v>
    <v>80419403</v>
    <v>70360611</v>
    <v>79134307</v>
    <v>82291049</v>
    <v>80011318</v>
    <v>62051157</v>
    <v>79742405</v>
    <v>61840461</v>
    <v>71481613</v>
    <v>67932422</v>
    <v>73404381</v>
    <v>70215400</v>
    <v>49619260</v>
    <v>95861863</v>
    <v>74048860</v>
    <v>52936240</v>
    <v>52884970</v>
    <v>44942203</v>
    <v>29536180</v>
    <v>51593955</v>
    <v>57641703</v>
    <v>45364666</v>
    <v>47554803</v>
    <v>54099362</v>
    <v>45580830</v>
    <v>33349986</v>
    <v>72210701</v>
  </a>
</arrayData>
</file>

<file path=xl/richData/rdrichvalue.xml><?xml version="1.0" encoding="utf-8"?>
<rvData xmlns="http://schemas.microsoft.com/office/spreadsheetml/2017/richdata" count="3097">
  <rv s="0">
    <fb>45659</fb>
    <v>0</v>
  </rv>
  <rv s="0">
    <fb>14.88</fb>
    <v>1</v>
  </rv>
  <rv s="0">
    <fb>14.99</fb>
    <v>1</v>
  </rv>
  <rv s="0">
    <fb>14.7</fb>
    <v>1</v>
  </rv>
  <rv s="0">
    <fb>45660</fb>
    <v>0</v>
  </rv>
  <rv s="0">
    <fb>15.05</fb>
    <v>1</v>
  </rv>
  <rv s="0">
    <fb>15.21</fb>
    <v>1</v>
  </rv>
  <rv s="0">
    <fb>14.872</fb>
    <v>1</v>
  </rv>
  <rv s="0">
    <fb>45663</fb>
    <v>0</v>
  </rv>
  <rv s="0">
    <fb>15.37</fb>
    <v>1</v>
  </rv>
  <rv s="0">
    <fb>15.53</fb>
    <v>1</v>
  </rv>
  <rv s="0">
    <fb>15.11</fb>
    <v>1</v>
  </rv>
  <rv s="0">
    <fb>45664</fb>
    <v>0</v>
  </rv>
  <rv s="0">
    <fb>15.72</fb>
    <v>1</v>
  </rv>
  <rv s="0">
    <fb>45665</fb>
    <v>0</v>
  </rv>
  <rv s="0">
    <fb>15.73</fb>
    <v>1</v>
  </rv>
  <rv s="0">
    <fb>15.765000000000001</fb>
    <v>1</v>
  </rv>
  <rv s="0">
    <fb>15.43</fb>
    <v>1</v>
  </rv>
  <rv s="0">
    <fb>45667</fb>
    <v>0</v>
  </rv>
  <rv s="0">
    <fb>15.86</fb>
    <v>1</v>
  </rv>
  <rv s="0">
    <fb>16.239999999999998</fb>
    <v>1</v>
  </rv>
  <rv s="0">
    <fb>15.835000000000001</fb>
    <v>1</v>
  </rv>
  <rv s="0">
    <fb>45670</fb>
    <v>0</v>
  </rv>
  <rv s="0">
    <fb>16.41</fb>
    <v>1</v>
  </rv>
  <rv s="0">
    <fb>16.559999999999999</fb>
    <v>1</v>
  </rv>
  <rv s="0">
    <fb>15.89</fb>
    <v>1</v>
  </rv>
  <rv s="0">
    <fb>45671</fb>
    <v>0</v>
  </rv>
  <rv s="0">
    <fb>16.59</fb>
    <v>1</v>
  </rv>
  <rv s="0">
    <fb>16.672499999999999</fb>
    <v>1</v>
  </rv>
  <rv s="0">
    <fb>16.29</fb>
    <v>1</v>
  </rv>
  <rv s="0">
    <fb>45672</fb>
    <v>0</v>
  </rv>
  <rv s="0">
    <fb>16.68</fb>
    <v>1</v>
  </rv>
  <rv s="0">
    <fb>16.939800000000002</fb>
    <v>1</v>
  </rv>
  <rv s="0">
    <fb>16.63</fb>
    <v>1</v>
  </rv>
  <rv s="0">
    <fb>45673</fb>
    <v>0</v>
  </rv>
  <rv s="0">
    <fb>16.739999999999998</fb>
    <v>1</v>
  </rv>
  <rv s="0">
    <fb>16.885000000000002</fb>
    <v>1</v>
  </rv>
  <rv s="0">
    <fb>16.55</fb>
    <v>1</v>
  </rv>
  <rv s="0">
    <fb>45674</fb>
    <v>0</v>
  </rv>
  <rv s="0">
    <fb>16.62</fb>
    <v>1</v>
  </rv>
  <rv s="0">
    <fb>16.849399999999999</fb>
    <v>1</v>
  </rv>
  <rv s="0">
    <fb>16.38</fb>
    <v>1</v>
  </rv>
  <rv s="0">
    <fb>45678</fb>
    <v>0</v>
  </rv>
  <rv s="0">
    <fb>16.260000000000002</fb>
    <v>1</v>
  </rv>
  <rv s="0">
    <fb>16.560099999999998</fb>
    <v>1</v>
  </rv>
  <rv s="0">
    <fb>16.055</fb>
    <v>1</v>
  </rv>
  <rv s="0">
    <fb>45679</fb>
    <v>0</v>
  </rv>
  <rv s="0">
    <fb>16.16</fb>
    <v>1</v>
  </rv>
  <rv s="0">
    <fb>16.434999999999999</fb>
    <v>1</v>
  </rv>
  <rv s="0">
    <fb>16.010000000000002</fb>
    <v>1</v>
  </rv>
  <rv s="0">
    <fb>45680</fb>
    <v>0</v>
  </rv>
  <rv s="0">
    <fb>16.34</fb>
    <v>1</v>
  </rv>
  <rv s="0">
    <fb>16.545000000000002</fb>
    <v>1</v>
  </rv>
  <rv s="0">
    <fb>16.11</fb>
    <v>1</v>
  </rv>
  <rv s="0">
    <fb>45681</fb>
    <v>0</v>
  </rv>
  <rv s="0">
    <fb>15.99</fb>
    <v>1</v>
  </rv>
  <rv s="0">
    <fb>16.489999999999998</fb>
    <v>1</v>
  </rv>
  <rv s="0">
    <fb>15.93</fb>
    <v>1</v>
  </rv>
  <rv s="0">
    <fb>45684</fb>
    <v>0</v>
  </rv>
  <rv s="0">
    <fb>15.82</fb>
    <v>1</v>
  </rv>
  <rv s="0">
    <fb>16.094999999999999</fb>
    <v>1</v>
  </rv>
  <rv s="0">
    <fb>15.48</fb>
    <v>1</v>
  </rv>
  <rv s="0">
    <fb>45685</fb>
    <v>0</v>
  </rv>
  <rv s="0">
    <fb>15.63</fb>
    <v>1</v>
  </rv>
  <rv s="0">
    <fb>16.02</fb>
    <v>1</v>
  </rv>
  <rv s="0">
    <fb>15.31</fb>
    <v>1</v>
  </rv>
  <rv s="0">
    <fb>45686</fb>
    <v>0</v>
  </rv>
  <rv s="0">
    <fb>15.64</fb>
    <v>1</v>
  </rv>
  <rv s="0">
    <fb>15.79</fb>
    <v>1</v>
  </rv>
  <rv s="0">
    <fb>15.44</fb>
    <v>1</v>
  </rv>
  <rv s="0">
    <fb>45687</fb>
    <v>0</v>
  </rv>
  <rv s="0">
    <fb>15.45</fb>
    <v>1</v>
  </rv>
  <rv s="0">
    <fb>15.734999999999999</fb>
    <v>1</v>
  </rv>
  <rv s="0">
    <fb>15.38</fb>
    <v>1</v>
  </rv>
  <rv s="0">
    <fb>45688</fb>
    <v>0</v>
  </rv>
  <rv s="0">
    <fb>15.06</fb>
    <v>1</v>
  </rv>
  <rv s="0">
    <fb>14.82</fb>
    <v>1</v>
  </rv>
  <rv s="0">
    <fb>45691</fb>
    <v>0</v>
  </rv>
  <rv s="0">
    <fb>15.03</fb>
    <v>1</v>
  </rv>
  <rv s="0">
    <fb>15.24</fb>
    <v>1</v>
  </rv>
  <rv s="0">
    <fb>14.73</fb>
    <v>1</v>
  </rv>
  <rv s="0">
    <fb>45692</fb>
    <v>0</v>
  </rv>
  <rv s="0">
    <fb>15.33</fb>
    <v>1</v>
  </rv>
  <rv s="0">
    <fb>14.8</fb>
    <v>1</v>
  </rv>
  <rv s="0">
    <fb>45693</fb>
    <v>0</v>
  </rv>
  <rv s="0">
    <fb>15.09</fb>
    <v>1</v>
  </rv>
  <rv s="0">
    <fb>15.324999999999999</fb>
    <v>1</v>
  </rv>
  <rv s="0">
    <fb>45694</fb>
    <v>0</v>
  </rv>
  <rv s="0">
    <fb>14.63</fb>
    <v>1</v>
  </rv>
  <rv s="0">
    <fb>15.179</fb>
    <v>1</v>
  </rv>
  <rv s="0">
    <fb>14.494999999999999</fb>
    <v>1</v>
  </rv>
  <rv s="0">
    <fb>45695</fb>
    <v>0</v>
  </rv>
  <rv s="0">
    <fb>14.66</fb>
    <v>1</v>
  </rv>
  <rv s="0">
    <fb>14.87</fb>
    <v>1</v>
  </rv>
  <rv s="0">
    <fb>45698</fb>
    <v>0</v>
  </rv>
  <rv s="0">
    <fb>15.02</fb>
    <v>1</v>
  </rv>
  <rv s="0">
    <fb>14.78</fb>
    <v>1</v>
  </rv>
  <rv s="0">
    <fb>45699</fb>
    <v>0</v>
  </rv>
  <rv s="0">
    <fb>15.51</fb>
    <v>1</v>
  </rv>
  <rv s="0">
    <fb>15.005000000000001</fb>
    <v>1</v>
  </rv>
  <rv s="0">
    <fb>45700</fb>
    <v>0</v>
  </rv>
  <rv s="0">
    <fb>14.48</fb>
    <v>1</v>
  </rv>
  <rv s="0">
    <fb>15.04</fb>
    <v>1</v>
  </rv>
  <rv s="0">
    <fb>14.42</fb>
    <v>1</v>
  </rv>
  <rv s="0">
    <fb>45701</fb>
    <v>0</v>
  </rv>
  <rv s="0">
    <fb>14.52</fb>
    <v>1</v>
  </rv>
  <rv s="0">
    <fb>14.57</fb>
    <v>1</v>
  </rv>
  <rv s="0">
    <fb>14.29</fb>
    <v>1</v>
  </rv>
  <rv s="0">
    <fb>45702</fb>
    <v>0</v>
  </rv>
  <rv s="0">
    <fb>15</fb>
    <v>1</v>
  </rv>
  <rv s="0">
    <fb>45706</fb>
    <v>0</v>
  </rv>
  <rv s="0">
    <fb>15.15</fb>
    <v>1</v>
  </rv>
  <rv s="0">
    <fb>15.49</fb>
    <v>1</v>
  </rv>
  <rv s="0">
    <fb>14.61</fb>
    <v>1</v>
  </rv>
  <rv s="0">
    <fb>45707</fb>
    <v>0</v>
  </rv>
  <rv s="0">
    <fb>15.18</fb>
    <v>1</v>
  </rv>
  <rv s="0">
    <fb>15.58</fb>
    <v>1</v>
  </rv>
  <rv s="0">
    <fb>15.1</fb>
    <v>1</v>
  </rv>
  <rv s="0">
    <fb>45708</fb>
    <v>0</v>
  </rv>
  <rv s="0">
    <fb>15.01</fb>
    <v>1</v>
  </rv>
  <rv s="0">
    <fb>15.244999999999999</fb>
    <v>1</v>
  </rv>
  <rv s="0">
    <fb>14.845000000000001</fb>
    <v>1</v>
  </rv>
  <rv s="0">
    <fb>45709</fb>
    <v>0</v>
  </rv>
  <rv s="0">
    <fb>14.26</fb>
    <v>1</v>
  </rv>
  <rv s="0">
    <fb>15.13</fb>
    <v>1</v>
  </rv>
  <rv s="0">
    <fb>14.1701</fb>
    <v>1</v>
  </rv>
  <rv s="0">
    <fb>45712</fb>
    <v>0</v>
  </rv>
  <rv s="0">
    <fb>14.2</fb>
    <v>1</v>
  </rv>
  <rv s="0">
    <fb>14.435</fb>
    <v>1</v>
  </rv>
  <rv s="0">
    <fb>14.12</fb>
    <v>1</v>
  </rv>
  <rv s="0">
    <fb>45713</fb>
    <v>0</v>
  </rv>
  <rv s="0">
    <fb>13.69</fb>
    <v>1</v>
  </rv>
  <rv s="0">
    <fb>14.21</fb>
    <v>1</v>
  </rv>
  <rv s="0">
    <fb>13.664999999999999</fb>
    <v>1</v>
  </rv>
  <rv s="0">
    <fb>45714</fb>
    <v>0</v>
  </rv>
  <rv s="0">
    <fb>13.47</fb>
    <v>1</v>
  </rv>
  <rv s="0">
    <fb>13.775</fb>
    <v>1</v>
  </rv>
  <rv s="0">
    <fb>13.26</fb>
    <v>1</v>
  </rv>
  <rv s="0">
    <fb>45715</fb>
    <v>0</v>
  </rv>
  <rv s="0">
    <fb>12.78</fb>
    <v>1</v>
  </rv>
  <rv s="0">
    <fb>13.39</fb>
    <v>1</v>
  </rv>
  <rv s="0">
    <fb>12.643000000000001</fb>
    <v>1</v>
  </rv>
  <rv s="0">
    <fb>45716</fb>
    <v>0</v>
  </rv>
  <rv s="0">
    <fb>12.62</fb>
    <v>1</v>
  </rv>
  <rv s="0">
    <fb>12.845000000000001</fb>
    <v>1</v>
  </rv>
  <rv s="0">
    <fb>12.42</fb>
    <v>1</v>
  </rv>
  <rv s="0">
    <fb>45719</fb>
    <v>0</v>
  </rv>
  <rv s="0">
    <fb>11.55</fb>
    <v>1</v>
  </rv>
  <rv s="0">
    <fb>12.71</fb>
    <v>1</v>
  </rv>
  <rv s="0">
    <fb>11.47</fb>
    <v>1</v>
  </rv>
  <rv s="0">
    <fb>45720</fb>
    <v>0</v>
  </rv>
  <rv s="0">
    <fb>11.29</fb>
    <v>1</v>
  </rv>
  <rv s="0">
    <fb>11.62</fb>
    <v>1</v>
  </rv>
  <rv s="0">
    <fb>10.96</fb>
    <v>1</v>
  </rv>
  <rv s="0">
    <fb>45721</fb>
    <v>0</v>
  </rv>
  <rv s="0">
    <fb>11.04</fb>
    <v>1</v>
  </rv>
  <rv s="0">
    <fb>11.1</fb>
    <v>1</v>
  </rv>
  <rv s="0">
    <fb>10.350099999999999</fb>
    <v>1</v>
  </rv>
  <rv s="0">
    <fb>45722</fb>
    <v>0</v>
  </rv>
  <rv s="0">
    <fb>10.82</fb>
    <v>1</v>
  </rv>
  <rv s="0">
    <fb>10.58</fb>
    <v>1</v>
  </rv>
  <rv s="0">
    <fb>45723</fb>
    <v>0</v>
  </rv>
  <rv s="0">
    <fb>10.64</fb>
    <v>1</v>
  </rv>
  <rv s="0">
    <fb>11.18</fb>
    <v>1</v>
  </rv>
  <rv s="0">
    <fb>45726</fb>
    <v>0</v>
  </rv>
  <rv s="0">
    <fb>10.3</fb>
    <v>1</v>
  </rv>
  <rv s="0">
    <fb>10.89</fb>
    <v>1</v>
  </rv>
  <rv s="0">
    <fb>10.26</fb>
    <v>1</v>
  </rv>
  <rv s="0">
    <fb>45727</fb>
    <v>0</v>
  </rv>
  <rv s="0">
    <fb>10.51</fb>
    <v>1</v>
  </rv>
  <rv s="0">
    <fb>10.6</fb>
    <v>1</v>
  </rv>
  <rv s="0">
    <fb>45728</fb>
    <v>0</v>
  </rv>
  <rv s="0">
    <fb>10.72</fb>
    <v>1</v>
  </rv>
  <rv s="0">
    <fb>10.95</fb>
    <v>1</v>
  </rv>
  <rv s="0">
    <fb>10.45</fb>
    <v>1</v>
  </rv>
  <rv s="0">
    <fb>45729</fb>
    <v>0</v>
  </rv>
  <rv s="0">
    <fb>10.49</fb>
    <v>1</v>
  </rv>
  <rv s="0">
    <fb>45730</fb>
    <v>0</v>
  </rv>
  <rv s="0">
    <fb>10.91</fb>
    <v>1</v>
  </rv>
  <rv s="0">
    <fb>11.13</fb>
    <v>1</v>
  </rv>
  <rv s="0">
    <fb>10.7</fb>
    <v>1</v>
  </rv>
  <rv s="0">
    <fb>45733</fb>
    <v>0</v>
  </rv>
  <rv s="0">
    <fb>11.275</fb>
    <v>1</v>
  </rv>
  <rv s="0">
    <fb>10.88</fb>
    <v>1</v>
  </rv>
  <rv s="0">
    <fb>45734</fb>
    <v>0</v>
  </rv>
  <rv s="0">
    <fb>11.2</fb>
    <v>1</v>
  </rv>
  <rv s="0">
    <fb>11.26</fb>
    <v>1</v>
  </rv>
  <rv s="0">
    <fb>11.01</fb>
    <v>1</v>
  </rv>
  <rv s="0">
    <fb>45735</fb>
    <v>0</v>
  </rv>
  <rv s="0">
    <fb>11.72</fb>
    <v>1</v>
  </rv>
  <rv s="0">
    <fb>11.82</fb>
    <v>1</v>
  </rv>
  <rv s="0">
    <fb>11.22</fb>
    <v>1</v>
  </rv>
  <rv s="0">
    <fb>45736</fb>
    <v>0</v>
  </rv>
  <rv s="0">
    <fb>11.65</fb>
    <v>1</v>
  </rv>
  <rv s="0">
    <fb>11.87</fb>
    <v>1</v>
  </rv>
  <rv s="0">
    <fb>11.565</fb>
    <v>1</v>
  </rv>
  <rv s="0">
    <fb>45737</fb>
    <v>0</v>
  </rv>
  <rv s="0">
    <fb>11.46</fb>
    <v>1</v>
  </rv>
  <rv s="0">
    <fb>45740</fb>
    <v>0</v>
  </rv>
  <rv s="0">
    <fb>11.66</fb>
    <v>1</v>
  </rv>
  <rv s="0">
    <fb>11.685</fb>
    <v>1</v>
  </rv>
  <rv s="0">
    <fb>11.440099999999999</fb>
    <v>1</v>
  </rv>
  <rv s="0">
    <fb>45741</fb>
    <v>0</v>
  </rv>
  <rv s="0">
    <fb>11.56</fb>
    <v>1</v>
  </rv>
  <rv s="0">
    <fb>11.77</fb>
    <v>1</v>
  </rv>
  <rv s="0">
    <fb>11.38</fb>
    <v>1</v>
  </rv>
  <rv s="0">
    <fb>45742</fb>
    <v>0</v>
  </rv>
  <rv s="0">
    <fb>11.765000000000001</fb>
    <v>1</v>
  </rv>
  <rv s="0">
    <fb>45743</fb>
    <v>0</v>
  </rv>
  <rv s="0">
    <fb>11.27</fb>
    <v>1</v>
  </rv>
  <rv s="0">
    <fb>11.175000000000001</fb>
    <v>1</v>
  </rv>
  <rv s="0">
    <fb>45744</fb>
    <v>0</v>
  </rv>
  <rv s="0">
    <fb>11.14</fb>
    <v>1</v>
  </rv>
  <rv s="0">
    <fb>11.3</fb>
    <v>1</v>
  </rv>
  <rv s="0">
    <fb>11</fb>
    <v>1</v>
  </rv>
  <rv s="0">
    <fb>45747</fb>
    <v>0</v>
  </rv>
  <rv s="0">
    <fb>11.24</fb>
    <v>1</v>
  </rv>
  <rv s="0">
    <fb>11.42</fb>
    <v>1</v>
  </rv>
  <rv s="0">
    <fb>10.87</fb>
    <v>1</v>
  </rv>
  <rv s="0">
    <fb>45748</fb>
    <v>0</v>
  </rv>
  <rv s="0">
    <fb>11.08</fb>
    <v>1</v>
  </rv>
  <rv s="0">
    <fb>10.77</fb>
    <v>1</v>
  </rv>
  <rv s="0">
    <fb>45749</fb>
    <v>0</v>
  </rv>
  <rv s="0">
    <fb>45750</fb>
    <v>0</v>
  </rv>
  <rv s="0">
    <fb>9.26</fb>
    <v>1</v>
  </rv>
  <rv s="0">
    <fb>9.2100000000000009</fb>
    <v>1</v>
  </rv>
  <rv s="0">
    <fb>45751</fb>
    <v>0</v>
  </rv>
  <rv s="0">
    <fb>7.82</fb>
    <v>1</v>
  </rv>
  <rv s="0">
    <fb>8.61</fb>
    <v>1</v>
  </rv>
  <rv s="0">
    <fb>7.6550000000000002</fb>
    <v>1</v>
  </rv>
  <rv s="0">
    <fb>45754</fb>
    <v>0</v>
  </rv>
  <rv s="0">
    <fb>7.88</fb>
    <v>1</v>
  </rv>
  <rv s="0">
    <fb>8.1850000000000005</fb>
    <v>1</v>
  </rv>
  <rv s="0">
    <fb>7.14</fb>
    <v>1</v>
  </rv>
  <rv s="0">
    <fb>45755</fb>
    <v>0</v>
  </rv>
  <rv s="0">
    <fb>7.29</fb>
    <v>1</v>
  </rv>
  <rv s="0">
    <fb>8.43</fb>
    <v>1</v>
  </rv>
  <rv s="0">
    <fb>7.13</fb>
    <v>1</v>
  </rv>
  <rv s="0">
    <fb>45756</fb>
    <v>0</v>
  </rv>
  <rv s="0">
    <fb>8.57</fb>
    <v>1</v>
  </rv>
  <rv s="0">
    <fb>8.6649999999999991</fb>
    <v>1</v>
  </rv>
  <rv s="0">
    <fb>6.83</fb>
    <v>1</v>
  </rv>
  <rv s="0">
    <fb>45757</fb>
    <v>0</v>
  </rv>
  <rv s="0">
    <fb>7.43</fb>
    <v>1</v>
  </rv>
  <rv s="0">
    <fb>8.1374999999999993</fb>
    <v>1</v>
  </rv>
  <rv s="0">
    <fb>7.2</fb>
    <v>1</v>
  </rv>
  <rv s="0">
    <fb>45758</fb>
    <v>0</v>
  </rv>
  <rv s="0">
    <fb>7.71</fb>
    <v>1</v>
  </rv>
  <rv s="0">
    <fb>7.7949999999999999</fb>
    <v>1</v>
  </rv>
  <rv s="0">
    <fb>7.2750000000000004</fb>
    <v>1</v>
  </rv>
  <rv s="0">
    <fb>45761</fb>
    <v>0</v>
  </rv>
  <rv s="0">
    <fb>7.89</fb>
    <v>1</v>
  </rv>
  <rv s="0">
    <fb>8.0850000000000009</fb>
    <v>1</v>
  </rv>
  <rv s="0">
    <fb>7.68</fb>
    <v>1</v>
  </rv>
  <rv s="0">
    <fb>45762</fb>
    <v>0</v>
  </rv>
  <rv s="0">
    <fb>7.76</fb>
    <v>1</v>
  </rv>
  <rv s="0">
    <fb>8.0350000000000001</fb>
    <v>1</v>
  </rv>
  <rv s="0">
    <fb>7.73</fb>
    <v>1</v>
  </rv>
  <rv s="0">
    <fb>45763</fb>
    <v>0</v>
  </rv>
  <rv s="0">
    <fb>8.1300000000000008</fb>
    <v>1</v>
  </rv>
  <rv s="0">
    <fb>8.2899999999999991</fb>
    <v>1</v>
  </rv>
  <rv s="0">
    <fb>7.77</fb>
    <v>1</v>
  </rv>
  <rv s="0">
    <fb>45764</fb>
    <v>0</v>
  </rv>
  <rv s="0">
    <fb>8.3800000000000008</fb>
    <v>1</v>
  </rv>
  <rv s="0">
    <fb>8.59</fb>
    <v>1</v>
  </rv>
  <rv s="0">
    <fb>8.1750000000000007</fb>
    <v>1</v>
  </rv>
  <rv s="0">
    <fb>45768</fb>
    <v>0</v>
  </rv>
  <rv s="0">
    <fb>8.1</fb>
    <v>1</v>
  </rv>
  <rv s="0">
    <fb>8.19</fb>
    <v>1</v>
  </rv>
  <rv s="0">
    <fb>7.952</fb>
    <v>1</v>
  </rv>
  <rv s="0">
    <fb>45769</fb>
    <v>0</v>
  </rv>
  <rv s="0">
    <fb>8.3000000000000007</fb>
    <v>1</v>
  </rv>
  <rv s="0">
    <fb>8.1549999999999994</fb>
    <v>1</v>
  </rv>
  <rv s="0">
    <fb>45770</fb>
    <v>0</v>
  </rv>
  <rv s="0">
    <fb>8.27</fb>
    <v>1</v>
  </rv>
  <rv s="0">
    <fb>8.56</fb>
    <v>1</v>
  </rv>
  <rv s="0">
    <fb>8.16</fb>
    <v>1</v>
  </rv>
  <rv s="0">
    <fb>45771</fb>
    <v>0</v>
  </rv>
  <rv s="0">
    <fb>8.5</fb>
    <v>1</v>
  </rv>
  <rv s="0">
    <fb>8.5250000000000004</fb>
    <v>1</v>
  </rv>
  <rv s="0">
    <fb>8.23</fb>
    <v>1</v>
  </rv>
  <rv s="0">
    <fb>45772</fb>
    <v>0</v>
  </rv>
  <rv s="0">
    <fb>8.7200000000000006</fb>
    <v>1</v>
  </rv>
  <rv s="0">
    <fb>8.75</fb>
    <v>1</v>
  </rv>
  <rv s="0">
    <fb>8.34</fb>
    <v>1</v>
  </rv>
  <rv s="0">
    <fb>45775</fb>
    <v>0</v>
  </rv>
  <rv s="0">
    <fb>8.69</fb>
    <v>1</v>
  </rv>
  <rv s="0">
    <fb>8.8450000000000006</fb>
    <v>1</v>
  </rv>
  <rv s="0">
    <fb>8.6</fb>
    <v>1</v>
  </rv>
  <rv s="0">
    <fb>45776</fb>
    <v>0</v>
  </rv>
  <rv s="0">
    <fb>8.4600000000000009</fb>
    <v>1</v>
  </rv>
  <rv s="0">
    <fb>45777</fb>
    <v>0</v>
  </rv>
  <rv s="0">
    <fb>8.2799999999999994</fb>
    <v>1</v>
  </rv>
  <rv s="0">
    <fb>8.4849999999999994</fb>
    <v>1</v>
  </rv>
  <rv s="0">
    <fb>45778</fb>
    <v>0</v>
  </rv>
  <rv s="0">
    <fb>8.49</fb>
    <v>1</v>
  </rv>
  <rv s="0">
    <fb>8.24</fb>
    <v>1</v>
  </rv>
  <rv s="0">
    <fb>45779</fb>
    <v>0</v>
  </rv>
  <rv s="0">
    <fb>8.6199999999999992</fb>
    <v>1</v>
  </rv>
  <rv s="0">
    <fb>8.7100000000000009</fb>
    <v>1</v>
  </rv>
  <rv s="0">
    <fb>8.4550000000000001</fb>
    <v>1</v>
  </rv>
  <rv s="0">
    <fb>45782</fb>
    <v>0</v>
  </rv>
  <rv s="0">
    <fb>8.17</fb>
    <v>1</v>
  </rv>
  <rv s="0">
    <fb>45783</fb>
    <v>0</v>
  </rv>
  <rv s="0">
    <fb>7.95</fb>
    <v>1</v>
  </rv>
  <rv s="0">
    <fb>7.7050000000000001</fb>
    <v>1</v>
  </rv>
  <rv s="0">
    <fb>45784</fb>
    <v>0</v>
  </rv>
  <rv s="0">
    <fb>7.94</fb>
    <v>1</v>
  </rv>
  <rv s="0">
    <fb>8.11</fb>
    <v>1</v>
  </rv>
  <rv s="0">
    <fb>45785</fb>
    <v>0</v>
  </rv>
  <rv s="0">
    <fb>8.3699999999999992</fb>
    <v>1</v>
  </rv>
  <rv s="0">
    <fb>8.44</fb>
    <v>1</v>
  </rv>
  <rv s="0">
    <fb>8.0299999999999994</fb>
    <v>1</v>
  </rv>
  <rv s="0">
    <fb>45786</fb>
    <v>0</v>
  </rv>
  <rv s="0">
    <fb>8.3450000000000006</fb>
    <v>1</v>
  </rv>
  <rv s="0">
    <fb>45789</fb>
    <v>0</v>
  </rv>
  <rv s="0">
    <fb>9.1</fb>
    <v>1</v>
  </rv>
  <rv s="0">
    <fb>9.41</fb>
    <v>1</v>
  </rv>
  <rv s="0">
    <fb>9.0050000000000008</fb>
    <v>1</v>
  </rv>
  <rv s="0">
    <fb>45790</fb>
    <v>0</v>
  </rv>
  <rv s="0">
    <fb>9.5</fb>
    <v>1</v>
  </rv>
  <rv s="0">
    <fb>9.64</fb>
    <v>1</v>
  </rv>
  <rv s="0">
    <fb>9.1199999999999992</fb>
    <v>1</v>
  </rv>
  <rv s="0">
    <fb>45791</fb>
    <v>0</v>
  </rv>
  <rv s="0">
    <fb>9.4700000000000006</fb>
    <v>1</v>
  </rv>
  <rv s="0">
    <fb>9.5399999999999991</fb>
    <v>1</v>
  </rv>
  <rv s="0">
    <fb>9.34</fb>
    <v>1</v>
  </rv>
  <rv s="0">
    <fb>45792</fb>
    <v>0</v>
  </rv>
  <rv s="0">
    <fb>9.19</fb>
    <v>1</v>
  </rv>
  <rv s="0">
    <fb>9.32</fb>
    <v>1</v>
  </rv>
  <rv s="0">
    <fb>9</fb>
    <v>1</v>
  </rv>
  <rv s="0">
    <fb>45793</fb>
    <v>0</v>
  </rv>
  <rv s="0">
    <fb>9.1300000000000008</fb>
    <v>1</v>
  </rv>
  <rv s="0">
    <fb>9.2899999999999991</fb>
    <v>1</v>
  </rv>
  <rv s="0">
    <fb>8.9499999999999993</fb>
    <v>1</v>
  </rv>
  <rv s="0">
    <fb>45796</fb>
    <v>0</v>
  </rv>
  <rv s="0">
    <fb>8.9700000000000006</fb>
    <v>1</v>
  </rv>
  <rv s="0">
    <fb>8.99</fb>
    <v>1</v>
  </rv>
  <rv s="0">
    <fb>8.74</fb>
    <v>1</v>
  </rv>
  <rv s="0">
    <fb>45797</fb>
    <v>0</v>
  </rv>
  <rv s="0">
    <fb>9.0399999999999991</fb>
    <v>1</v>
  </rv>
  <rv s="0">
    <fb>9.1649999999999991</fb>
    <v>1</v>
  </rv>
  <rv s="0">
    <fb>8.8949999999999996</fb>
    <v>1</v>
  </rv>
  <rv s="0">
    <fb>45798</fb>
    <v>0</v>
  </rv>
  <rv s="0">
    <fb>8.9600000000000009</fb>
    <v>1</v>
  </rv>
  <rv s="0">
    <fb>45799</fb>
    <v>0</v>
  </rv>
  <rv s="0">
    <fb>8.65</fb>
    <v>1</v>
  </rv>
  <rv s="0">
    <fb>8.36</fb>
    <v>1</v>
  </rv>
  <rv s="0">
    <fb>45800</fb>
    <v>0</v>
  </rv>
  <rv s="0">
    <fb>8.5399999999999991</fb>
    <v>1</v>
  </rv>
  <rv s="0">
    <fb>8.58</fb>
    <v>1</v>
  </rv>
  <rv s="0">
    <fb>8.33</fb>
    <v>1</v>
  </rv>
  <rv s="0">
    <fb>45804</fb>
    <v>0</v>
  </rv>
  <rv s="0">
    <fb>8.68</fb>
    <v>1</v>
  </rv>
  <rv s="0">
    <fb>8.7050000000000001</fb>
    <v>1</v>
  </rv>
  <rv s="0">
    <fb>8.41</fb>
    <v>1</v>
  </rv>
  <rv s="0">
    <fb>45805</fb>
    <v>0</v>
  </rv>
  <rv s="0">
    <fb>8.6300000000000008</fb>
    <v>1</v>
  </rv>
  <rv s="0">
    <fb>8.8282000000000007</fb>
    <v>1</v>
  </rv>
  <rv s="0">
    <fb>8.5749999999999993</fb>
    <v>1</v>
  </rv>
  <rv s="0">
    <fb>45806</fb>
    <v>0</v>
  </rv>
  <rv s="0">
    <fb>8.6999999999999993</fb>
    <v>1</v>
  </rv>
  <rv s="0">
    <fb>8.7646999999999995</fb>
    <v>1</v>
  </rv>
  <rv s="0">
    <fb>8.5500000000000007</fb>
    <v>1</v>
  </rv>
  <rv s="0">
    <fb>45807</fb>
    <v>0</v>
  </rv>
  <rv s="0">
    <fb>8.39</fb>
    <v>1</v>
  </rv>
  <rv s="0">
    <fb>8.6449999999999996</fb>
    <v>1</v>
  </rv>
  <rv s="0">
    <fb>8.35</fb>
    <v>1</v>
  </rv>
  <rv s="0">
    <fb>45810</fb>
    <v>0</v>
  </rv>
  <rv s="0">
    <fb>8.73</fb>
    <v>1</v>
  </rv>
  <rv s="0">
    <fb>8.4749999999999996</fb>
    <v>1</v>
  </rv>
  <rv s="0">
    <fb>45811</fb>
    <v>0</v>
  </rv>
  <rv s="0">
    <fb>9.09</fb>
    <v>1</v>
  </rv>
  <rv s="0">
    <fb>9.1549999999999994</fb>
    <v>1</v>
  </rv>
  <rv s="0">
    <fb>45812</fb>
    <v>0</v>
  </rv>
  <rv s="0">
    <fb>8.7799999999999994</fb>
    <v>1</v>
  </rv>
  <rv s="0">
    <fb>9.27</fb>
    <v>1</v>
  </rv>
  <rv s="0">
    <fb>45813</fb>
    <v>0</v>
  </rv>
  <rv s="0">
    <fb>8.67</fb>
    <v>1</v>
  </rv>
  <rv s="0">
    <fb>8.89</fb>
    <v>1</v>
  </rv>
  <rv s="0">
    <fb>8.6150000000000002</fb>
    <v>1</v>
  </rv>
  <rv s="0">
    <fb>45814</fb>
    <v>0</v>
  </rv>
  <rv s="0">
    <fb>9.0299999999999994</fb>
    <v>1</v>
  </rv>
  <rv s="0">
    <fb>9.15</fb>
    <v>1</v>
  </rv>
  <rv s="0">
    <fb>8.82</fb>
    <v>1</v>
  </rv>
  <rv s="0">
    <fb>45817</fb>
    <v>0</v>
  </rv>
  <rv s="0">
    <fb>9.08</fb>
    <v>1</v>
  </rv>
  <rv s="0">
    <fb>9.2550000000000008</fb>
    <v>1</v>
  </rv>
  <rv s="0">
    <fb>45818</fb>
    <v>0</v>
  </rv>
  <rv s="0">
    <fb>9.17</fb>
    <v>1</v>
  </rv>
  <rv s="0">
    <fb>45819</fb>
    <v>0</v>
  </rv>
  <rv s="0">
    <fb>9.4600000000000009</fb>
    <v>1</v>
  </rv>
  <rv s="0">
    <fb>9.6</fb>
    <v>1</v>
  </rv>
  <rv s="0">
    <fb>9.16</fb>
    <v>1</v>
  </rv>
  <rv s="0">
    <fb>45820</fb>
    <v>0</v>
  </rv>
  <rv s="0">
    <fb>9.52</fb>
    <v>1</v>
  </rv>
  <rv s="0">
    <fb>9.5350000000000001</fb>
    <v>1</v>
  </rv>
  <rv s="0">
    <fb>9.2091999999999992</fb>
    <v>1</v>
  </rv>
  <rv s="0">
    <fb>45821</fb>
    <v>0</v>
  </rv>
  <rv s="0">
    <fb>9.7799999999999994</fb>
    <v>1</v>
  </rv>
  <rv s="0">
    <fb>10</fb>
    <v>1</v>
  </rv>
  <rv s="0">
    <fb>9.5299999999999994</fb>
    <v>1</v>
  </rv>
  <rv s="0">
    <fb>45824</fb>
    <v>0</v>
  </rv>
  <rv s="0">
    <fb>9.56</fb>
    <v>1</v>
  </rv>
  <rv s="0">
    <fb>9.7899999999999991</fb>
    <v>1</v>
  </rv>
  <rv s="0">
    <fb>9.4049999999999994</fb>
    <v>1</v>
  </rv>
  <rv s="0">
    <fb>45825</fb>
    <v>0</v>
  </rv>
  <rv s="0">
    <fb>9.58</fb>
    <v>1</v>
  </rv>
  <rv s="0">
    <fb>9.8800000000000008</fb>
    <v>1</v>
  </rv>
  <rv s="0">
    <fb>45826</fb>
    <v>0</v>
  </rv>
  <rv s="0">
    <fb>9.4849999999999994</fb>
    <v>1</v>
  </rv>
  <rv s="0">
    <fb>45828</fb>
    <v>0</v>
  </rv>
  <rv s="0">
    <fb>9.3949999999999996</fb>
    <v>1</v>
  </rv>
  <rv s="0">
    <fb>45831</fb>
    <v>0</v>
  </rv>
  <rv s="0">
    <fb>9.6050000000000004</fb>
    <v>1</v>
  </rv>
  <rv s="0">
    <fb>8.93</fb>
    <v>1</v>
  </rv>
  <rv s="0">
    <fb>45832</fb>
    <v>0</v>
  </rv>
  <rv s="0">
    <fb>8.77</fb>
    <v>1</v>
  </rv>
  <rv s="0">
    <fb>8.9749999999999996</fb>
    <v>1</v>
  </rv>
  <rv s="0">
    <fb>8.7149999999999999</fb>
    <v>1</v>
  </rv>
  <rv s="0">
    <fb>45833</fb>
    <v>0</v>
  </rv>
  <rv s="0">
    <fb>45834</fb>
    <v>0</v>
  </rv>
  <rv s="0">
    <fb>45835</fb>
    <v>0</v>
  </rv>
  <rv s="0">
    <fb>8.8849999999999998</fb>
    <v>1</v>
  </rv>
  <rv s="0">
    <fb>45838</fb>
    <v>0</v>
  </rv>
  <rv s="0">
    <fb>8.5950000000000006</fb>
    <v>1</v>
  </rv>
  <rv s="0">
    <fb>45839</fb>
    <v>0</v>
  </rv>
  <rv s="0">
    <fb>8.8800000000000008</fb>
    <v>1</v>
  </rv>
  <rv s="0">
    <fb>9.01</fb>
    <v>1</v>
  </rv>
  <rv s="0">
    <fb>45840</fb>
    <v>0</v>
  </rv>
  <rv s="0">
    <fb>8.8249999999999993</fb>
    <v>1</v>
  </rv>
  <rv s="0">
    <fb>45841</fb>
    <v>0</v>
  </rv>
  <rv s="0">
    <fb>9.0850000000000009</fb>
    <v>1</v>
  </rv>
  <rv s="0">
    <fb>45845</fb>
    <v>0</v>
  </rv>
  <rv s="0">
    <fb>8.83</fb>
    <v>1</v>
  </rv>
  <rv s="0">
    <fb>9.1750000000000007</fb>
    <v>1</v>
  </rv>
  <rv s="0">
    <fb>45846</fb>
    <v>0</v>
  </rv>
  <rv s="0">
    <fb>9.3800000000000008</fb>
    <v>1</v>
  </rv>
  <rv s="0">
    <fb>9.5549999999999997</fb>
    <v>1</v>
  </rv>
  <rv s="0">
    <fb>8.8524999999999991</fb>
    <v>1</v>
  </rv>
  <rv s="0">
    <fb>45847</fb>
    <v>0</v>
  </rv>
  <rv s="0">
    <fb>9.4499999999999993</fb>
    <v>1</v>
  </rv>
  <rv s="0">
    <fb>9.11</fb>
    <v>1</v>
  </rv>
  <rv s="0">
    <fb>45848</fb>
    <v>0</v>
  </rv>
  <rv s="0">
    <fb>9.3450000000000006</fb>
    <v>1</v>
  </rv>
  <rv s="0">
    <fb>45849</fb>
    <v>0</v>
  </rv>
  <rv s="0">
    <fb>9.25</fb>
    <v>1</v>
  </rv>
  <rv s="0">
    <fb>9.1349999999999998</fb>
    <v>1</v>
  </rv>
  <rv s="0">
    <fb>45852</fb>
    <v>0</v>
  </rv>
  <rv s="0">
    <fb>8.76</fb>
    <v>1</v>
  </rv>
  <rv s="0">
    <fb>9.24</fb>
    <v>1</v>
  </rv>
  <rv s="0">
    <fb>45853</fb>
    <v>0</v>
  </rv>
  <rv s="0">
    <fb>8.8752999999999993</fb>
    <v>1</v>
  </rv>
  <rv s="0">
    <fb>45854</fb>
    <v>0</v>
  </rv>
  <rv s="0">
    <fb>8.3650000000000002</fb>
    <v>1</v>
  </rv>
  <rv s="0">
    <fb>8.0399999999999991</fb>
    <v>1</v>
  </rv>
  <rv s="0">
    <fb>45855</fb>
    <v>0</v>
  </rv>
  <rv s="0">
    <fb>8.5649999999999995</fb>
    <v>1</v>
  </rv>
  <rv s="0">
    <fb>8.2750000000000004</fb>
    <v>1</v>
  </rv>
  <rv s="0">
    <fb>45856</fb>
    <v>0</v>
  </rv>
  <rv s="0">
    <fb>8.98</fb>
    <v>1</v>
  </rv>
  <rv s="0">
    <fb>45859</fb>
    <v>0</v>
  </rv>
  <rv s="0">
    <fb>8.4499999999999993</fb>
    <v>1</v>
  </rv>
  <rv s="0">
    <fb>8.7788000000000004</fb>
    <v>1</v>
  </rv>
  <rv s="0">
    <fb>8.42</fb>
    <v>1</v>
  </rv>
  <rv s="0">
    <fb>45860</fb>
    <v>0</v>
  </rv>
  <rv s="0">
    <fb>8.64</fb>
    <v>1</v>
  </rv>
  <rv s="0">
    <fb>8.48</fb>
    <v>1</v>
  </rv>
  <rv s="0">
    <fb>45861</fb>
    <v>0</v>
  </rv>
  <rv s="0">
    <fb>8.92</fb>
    <v>1</v>
  </rv>
  <rv s="0">
    <fb>8.9649999999999999</fb>
    <v>1</v>
  </rv>
  <rv s="0">
    <fb>8.5815999999999999</fb>
    <v>1</v>
  </rv>
  <rv s="0">
    <fb>45862</fb>
    <v>0</v>
  </rv>
  <rv s="0">
    <fb>9.2799999999999994</fb>
    <v>1</v>
  </rv>
  <rv s="0">
    <fb>9.33</fb>
    <v>1</v>
  </rv>
  <rv s="0">
    <fb>8.86</fb>
    <v>1</v>
  </rv>
  <rv s="0">
    <fb>45863</fb>
    <v>0</v>
  </rv>
  <rv s="0">
    <fb>9.1999999999999993</fb>
    <v>1</v>
  </rv>
  <rv s="0">
    <fb>9.3255999999999997</fb>
    <v>1</v>
  </rv>
  <rv s="0">
    <fb>9.125</fb>
    <v>1</v>
  </rv>
  <rv s="0">
    <fb>45866</fb>
    <v>0</v>
  </rv>
  <rv s="0">
    <fb>9.3000000000000007</fb>
    <v>1</v>
  </rv>
  <rv s="0">
    <fb>45867</fb>
    <v>0</v>
  </rv>
  <rv s="0">
    <fb>9.65</fb>
    <v>1</v>
  </rv>
  <rv s="0">
    <fb>9.69</fb>
    <v>1</v>
  </rv>
  <rv s="0">
    <fb>45868</fb>
    <v>0</v>
  </rv>
  <rv s="0">
    <fb>9.66</fb>
    <v>1</v>
  </rv>
  <rv s="0">
    <fb>9.375</fb>
    <v>1</v>
  </rv>
  <rv s="0">
    <fb>45869</fb>
    <v>0</v>
  </rv>
  <rv s="0">
    <fb>45870</fb>
    <v>0</v>
  </rv>
  <rv s="0">
    <fb>45873</fb>
    <v>0</v>
  </rv>
  <rv s="0">
    <fb>45874</fb>
    <v>0</v>
  </rv>
  <rv s="0">
    <fb>9.36</fb>
    <v>1</v>
  </rv>
  <rv s="0">
    <fb>9.5150000000000006</fb>
    <v>1</v>
  </rv>
  <rv s="0">
    <fb>45875</fb>
    <v>0</v>
  </rv>
  <rv s="0">
    <fb>9.23</fb>
    <v>1</v>
  </rv>
  <rv s="0">
    <fb>9.76</fb>
    <v>1</v>
  </rv>
  <rv s="0">
    <fb>9.2149999999999999</fb>
    <v>1</v>
  </rv>
  <rv s="0">
    <fb>45876</fb>
    <v>0</v>
  </rv>
  <rv s="0">
    <fb>9.57</fb>
    <v>1</v>
  </rv>
  <rv s="0">
    <fb>45877</fb>
    <v>0</v>
  </rv>
  <rv s="0">
    <fb>9.4450000000000003</fb>
    <v>1</v>
  </rv>
  <rv s="0">
    <fb>9.0749999999999993</fb>
    <v>1</v>
  </rv>
  <rv s="0">
    <fb>45880</fb>
    <v>0</v>
  </rv>
  <rv s="0">
    <fb>45881</fb>
    <v>0</v>
  </rv>
  <rv s="0">
    <fb>9.3699999999999992</fb>
    <v>1</v>
  </rv>
  <rv s="0">
    <fb>45882</fb>
    <v>0</v>
  </rv>
  <rv s="0">
    <fb>9.5749999999999993</fb>
    <v>1</v>
  </rv>
  <rv s="0">
    <fb>45883</fb>
    <v>0</v>
  </rv>
  <rv s="0">
    <fb>45884</fb>
    <v>0</v>
  </rv>
  <rv s="0">
    <fb>9.42</fb>
    <v>1</v>
  </rv>
  <rv s="0">
    <fb>9.6988000000000003</fb>
    <v>1</v>
  </rv>
  <rv s="0">
    <fb>9.3847000000000005</fb>
    <v>1</v>
  </rv>
  <rv s="0">
    <fb>45887</fb>
    <v>0</v>
  </rv>
  <rv s="0">
    <fb>9.4149999999999991</fb>
    <v>1</v>
  </rv>
  <rv s="0">
    <fb>9.14</fb>
    <v>1</v>
  </rv>
  <rv s="0">
    <fb>45888</fb>
    <v>0</v>
  </rv>
  <rv s="0">
    <fb>9.2200000000000006</fb>
    <v>1</v>
  </rv>
  <rv s="0">
    <fb>9.48</fb>
    <v>1</v>
  </rv>
  <rv s="0">
    <fb>45889</fb>
    <v>0</v>
  </rv>
  <rv s="0">
    <fb>9.39</fb>
    <v>1</v>
  </rv>
  <rv s="0">
    <fb>45890</fb>
    <v>0</v>
  </rv>
  <rv s="0">
    <fb>9.5050000000000008</fb>
    <v>1</v>
  </rv>
  <rv s="0">
    <fb>45891</fb>
    <v>0</v>
  </rv>
  <rv s="0">
    <fb>9.94</fb>
    <v>1</v>
  </rv>
  <rv s="0">
    <fb>9.99</fb>
    <v>1</v>
  </rv>
  <rv s="0">
    <fb>45894</fb>
    <v>0</v>
  </rv>
  <rv s="0">
    <fb>9.61</fb>
    <v>1</v>
  </rv>
  <rv s="0">
    <fb>45895</fb>
    <v>0</v>
  </rv>
  <rv s="0">
    <fb>9.02</fb>
    <v>1</v>
  </rv>
  <rv s="0">
    <fb>45896</fb>
    <v>0</v>
  </rv>
  <rv s="0">
    <fb>9.625</fb>
    <v>1</v>
  </rv>
  <rv s="0">
    <fb>8.9949999999999992</fb>
    <v>1</v>
  </rv>
  <rv s="0">
    <fb>45897</fb>
    <v>0</v>
  </rv>
  <rv s="0">
    <fb>9.6199999999999992</fb>
    <v>1</v>
  </rv>
  <rv s="0">
    <fb>45898</fb>
    <v>0</v>
  </rv>
  <rv s="0">
    <fb>9.4747000000000003</fb>
    <v>1</v>
  </rv>
  <rv s="0">
    <fb>45902</fb>
    <v>0</v>
  </rv>
  <rv s="0">
    <fb>9.9</fb>
    <v>1</v>
  </rv>
  <rv s="0">
    <fb>9.91</fb>
    <v>1</v>
  </rv>
  <rv s="0">
    <fb>45903</fb>
    <v>0</v>
  </rv>
  <rv s="0">
    <fb>9.43</fb>
    <v>1</v>
  </rv>
  <rv s="0">
    <fb>45904</fb>
    <v>0</v>
  </rv>
  <rv s="0">
    <fb>9.49</fb>
    <v>1</v>
  </rv>
  <rv s="0">
    <fb>45905</fb>
    <v>0</v>
  </rv>
  <rv s="0">
    <fb>45908</fb>
    <v>0</v>
  </rv>
  <rv s="0">
    <fb>8.84</fb>
    <v>1</v>
  </rv>
  <rv s="0">
    <fb>45909</fb>
    <v>0</v>
  </rv>
  <rv s="0">
    <fb>8.2200000000000006</fb>
    <v>1</v>
  </rv>
  <rv s="0">
    <fb>45910</fb>
    <v>0</v>
  </rv>
  <rv s="0">
    <fb>45911</fb>
    <v>0</v>
  </rv>
  <rv s="0">
    <fb>8.8000000000000007</fb>
    <v>1</v>
  </rv>
  <rv s="0">
    <fb>8.81</fb>
    <v>1</v>
  </rv>
  <rv s="0">
    <fb>45912</fb>
    <v>0</v>
  </rv>
  <rv s="0">
    <fb>45915</fb>
    <v>0</v>
  </rv>
  <rv s="0">
    <fb>45916</fb>
    <v>0</v>
  </rv>
  <rv s="0">
    <fb>8.8055000000000003</fb>
    <v>1</v>
  </rv>
  <rv s="0">
    <fb>8.51</fb>
    <v>1</v>
  </rv>
  <rv s="0">
    <fb>45917</fb>
    <v>0</v>
  </rv>
  <rv s="0">
    <fb>45918</fb>
    <v>0</v>
  </rv>
  <rv s="0">
    <fb>45919</fb>
    <v>0</v>
  </rv>
  <rv s="0">
    <fb>45922</fb>
    <v>0</v>
  </rv>
  <rv s="0">
    <fb>45923</fb>
    <v>0</v>
  </rv>
  <rv s="0">
    <fb>45924</fb>
    <v>0</v>
  </rv>
  <rv s="0">
    <fb>9.7750000000000004</fb>
    <v>1</v>
  </rv>
  <rv s="0">
    <fb>45925</fb>
    <v>0</v>
  </rv>
  <rv s="0">
    <fb>9.31</fb>
    <v>1</v>
  </rv>
  <rv s="0">
    <fb>45926</fb>
    <v>0</v>
  </rv>
  <rv s="0">
    <fb>9.77</fb>
    <v>1</v>
  </rv>
  <rv s="0">
    <fb>9.9700000000000006</fb>
    <v>1</v>
  </rv>
  <rv s="0">
    <fb>45929</fb>
    <v>0</v>
  </rv>
  <rv s="0">
    <fb>9.06</fb>
    <v>1</v>
  </rv>
  <rv s="0">
    <fb>45930</fb>
    <v>0</v>
  </rv>
  <rv s="0">
    <fb>8.6850000000000005</fb>
    <v>1</v>
  </rv>
  <rv s="0">
    <fb>45931</fb>
    <v>0</v>
  </rv>
  <rv s="0">
    <fb>45932</fb>
    <v>0</v>
  </rv>
  <rv s="0">
    <fb>8.6349999999999998</fb>
    <v>1</v>
  </rv>
  <rv s="0">
    <fb>45933</fb>
    <v>0</v>
  </rv>
  <rv s="0">
    <fb>8.7249999999999996</fb>
    <v>1</v>
  </rv>
  <rv s="0">
    <fb>45936</fb>
    <v>0</v>
  </rv>
  <rv s="0">
    <fb>9.4</fb>
    <v>1</v>
  </rv>
  <rv s="0">
    <fb>45937</fb>
    <v>0</v>
  </rv>
  <rv s="0">
    <fb>9.1598000000000006</fb>
    <v>1</v>
  </rv>
  <rv s="0">
    <fb>45938</fb>
    <v>0</v>
  </rv>
  <rv s="0">
    <fb>45939</fb>
    <v>0</v>
  </rv>
  <rv s="0">
    <fb>8.94</fb>
    <v>1</v>
  </rv>
  <rv s="0">
    <fb>45940</fb>
    <v>0</v>
  </rv>
  <rv s="0">
    <fb>8.08</fb>
    <v>1</v>
  </rv>
  <rv s="0">
    <fb>8.06</fb>
    <v>1</v>
  </rv>
  <rv s="0">
    <fb>45943</fb>
    <v>0</v>
  </rv>
  <rv s="0">
    <fb>8.1201000000000008</fb>
    <v>1</v>
  </rv>
  <rv s="0">
    <fb>45944</fb>
    <v>0</v>
  </rv>
  <rv s="0">
    <fb>8.3049999999999997</fb>
    <v>1</v>
  </rv>
  <rv s="0">
    <fb>45945</fb>
    <v>0</v>
  </rv>
  <rv s="0">
    <fb>8.32</fb>
    <v>1</v>
  </rv>
  <rv s="0">
    <fb>45946</fb>
    <v>0</v>
  </rv>
  <rv s="0">
    <fb>45947</fb>
    <v>0</v>
  </rv>
  <rv s="0">
    <fb>8.25</fb>
    <v>1</v>
  </rv>
  <rv s="0">
    <fb>8.09</fb>
    <v>1</v>
  </rv>
  <rv s="0">
    <fb>45950</fb>
    <v>0</v>
  </rv>
  <rv s="0">
    <fb>45951</fb>
    <v>0</v>
  </rv>
  <rv s="0">
    <fb>7.99</fb>
    <v>1</v>
  </rv>
  <rv s="0">
    <fb>8.1999999999999993</fb>
    <v>1</v>
  </rv>
  <rv s="0">
    <fb>45952</fb>
    <v>0</v>
  </rv>
  <rv s="0">
    <fb>7.9301000000000004</fb>
    <v>1</v>
  </rv>
  <rv s="0">
    <fb>45953</fb>
    <v>0</v>
  </rv>
  <rv s="0">
    <fb>8.5299999999999994</fb>
    <v>1</v>
  </rv>
  <rv s="0">
    <fb>45954</fb>
    <v>0</v>
  </rv>
  <rv s="0">
    <fb>8.375</fb>
    <v>1</v>
  </rv>
  <rv s="0">
    <fb>45957</fb>
    <v>0</v>
  </rv>
  <rv s="0">
    <fb>45958</fb>
    <v>0</v>
  </rv>
  <rv s="0">
    <fb>8.4</fb>
    <v>1</v>
  </rv>
  <rv s="0">
    <fb>8.0549999999999997</fb>
    <v>1</v>
  </rv>
  <rv s="0">
    <fb>45959</fb>
    <v>0</v>
  </rv>
  <rv s="0">
    <fb>8.14</fb>
    <v>1</v>
  </rv>
  <rv s="0">
    <fb>8.2881999999999998</fb>
    <v>1</v>
  </rv>
  <rv s="0">
    <fb>8</fb>
    <v>1</v>
  </rv>
  <rv s="0">
    <fb>45960</fb>
    <v>0</v>
  </rv>
  <rv s="0">
    <fb>8.15</fb>
    <v>1</v>
  </rv>
  <rv s="0">
    <fb>7.97</fb>
    <v>1</v>
  </rv>
  <rv s="0">
    <fb>45961</fb>
    <v>0</v>
  </rv>
  <rv s="0">
    <fb>45964</fb>
    <v>0</v>
  </rv>
  <rv s="0">
    <fb>45965</fb>
    <v>0</v>
  </rv>
  <rv s="0">
    <fb>8.0500000000000007</fb>
    <v>1</v>
  </rv>
  <rv s="0">
    <fb>8.52</fb>
    <v>1</v>
  </rv>
  <rv s="0">
    <fb>45966</fb>
    <v>0</v>
  </rv>
  <rv s="0">
    <fb>45967</fb>
    <v>0</v>
  </rv>
  <rv s="0">
    <fb>8.5982000000000003</fb>
    <v>1</v>
  </rv>
  <rv s="0">
    <fb>45968</fb>
    <v>0</v>
  </rv>
  <rv s="0">
    <fb>8.9</fb>
    <v>1</v>
  </rv>
  <rv s="0">
    <fb>45971</fb>
    <v>0</v>
  </rv>
  <rv s="0">
    <fb>45972</fb>
    <v>0</v>
  </rv>
  <rv s="0">
    <fb>9.8149999999999995</fb>
    <v>1</v>
  </rv>
  <rv s="0">
    <fb>45973</fb>
    <v>0</v>
  </rv>
  <rv s="0">
    <fb>9.6999999999999993</fb>
    <v>1</v>
  </rv>
  <rv s="0">
    <fb>45974</fb>
    <v>0</v>
  </rv>
  <rv s="0">
    <fb>45975</fb>
    <v>0</v>
  </rv>
  <rv s="0">
    <fb>9.44</fb>
    <v>1</v>
  </rv>
  <rv s="0">
    <fb>45978</fb>
    <v>0</v>
  </rv>
  <rv s="0">
    <fb>8.8699999999999992</fb>
    <v>1</v>
  </rv>
  <rv s="0">
    <fb>9.3249999999999993</fb>
    <v>1</v>
  </rv>
  <rv s="0">
    <fb>8.7550000000000008</fb>
    <v>1</v>
  </rv>
  <rv s="0">
    <fb>45979</fb>
    <v>0</v>
  </rv>
  <rv s="0">
    <fb>45980</fb>
    <v>0</v>
  </rv>
  <rv s="0">
    <fb>9.0500000000000007</fb>
    <v>1</v>
  </rv>
  <rv s="0">
    <fb>8.66</fb>
    <v>1</v>
  </rv>
  <rv s="0">
    <fb>45981</fb>
    <v>0</v>
  </rv>
  <rv s="0">
    <fb>45982</fb>
    <v>0</v>
  </rv>
  <rv s="0">
    <fb>8.2149999999999999</fb>
    <v>1</v>
  </rv>
  <rv s="0">
    <fb>45985</fb>
    <v>0</v>
  </rv>
  <rv s="0">
    <fb>45986</fb>
    <v>0</v>
  </rv>
  <rv s="0">
    <fb>8.9049999999999994</fb>
    <v>1</v>
  </rv>
  <rv s="0">
    <fb>45987</fb>
    <v>0</v>
  </rv>
  <rv s="0">
    <fb>9.18</fb>
    <v>1</v>
  </rv>
  <rv s="0">
    <fb>45989</fb>
    <v>0</v>
  </rv>
  <rv s="0">
    <fb>45992</fb>
    <v>0</v>
  </rv>
  <rv s="0">
    <fb>9.35</fb>
    <v>1</v>
  </rv>
  <rv s="0">
    <fb>9.6300000000000008</fb>
    <v>1</v>
  </rv>
  <rv s="0">
    <fb>45993</fb>
    <v>0</v>
  </rv>
  <rv s="0">
    <fb>45994</fb>
    <v>0</v>
  </rv>
  <rv s="0">
    <fb>9.8000000000000007</fb>
    <v>1</v>
  </rv>
  <rv s="0">
    <fb>45995</fb>
    <v>0</v>
  </rv>
  <rv s="0">
    <fb>9.89</fb>
    <v>1</v>
  </rv>
  <rv s="0">
    <fb>9.7449999999999992</fb>
    <v>1</v>
  </rv>
  <rv s="0">
    <fb>45996</fb>
    <v>0</v>
  </rv>
  <rv s="0">
    <fb>9.98</fb>
    <v>1</v>
  </rv>
  <rv s="0">
    <fb>10.225</fb>
    <v>1</v>
  </rv>
  <rv s="0">
    <fb>45999</fb>
    <v>0</v>
  </rv>
  <rv s="0">
    <fb>10.050000000000001</fb>
    <v>1</v>
  </rv>
  <rv s="0">
    <fb>9.81</fb>
    <v>1</v>
  </rv>
  <rv s="0">
    <fb>46000</fb>
    <v>0</v>
  </rv>
  <rv s="0">
    <fb>9.86</fb>
    <v>1</v>
  </rv>
  <rv s="0">
    <fb>10.005000000000001</fb>
    <v>1</v>
  </rv>
  <rv s="0">
    <fb>9.7100000000000009</fb>
    <v>1</v>
  </rv>
  <rv s="0">
    <fb>46001</fb>
    <v>0</v>
  </rv>
  <rv s="0">
    <fb>9.82</fb>
    <v>1</v>
  </rv>
  <rv s="0">
    <fb>9.4972999999999992</fb>
    <v>1</v>
  </rv>
  <rv s="0">
    <fb>68235708</fb>
    <v>2</v>
  </rv>
  <rv s="0">
    <fb>9.7236999999999991</fb>
    <v>1</v>
  </rv>
  <rv s="0">
    <fb>78487552</fb>
    <v>2</v>
  </rv>
  <rv s="0">
    <fb>9.7630999999999997</fb>
    <v>1</v>
  </rv>
  <rv s="0">
    <fb>64867023</fb>
    <v>2</v>
  </rv>
  <rv s="0">
    <fb>9.6056000000000008</fb>
    <v>1</v>
  </rv>
  <rv s="0">
    <fb>63407119</fb>
    <v>2</v>
  </rv>
  <rv s="0">
    <fb>9.5859000000000005</fb>
    <v>1</v>
  </rv>
  <rv s="0">
    <fb>62670278</fb>
    <v>2</v>
  </rv>
  <rv s="0">
    <fb>74552875</fb>
    <v>2</v>
  </rv>
  <rv s="0">
    <fb>9.5564</fb>
    <v>1</v>
  </rv>
  <rv s="0">
    <fb>67084313</fb>
    <v>2</v>
  </rv>
  <rv s="0">
    <fb>9.6252999999999993</fb>
    <v>1</v>
  </rv>
  <rv s="0">
    <fb>46150035</fb>
    <v>2</v>
  </rv>
  <rv s="0">
    <fb>9.7926000000000002</fb>
    <v>1</v>
  </rv>
  <rv s="0">
    <fb>69778271</fb>
    <v>2</v>
  </rv>
  <rv s="0">
    <fb>9.8515999999999995</fb>
    <v>1</v>
  </rv>
  <rv s="0">
    <fb>46505753</fb>
    <v>2</v>
  </rv>
  <rv s="0">
    <fb>10.019</fb>
    <v>1</v>
  </rv>
  <rv s="0">
    <fb>61780110</fb>
    <v>2</v>
  </rv>
  <rv s="0">
    <fb>10.265000000000001</fb>
    <v>1</v>
  </rv>
  <rv s="0">
    <fb>66726387</fb>
    <v>2</v>
  </rv>
  <rv s="0">
    <fb>9.8712999999999997</fb>
    <v>1</v>
  </rv>
  <rv s="0">
    <fb>65993172</fb>
    <v>2</v>
  </rv>
  <rv s="0">
    <fb>9.9992999999999999</fb>
    <v>1</v>
  </rv>
  <rv s="0">
    <fb>57145140</fb>
    <v>2</v>
  </rv>
  <rv s="0">
    <fb>9.9598999999999993</fb>
    <v>1</v>
  </rv>
  <rv s="0">
    <fb>43598838</fb>
    <v>2</v>
  </rv>
  <rv s="0">
    <fb>10.2158</fb>
    <v>1</v>
  </rv>
  <rv s="0">
    <fb>74257329</fb>
    <v>2</v>
  </rv>
  <rv s="0">
    <fb>9.9205000000000005</fb>
    <v>1</v>
  </rv>
  <rv s="0">
    <fb>93659287</fb>
    <v>2</v>
  </rv>
  <rv s="0">
    <fb>10.048500000000001</fb>
    <v>1</v>
  </rv>
  <rv s="0">
    <fb>71111881</fb>
    <v>2</v>
  </rv>
  <rv s="0">
    <fb>70782906</fb>
    <v>2</v>
  </rv>
  <rv s="0">
    <fb>105393560</fb>
    <v>2</v>
  </rv>
  <rv s="0">
    <fb>9.7334999999999994</fb>
    <v>1</v>
  </rv>
  <rv s="0">
    <fb>133542924</fb>
    <v>2</v>
  </rv>
  <rv s="0">
    <fb>69821048</fb>
    <v>2</v>
  </rv>
  <rv s="0">
    <fb>126184045</fb>
    <v>2</v>
  </rv>
  <rv s="0">
    <fb>9.1135000000000002</fb>
    <v>1</v>
  </rv>
  <rv s="0">
    <fb>226339032</fb>
    <v>2</v>
  </rv>
  <rv s="0">
    <fb>9.0937999999999999</fb>
    <v>1</v>
  </rv>
  <rv s="0">
    <fb>143116839</fb>
    <v>2</v>
  </rv>
  <rv s="0">
    <fb>73328062</fb>
    <v>2</v>
  </rv>
  <rv s="0">
    <fb>9.0642999999999994</fb>
    <v>1</v>
  </rv>
  <rv s="0">
    <fb>55726170</fb>
    <v>2</v>
  </rv>
  <rv s="0">
    <fb>9.0839999999999996</fb>
    <v>1</v>
  </rv>
  <rv s="0">
    <fb>68421994</fb>
    <v>2</v>
  </rv>
  <rv s="0">
    <fb>9.2020999999999997</fb>
    <v>1</v>
  </rv>
  <rv s="0">
    <fb>73218126</fb>
    <v>2</v>
  </rv>
  <rv s="0">
    <fb>54642783</fb>
    <v>2</v>
  </rv>
  <rv s="0">
    <fb>62175764</fb>
    <v>2</v>
  </rv>
  <rv s="0">
    <fb>50191726</fb>
    <v>2</v>
  </rv>
  <rv s="0">
    <fb>39787792</fb>
    <v>2</v>
  </rv>
  <rv s="0">
    <fb>58437662</fb>
    <v>2</v>
  </rv>
  <rv s="0">
    <fb>72562637</fb>
    <v>2</v>
  </rv>
  <rv s="0">
    <fb>88876827</fb>
    <v>2</v>
  </rv>
  <rv s="0">
    <fb>87948083</fb>
    <v>2</v>
  </rv>
  <rv s="0">
    <fb>70518755</fb>
    <v>2</v>
  </rv>
  <rv s="0">
    <fb>9.5500000000000007</fb>
    <v>1</v>
  </rv>
  <rv s="0">
    <fb>137992574</fb>
    <v>2</v>
  </rv>
  <rv s="0">
    <fb>154435905</fb>
    <v>2</v>
  </rv>
  <rv s="0">
    <fb>167499954</fb>
    <v>2</v>
  </rv>
  <rv s="0">
    <fb>157774904</fb>
    <v>2</v>
  </rv>
  <rv s="0">
    <fb>136680746</fb>
    <v>2</v>
  </rv>
  <rv s="0">
    <fb>150644884</fb>
    <v>2</v>
  </rv>
  <rv s="0">
    <fb>9.9600000000000009</fb>
    <v>1</v>
  </rv>
  <rv s="0">
    <fb>167183809</fb>
    <v>2</v>
  </rv>
  <rv s="0">
    <fb>210126974</fb>
    <v>2</v>
  </rv>
  <rv s="0">
    <fb>9.59</fb>
    <v>1</v>
  </rv>
  <rv s="0">
    <fb>129994592</fb>
    <v>2</v>
  </rv>
  <rv s="0">
    <fb>137747632</fb>
    <v>2</v>
  </rv>
  <rv s="0">
    <fb>9.73</fb>
    <v>1</v>
  </rv>
  <rv s="0">
    <fb>91313759</fb>
    <v>2</v>
  </rv>
  <rv s="0">
    <fb>9.92</fb>
    <v>1</v>
  </rv>
  <rv s="0">
    <fb>98583068</fb>
    <v>2</v>
  </rv>
  <rv s="0">
    <fb>9.9499999999999993</fb>
    <v>1</v>
  </rv>
  <rv s="0">
    <fb>102730930</fb>
    <v>2</v>
  </rv>
  <rv s="0">
    <fb>10.17</fb>
    <v>1</v>
  </rv>
  <rv s="0">
    <fb>124697379</fb>
    <v>2</v>
  </rv>
  <rv s="0">
    <fb>10.01</fb>
    <v>1</v>
  </rv>
  <rv s="0">
    <fb>109103733</fb>
    <v>2</v>
  </rv>
  <rv s="0">
    <fb>240638631</fb>
    <v>2</v>
  </rv>
  <rv s="0">
    <fb>10.25</fb>
    <v>1</v>
  </rv>
  <rv s="0">
    <fb>102847191</fb>
    <v>2</v>
  </rv>
  <rv s="0">
    <fb>10.29</fb>
    <v>1</v>
  </rv>
  <rv s="0">
    <fb>83674856</fb>
    <v>2</v>
  </rv>
  <rv s="0">
    <fb>140975582</fb>
    <v>2</v>
  </rv>
  <rv s="0">
    <fb>229032469</fb>
    <v>2</v>
  </rv>
  <rv s="0">
    <fb>9.7200000000000006</fb>
    <v>1</v>
  </rv>
  <rv s="0">
    <fb>136868327</fb>
    <v>2</v>
  </rv>
  <rv s="0">
    <fb>10.029999999999999</fb>
    <v>1</v>
  </rv>
  <rv s="0">
    <fb>139951868</fb>
    <v>2</v>
  </rv>
  <rv s="0">
    <fb>135388684</fb>
    <v>2</v>
  </rv>
  <rv s="0">
    <fb>10.15</fb>
    <v>1</v>
  </rv>
  <rv s="0">
    <fb>136908485</fb>
    <v>2</v>
  </rv>
  <rv s="0">
    <fb>220270980</fb>
    <v>2</v>
  </rv>
  <rv s="0">
    <fb>177466228</fb>
    <v>2</v>
  </rv>
  <rv s="0">
    <fb>274938497</fb>
    <v>2</v>
  </rv>
  <rv s="0">
    <fb>199286778</fb>
    <v>2</v>
  </rv>
  <rv s="0">
    <fb>199662988</fb>
    <v>2</v>
  </rv>
  <rv s="0">
    <fb>163535434</fb>
    <v>2</v>
  </rv>
  <rv s="0">
    <fb>146073701</fb>
    <v>2</v>
  </rv>
  <rv s="0">
    <fb>189955001</fb>
    <v>2</v>
  </rv>
  <rv s="0">
    <fb>125469023</fb>
    <v>2</v>
  </rv>
  <rv s="0">
    <fb>133804943</fb>
    <v>2</v>
  </rv>
  <rv s="0">
    <fb>129204565</fb>
    <v>2</v>
  </rv>
  <rv s="0">
    <fb>94138882</fb>
    <v>2</v>
  </rv>
  <rv s="0">
    <fb>121387081</fb>
    <v>2</v>
  </rv>
  <rv s="0">
    <fb>158691527</fb>
    <v>2</v>
  </rv>
  <rv s="0">
    <fb>10.06</fb>
    <v>1</v>
  </rv>
  <rv s="0">
    <fb>87031042</fb>
    <v>2</v>
  </rv>
  <rv s="0">
    <fb>10.039999999999999</fb>
    <v>1</v>
  </rv>
  <rv s="0">
    <fb>88682432</fb>
    <v>2</v>
  </rv>
  <rv s="0">
    <fb>10.02</fb>
    <v>1</v>
  </rv>
  <rv s="0">
    <fb>77051524</fb>
    <v>2</v>
  </rv>
  <rv s="0">
    <fb>141980313</fb>
    <v>2</v>
  </rv>
  <rv s="0">
    <fb>136406235</fb>
    <v>2</v>
  </rv>
  <rv s="0">
    <fb>10.18</fb>
    <v>1</v>
  </rv>
  <rv s="0">
    <fb>126532486</fb>
    <v>2</v>
  </rv>
  <rv s="0">
    <fb>10.28</fb>
    <v>1</v>
  </rv>
  <rv s="0">
    <fb>82228655</fb>
    <v>2</v>
  </rv>
  <rv s="0">
    <fb>105766259</fb>
    <v>2</v>
  </rv>
  <rv s="0">
    <fb>10.44</fb>
    <v>1</v>
  </rv>
  <rv s="0">
    <fb>131814035</fb>
    <v>2</v>
  </rv>
  <rv s="0">
    <fb>116936644</fb>
    <v>2</v>
  </rv>
  <rv s="0">
    <fb>107173416</fb>
    <v>2</v>
  </rv>
  <rv s="0">
    <fb>10.43</fb>
    <v>1</v>
  </rv>
  <rv s="0">
    <fb>76350701</fb>
    <v>2</v>
  </rv>
  <rv s="0">
    <fb>10.55</fb>
    <v>1</v>
  </rv>
  <rv s="0">
    <fb>102035764</fb>
    <v>2</v>
  </rv>
  <rv s="0">
    <fb>83671012</fb>
    <v>2</v>
  </rv>
  <rv s="0">
    <fb>10.65</fb>
    <v>1</v>
  </rv>
  <rv s="0">
    <fb>84453089</fb>
    <v>2</v>
  </rv>
  <rv s="0">
    <fb>10.75</fb>
    <v>1</v>
  </rv>
  <rv s="0">
    <fb>71096528</fb>
    <v>2</v>
  </rv>
  <rv s="0">
    <fb>10.8</fb>
    <v>1</v>
  </rv>
  <rv s="0">
    <fb>64913005</fb>
    <v>2</v>
  </rv>
  <rv s="0">
    <fb>60195734</fb>
    <v>2</v>
  </rv>
  <rv s="0">
    <fb>61063828</fb>
    <v>2</v>
  </rv>
  <rv s="0">
    <fb>10.48</fb>
    <v>1</v>
  </rv>
  <rv s="0">
    <fb>89090498</fb>
    <v>2</v>
  </rv>
  <rv s="0">
    <fb>94081143</fb>
    <v>2</v>
  </rv>
  <rv s="0">
    <fb>10.36</fb>
    <v>1</v>
  </rv>
  <rv s="0">
    <fb>80519024</fb>
    <v>2</v>
  </rv>
  <rv s="0">
    <fb>10.31</fb>
    <v>1</v>
  </rv>
  <rv s="0">
    <fb>89066847</fb>
    <v>2</v>
  </rv>
  <rv s="0">
    <fb>102335584</fb>
    <v>2</v>
  </rv>
  <rv s="0">
    <fb>10.220000000000001</fb>
    <v>1</v>
  </rv>
  <rv s="0">
    <fb>101688883</fb>
    <v>2</v>
  </rv>
  <rv s="0">
    <fb>10.38</fb>
    <v>1</v>
  </rv>
  <rv s="0">
    <fb>152191621</fb>
    <v>2</v>
  </rv>
  <rv s="0">
    <fb>170340783</fb>
    <v>2</v>
  </rv>
  <rv s="0">
    <fb>10.19</fb>
    <v>1</v>
  </rv>
  <rv s="0">
    <fb>121584328</fb>
    <v>2</v>
  </rv>
  <rv s="0">
    <fb>10.24</fb>
    <v>1</v>
  </rv>
  <rv s="0">
    <fb>123191229</fb>
    <v>2</v>
  </rv>
  <rv s="0">
    <fb>10.1</fb>
    <v>1</v>
  </rv>
  <rv s="0">
    <fb>133269444</fb>
    <v>2</v>
  </rv>
  <rv s="0">
    <fb>105916694</fb>
    <v>2</v>
  </rv>
  <rv s="0">
    <fb>10.34</fb>
    <v>1</v>
  </rv>
  <rv s="0">
    <fb>63638928</fb>
    <v>2</v>
  </rv>
  <rv s="0">
    <fb>87955501</fb>
    <v>2</v>
  </rv>
  <rv s="0">
    <fb>10.66</fb>
    <v>1</v>
  </rv>
  <rv s="0">
    <fb>93094876</fb>
    <v>2</v>
  </rv>
  <rv s="0">
    <fb>10.53</fb>
    <v>1</v>
  </rv>
  <rv s="0">
    <fb>76393291</fb>
    <v>2</v>
  </rv>
  <rv s="0">
    <fb>90106172</fb>
    <v>2</v>
  </rv>
  <rv s="0">
    <fb>10.62</fb>
    <v>1</v>
  </rv>
  <rv s="0">
    <fb>75195179</fb>
    <v>2</v>
  </rv>
  <rv s="0">
    <fb>10.42</fb>
    <v>1</v>
  </rv>
  <rv s="0">
    <fb>100969375</fb>
    <v>2</v>
  </rv>
  <rv s="0">
    <fb>82770168</fb>
    <v>2</v>
  </rv>
  <rv s="0">
    <fb>10.59</fb>
    <v>1</v>
  </rv>
  <rv s="0">
    <fb>116743402</fb>
    <v>2</v>
  </rv>
  <rv s="0">
    <fb>77576511</fb>
    <v>2</v>
  </rv>
  <rv s="0">
    <fb>10.73</fb>
    <v>1</v>
  </rv>
  <rv s="0">
    <fb>77244413</fb>
    <v>2</v>
  </rv>
  <rv s="0">
    <fb>91927326</fb>
    <v>2</v>
  </rv>
  <rv s="0">
    <fb>10.63</fb>
    <v>1</v>
  </rv>
  <rv s="0">
    <fb>88416356</fb>
    <v>2</v>
  </rv>
  <rv s="0">
    <fb>182008244</fb>
    <v>2</v>
  </rv>
  <rv s="0">
    <fb>10.85</fb>
    <v>1</v>
  </rv>
  <rv s="0">
    <fb>88472231</fb>
    <v>2</v>
  </rv>
  <rv s="0">
    <fb>11.35</fb>
    <v>1</v>
  </rv>
  <rv s="0">
    <fb>140150738</fb>
    <v>2</v>
  </rv>
  <rv s="0">
    <fb>122331588</fb>
    <v>2</v>
  </rv>
  <rv s="0">
    <fb>11.81</fb>
    <v>1</v>
  </rv>
  <rv s="0">
    <fb>60311463</fb>
    <v>2</v>
  </rv>
  <rv s="0">
    <fb>11.59</fb>
    <v>1</v>
  </rv>
  <rv s="0">
    <fb>73842100</fb>
    <v>2</v>
  </rv>
  <rv s="0">
    <fb>11.68</fb>
    <v>1</v>
  </rv>
  <rv s="0">
    <fb>74190215</fb>
    <v>2</v>
  </rv>
  <rv s="0">
    <fb>11.83</fb>
    <v>1</v>
  </rv>
  <rv s="0">
    <fb>63886882</fb>
    <v>2</v>
  </rv>
  <rv s="0">
    <fb>11.91</fb>
    <v>1</v>
  </rv>
  <rv s="0">
    <fb>67263023</fb>
    <v>2</v>
  </rv>
  <rv s="0">
    <fb>11.78</fb>
    <v>1</v>
  </rv>
  <rv s="0">
    <fb>65340737</fb>
    <v>2</v>
  </rv>
  <rv s="0">
    <fb>11.88</fb>
    <v>1</v>
  </rv>
  <rv s="0">
    <fb>62098074</fb>
    <v>2</v>
  </rv>
  <rv s="0">
    <fb>11.57</fb>
    <v>1</v>
  </rv>
  <rv s="0">
    <fb>65101902</fb>
    <v>2</v>
  </rv>
  <rv s="0">
    <fb>107978145</fb>
    <v>2</v>
  </rv>
  <rv s="0">
    <fb>11.15</fb>
    <v>1</v>
  </rv>
  <rv s="0">
    <fb>70345257</fb>
    <v>2</v>
  </rv>
  <rv s="0">
    <fb>11.16</fb>
    <v>1</v>
  </rv>
  <rv s="0">
    <fb>68812553</fb>
    <v>2</v>
  </rv>
  <rv s="0">
    <fb>11.31</fb>
    <v>1</v>
  </rv>
  <rv s="0">
    <fb>65515630</fb>
    <v>2</v>
  </rv>
  <rv s="0">
    <fb>11.19</fb>
    <v>1</v>
  </rv>
  <rv s="0">
    <fb>79403755</fb>
    <v>2</v>
  </rv>
  <rv s="0">
    <fb>76163207</fb>
    <v>2</v>
  </rv>
  <rv s="0">
    <fb>63557796</fb>
    <v>2</v>
  </rv>
  <rv s="0">
    <fb>52312257</fb>
    <v>2</v>
  </rv>
  <rv s="0">
    <fb>11.28</fb>
    <v>1</v>
  </rv>
  <rv s="0">
    <fb>54173647</fb>
    <v>2</v>
  </rv>
  <rv s="0">
    <fb>58371483</fb>
    <v>2</v>
  </rv>
  <rv s="0">
    <fb>79866858</fb>
    <v>2</v>
  </rv>
  <rv s="0">
    <fb>11.07</fb>
    <v>1</v>
  </rv>
  <rv s="0">
    <fb>101090884</fb>
    <v>2</v>
  </rv>
  <rv s="0">
    <fb>73541489</fb>
    <v>2</v>
  </rv>
  <rv s="0">
    <fb>56696828</fb>
    <v>2</v>
  </rv>
  <rv s="0">
    <fb>11.06</fb>
    <v>1</v>
  </rv>
  <rv s="0">
    <fb>58864252</fb>
    <v>2</v>
  </rv>
  <rv s="0">
    <fb>11.21</fb>
    <v>1</v>
  </rv>
  <rv s="0">
    <fb>59519843</fb>
    <v>2</v>
  </rv>
  <rv s="0">
    <fb>71774972</fb>
    <v>2</v>
  </rv>
  <rv s="0">
    <fb>11.32</fb>
    <v>1</v>
  </rv>
  <rv s="0">
    <fb>48465317</fb>
    <v>2</v>
  </rv>
  <rv s="0">
    <fb>84332966</fb>
    <v>2</v>
  </rv>
  <rv s="0">
    <fb>11.25</fb>
    <v>1</v>
  </rv>
  <rv s="0">
    <fb>64021039</fb>
    <v>2</v>
  </rv>
  <rv s="0">
    <fb>11.44</fb>
    <v>1</v>
  </rv>
  <rv s="0">
    <fb>63823345</fb>
    <v>2</v>
  </rv>
  <rv s="0">
    <fb>52469244</fb>
    <v>2</v>
  </rv>
  <rv s="0">
    <fb>46141355</fb>
    <v>2</v>
  </rv>
  <rv s="0">
    <fb>37113805</fb>
    <v>2</v>
  </rv>
  <rv s="0">
    <fb>11.58</fb>
    <v>1</v>
  </rv>
  <rv s="0">
    <fb>58020177</fb>
    <v>2</v>
  </rv>
  <rv s="0">
    <fb>11.49</fb>
    <v>1</v>
  </rv>
  <rv s="0">
    <fb>46469853</fb>
    <v>2</v>
  </rv>
  <rv s="0">
    <fb>11.33</fb>
    <v>1</v>
  </rv>
  <rv s="0">
    <fb>51779301</fb>
    <v>2</v>
  </rv>
  <rv s="0">
    <fb>11.74</fb>
    <v>1</v>
  </rv>
  <rv s="0">
    <fb>58538704</fb>
    <v>2</v>
  </rv>
  <rv s="0">
    <fb>45038754</fb>
    <v>2</v>
  </rv>
  <rv s="0">
    <fb>11.84</fb>
    <v>1</v>
  </rv>
  <rv s="0">
    <fb>48613273</fb>
    <v>2</v>
  </rv>
  <rv s="0">
    <fb>40381477</fb>
    <v>2</v>
  </rv>
  <rv s="0">
    <fb>11.71</fb>
    <v>1</v>
  </rv>
  <rv s="0">
    <fb>47723668</fb>
    <v>2</v>
  </rv>
  <rv s="0">
    <fb>44069734</fb>
    <v>2</v>
  </rv>
  <rv s="0">
    <fb>57704182</fb>
    <v>2</v>
  </rv>
  <rv s="0">
    <fb>47728660</fb>
    <v>2</v>
  </rv>
  <rv s="0">
    <fb>33136650</fb>
    <v>2</v>
  </rv>
  <rv s="0">
    <fb>47547831</fb>
    <v>2</v>
  </rv>
  <rv s="0">
    <fb>11.69</fb>
    <v>1</v>
  </rv>
  <rv s="0">
    <fb>39734522</fb>
    <v>2</v>
  </rv>
  <rv s="0">
    <fb>41262743</fb>
    <v>2</v>
  </rv>
  <rv s="0">
    <fb>47021328</fb>
    <v>2</v>
  </rv>
  <rv s="0">
    <fb>11.76</fb>
    <v>1</v>
  </rv>
  <rv s="0">
    <fb>64196118</fb>
    <v>2</v>
  </rv>
  <rv s="0">
    <fb>50100809</fb>
    <v>2</v>
  </rv>
  <rv s="0">
    <fb>47942431</fb>
    <v>2</v>
  </rv>
  <rv s="0">
    <fb>11.61</fb>
    <v>1</v>
  </rv>
  <rv s="0">
    <fb>58064970</fb>
    <v>2</v>
  </rv>
  <rv s="0">
    <fb>68585945</fb>
    <v>2</v>
  </rv>
  <rv s="0">
    <fb>55040063</fb>
    <v>2</v>
  </rv>
  <rv s="0">
    <fb>71676341</fb>
    <v>2</v>
  </rv>
  <rv s="0">
    <fb>58432710</fb>
    <v>2</v>
  </rv>
  <rv s="0">
    <fb>11.73</fb>
    <v>1</v>
  </rv>
  <rv s="0">
    <fb>55667552</fb>
    <v>2</v>
  </rv>
  <rv s="0">
    <fb>11.63</fb>
    <v>1</v>
  </rv>
  <rv s="0">
    <fb>60193780</fb>
    <v>2</v>
  </rv>
  <rv s="0">
    <fb>67656337</fb>
    <v>2</v>
  </rv>
  <rv s="0">
    <fb>12.01</fb>
    <v>1</v>
  </rv>
  <rv s="0">
    <fb>117681848</fb>
    <v>2</v>
  </rv>
  <rv s="0">
    <fb>12.09</fb>
    <v>1</v>
  </rv>
  <rv s="0">
    <fb>83325012</fb>
    <v>2</v>
  </rv>
  <rv s="0">
    <fb>11.96</fb>
    <v>1</v>
  </rv>
  <rv s="0">
    <fb>70765048</fb>
    <v>2</v>
  </rv>
  <rv s="0">
    <fb>12.27</fb>
    <v>1</v>
  </rv>
  <rv s="0">
    <fb>73578427</fb>
    <v>2</v>
  </rv>
  <rv s="0">
    <fb>12.22</fb>
    <v>1</v>
  </rv>
  <rv s="0">
    <fb>74530532</fb>
    <v>2</v>
  </rv>
  <rv s="0">
    <fb>12.67</fb>
    <v>1</v>
  </rv>
  <rv s="0">
    <fb>100778558</fb>
    <v>2</v>
  </rv>
  <rv s="0">
    <fb>12.7</fb>
    <v>1</v>
  </rv>
  <rv s="0">
    <fb>90544937</fb>
    <v>2</v>
  </rv>
  <rv s="0">
    <fb>11.92</fb>
    <v>1</v>
  </rv>
  <rv s="0">
    <fb>154390154</fb>
    <v>2</v>
  </rv>
  <rv s="0">
    <fb>78469653</fb>
    <v>2</v>
  </rv>
  <rv s="0">
    <fb>11.5</fb>
    <v>1</v>
  </rv>
  <rv s="0">
    <fb>70320483</fb>
    <v>2</v>
  </rv>
  <rv s="0">
    <fb>11.41</fb>
    <v>1</v>
  </rv>
  <rv s="0">
    <fb>84595402</fb>
    <v>2</v>
  </rv>
  <rv s="0">
    <fb>11.54</fb>
    <v>1</v>
  </rv>
  <rv s="0">
    <fb>73939384</fb>
    <v>2</v>
  </rv>
  <rv s="0">
    <fb>89117946</fb>
    <v>2</v>
  </rv>
  <rv s="0">
    <fb>88960726</fb>
    <v>2</v>
  </rv>
  <rv s="0">
    <fb>108701202</fb>
    <v>2</v>
  </rv>
  <rv s="0">
    <fb>107633522</fb>
    <v>2</v>
  </rv>
  <rv s="0">
    <fb>11.99</fb>
    <v>1</v>
  </rv>
  <rv s="0">
    <fb>77878936</fb>
    <v>2</v>
  </rv>
  <rv s="0">
    <fb>12.56</fb>
    <v>1</v>
  </rv>
  <rv s="0">
    <fb>297153158</fb>
    <v>2</v>
  </rv>
  <rv s="0">
    <fb>12.43</fb>
    <v>1</v>
  </rv>
  <rv s="0">
    <fb>415062173</fb>
    <v>2</v>
  </rv>
  <rv s="0">
    <fb>12.34</fb>
    <v>1</v>
  </rv>
  <rv s="0">
    <fb>479840312</fb>
    <v>2</v>
  </rv>
  <rv s="0">
    <fb>13.84</fb>
    <v>1</v>
  </rv>
  <rv s="0">
    <fb>298366862</fb>
    <v>2</v>
  </rv>
  <rv s="0">
    <fb>140859004</fb>
    <v>2</v>
  </rv>
  <rv s="0">
    <fb>13.13</fb>
    <v>1</v>
  </rv>
  <rv s="0">
    <fb>96738451</fb>
    <v>2</v>
  </rv>
  <rv s="0">
    <fb>13.24</fb>
    <v>1</v>
  </rv>
  <rv s="0">
    <fb>127512240</fb>
    <v>2</v>
  </rv>
  <rv s="0">
    <fb>13.06</fb>
    <v>1</v>
  </rv>
  <rv s="0">
    <fb>80766301</fb>
    <v>2</v>
  </rv>
  <rv s="0">
    <fb>68861988</fb>
    <v>2</v>
  </rv>
  <rv s="0">
    <fb>13.01</fb>
    <v>1</v>
  </rv>
  <rv s="0">
    <fb>80419403</fb>
    <v>2</v>
  </rv>
  <rv s="0">
    <fb>12.79</fb>
    <v>1</v>
  </rv>
  <rv s="0">
    <fb>70360611</fb>
    <v>2</v>
  </rv>
  <rv s="0">
    <fb>13.11</fb>
    <v>1</v>
  </rv>
  <rv s="0">
    <fb>79134307</fb>
    <v>2</v>
  </rv>
  <rv s="0">
    <fb>13.12</fb>
    <v>1</v>
  </rv>
  <rv s="0">
    <fb>82291049</fb>
    <v>2</v>
  </rv>
  <rv s="0">
    <fb>13.21</fb>
    <v>1</v>
  </rv>
  <rv s="0">
    <fb>80011318</fb>
    <v>2</v>
  </rv>
  <rv s="0">
    <fb>13.16</fb>
    <v>1</v>
  </rv>
  <rv s="0">
    <fb>62051157</fb>
    <v>2</v>
  </rv>
  <rv s="0">
    <fb>13.3</fb>
    <v>1</v>
  </rv>
  <rv s="0">
    <fb>79742405</fb>
    <v>2</v>
  </rv>
  <rv s="0">
    <fb>13.45</fb>
    <v>1</v>
  </rv>
  <rv s="0">
    <fb>61840461</fb>
    <v>2</v>
  </rv>
  <rv s="0">
    <fb>13.28</fb>
    <v>1</v>
  </rv>
  <rv s="0">
    <fb>71481613</fb>
    <v>2</v>
  </rv>
  <rv s="0">
    <fb>13.19</fb>
    <v>1</v>
  </rv>
  <rv s="0">
    <fb>67932422</fb>
    <v>2</v>
  </rv>
  <rv s="0">
    <fb>12.88</fb>
    <v>1</v>
  </rv>
  <rv s="0">
    <fb>73404381</fb>
    <v>2</v>
  </rv>
  <rv s="0">
    <fb>13.02</fb>
    <v>1</v>
  </rv>
  <rv s="0">
    <fb>70215400</fb>
    <v>2</v>
  </rv>
  <rv s="0">
    <fb>12.9</fb>
    <v>1</v>
  </rv>
  <rv s="0">
    <fb>49619260</fb>
    <v>2</v>
  </rv>
  <rv s="0">
    <fb>12.41</fb>
    <v>1</v>
  </rv>
  <rv s="0">
    <fb>95861863</fb>
    <v>2</v>
  </rv>
  <rv s="0">
    <fb>12.83</fb>
    <v>1</v>
  </rv>
  <rv s="0">
    <fb>74048860</fb>
    <v>2</v>
  </rv>
  <rv s="0">
    <fb>12.96</fb>
    <v>1</v>
  </rv>
  <rv s="0">
    <fb>52936240</fb>
    <v>2</v>
  </rv>
  <rv s="0">
    <fb>13.17</fb>
    <v>1</v>
  </rv>
  <rv s="0">
    <fb>52884970</fb>
    <v>2</v>
  </rv>
  <rv s="0">
    <fb>44942203</fb>
    <v>2</v>
  </rv>
  <rv s="0">
    <fb>29536180</fb>
    <v>2</v>
  </rv>
  <rv s="0">
    <fb>51593955</fb>
    <v>2</v>
  </rv>
  <rv s="0">
    <fb>57641703</fb>
    <v>2</v>
  </rv>
  <rv s="0">
    <fb>13.09</fb>
    <v>1</v>
  </rv>
  <rv s="0">
    <fb>45364666</fb>
    <v>2</v>
  </rv>
  <rv s="0">
    <fb>13.14</fb>
    <v>1</v>
  </rv>
  <rv s="0">
    <fb>47554803</fb>
    <v>2</v>
  </rv>
  <rv s="0">
    <fb>13.03</fb>
    <v>1</v>
  </rv>
  <rv s="0">
    <fb>54099362</fb>
    <v>2</v>
  </rv>
  <rv s="0">
    <fb>45580830</fb>
    <v>2</v>
  </rv>
  <rv s="0">
    <fb>13.08</fb>
    <v>1</v>
  </rv>
  <rv s="0">
    <fb>33349986</fb>
    <v>2</v>
  </rv>
  <rv s="0">
    <fb>13.41</fb>
    <v>1</v>
  </rv>
  <rv s="0">
    <fb>72210701</fb>
    <v>2</v>
  </rv>
  <rv s="0">
    <fb>3.43</fb>
    <v>1</v>
  </rv>
  <rv s="0">
    <fb>3.52</fb>
    <v>1</v>
  </rv>
  <rv s="0">
    <fb>3.34</fb>
    <v>1</v>
  </rv>
  <rv s="0">
    <fb>3.41</fb>
    <v>1</v>
  </rv>
  <rv s="0">
    <fb>3.4449999999999998</fb>
    <v>1</v>
  </rv>
  <rv s="0">
    <fb>3.37</fb>
    <v>1</v>
  </rv>
  <rv s="0">
    <fb>3.3</fb>
    <v>1</v>
  </rv>
  <rv s="0">
    <fb>3.29</fb>
    <v>1</v>
  </rv>
  <rv s="0">
    <fb>3.4599000000000002</fb>
    <v>1</v>
  </rv>
  <rv s="0">
    <fb>3.32</fb>
    <v>1</v>
  </rv>
  <rv s="0">
    <fb>3.4</fb>
    <v>1</v>
  </rv>
  <rv s="0">
    <fb>3.3250000000000002</fb>
    <v>1</v>
  </rv>
  <rv s="0">
    <fb>3.47</fb>
    <v>1</v>
  </rv>
  <rv s="0">
    <fb>3.55</fb>
    <v>1</v>
  </rv>
  <rv s="0">
    <fb>3.26</fb>
    <v>1</v>
  </rv>
  <rv s="0">
    <fb>3.4249999999999998</fb>
    <v>1</v>
  </rv>
  <rv s="0">
    <fb>3.24</fb>
    <v>1</v>
  </rv>
  <rv s="0">
    <fb>3.19</fb>
    <v>1</v>
  </rv>
  <rv s="0">
    <fb>3.31</fb>
    <v>1</v>
  </rv>
  <rv s="0">
    <fb>3.3889</fb>
    <v>1</v>
  </rv>
  <rv s="0">
    <fb>3.3450000000000002</fb>
    <v>1</v>
  </rv>
  <rv s="0">
    <fb>3.28</fb>
    <v>1</v>
  </rv>
  <rv s="0">
    <fb>3.3149999999999999</fb>
    <v>1</v>
  </rv>
  <rv s="0">
    <fb>3.25</fb>
    <v>1</v>
  </rv>
  <rv s="0">
    <fb>3.35</fb>
    <v>1</v>
  </rv>
  <rv s="0">
    <fb>3.2650000000000001</fb>
    <v>1</v>
  </rv>
  <rv s="0">
    <fb>3.22</fb>
    <v>1</v>
  </rv>
  <rv s="0">
    <fb>3.2</fb>
    <v>1</v>
  </rv>
  <rv s="0">
    <fb>3.15</fb>
    <v>1</v>
  </rv>
  <rv s="0">
    <fb>3.33</fb>
    <v>1</v>
  </rv>
  <rv s="0">
    <fb>3.1</fb>
    <v>1</v>
  </rv>
  <rv s="0">
    <fb>3</fb>
    <v>1</v>
  </rv>
  <rv s="0">
    <fb>2.895</fb>
    <v>1</v>
  </rv>
  <rv s="0">
    <fb>3.01</fb>
    <v>1</v>
  </rv>
  <rv s="0">
    <fb>3.02</fb>
    <v>1</v>
  </rv>
  <rv s="0">
    <fb>2.87</fb>
    <v>1</v>
  </rv>
  <rv s="0">
    <fb>3.06</fb>
    <v>1</v>
  </rv>
  <rv s="0">
    <fb>2.98</fb>
    <v>1</v>
  </rv>
  <rv s="0">
    <fb>3.08</fb>
    <v>1</v>
  </rv>
  <rv s="0">
    <fb>3.1349999999999998</fb>
    <v>1</v>
  </rv>
  <rv s="0">
    <fb>3.0150000000000001</fb>
    <v>1</v>
  </rv>
  <rv s="0">
    <fb>3.13</fb>
    <v>1</v>
  </rv>
  <rv s="0">
    <fb>3.0950000000000002</fb>
    <v>1</v>
  </rv>
  <rv s="0">
    <fb>3.23</fb>
    <v>1</v>
  </rv>
  <rv s="0">
    <fb>3.07</fb>
    <v>1</v>
  </rv>
  <rv s="0">
    <fb>3.3201000000000001</fb>
    <v>1</v>
  </rv>
  <rv s="0">
    <fb>3.1800999999999999</fb>
    <v>1</v>
  </rv>
  <rv s="0">
    <fb>3.17</fb>
    <v>1</v>
  </rv>
  <rv s="0">
    <fb>3.3519999999999999</fb>
    <v>1</v>
  </rv>
  <rv s="0">
    <fb>3.14</fb>
    <v>1</v>
  </rv>
  <rv s="0">
    <fb>3.27</fb>
    <v>1</v>
  </rv>
  <rv s="0">
    <fb>3.16</fb>
    <v>1</v>
  </rv>
  <rv s="0">
    <fb>3.12</fb>
    <v>1</v>
  </rv>
  <rv s="0">
    <fb>3.36</fb>
    <v>1</v>
  </rv>
  <rv s="0">
    <fb>3.18</fb>
    <v>1</v>
  </rv>
  <rv s="0">
    <fb>3.2250000000000001</fb>
    <v>1</v>
  </rv>
  <rv s="0">
    <fb>3.04</fb>
    <v>1</v>
  </rv>
  <rv s="0">
    <fb>2.99</fb>
    <v>1</v>
  </rv>
  <rv s="0">
    <fb>3.0790000000000002</fb>
    <v>1</v>
  </rv>
  <rv s="0">
    <fb>2.88</fb>
    <v>1</v>
  </rv>
  <rv s="0">
    <fb>2.97</fb>
    <v>1</v>
  </rv>
  <rv s="0">
    <fb>2.92</fb>
    <v>1</v>
  </rv>
  <rv s="0">
    <fb>3.03</fb>
    <v>1</v>
  </rv>
  <rv s="0">
    <fb>3.0550000000000002</fb>
    <v>1</v>
  </rv>
  <rv s="0">
    <fb>2.94</fb>
    <v>1</v>
  </rv>
  <rv s="0">
    <fb>2.95</fb>
    <v>1</v>
  </rv>
  <rv s="0">
    <fb>2.91</fb>
    <v>1</v>
  </rv>
  <rv s="0">
    <fb>3.09</fb>
    <v>1</v>
  </rv>
  <rv s="0">
    <fb>3.38</fb>
    <v>1</v>
  </rv>
  <rv s="0">
    <fb>3.57</fb>
    <v>1</v>
  </rv>
  <rv s="0">
    <fb>3.6</fb>
    <v>1</v>
  </rv>
  <rv s="0">
    <fb>3.54</fb>
    <v>1</v>
  </rv>
  <rv s="0">
    <fb>3.4049999999999998</fb>
    <v>1</v>
  </rv>
  <rv s="0">
    <fb>3.3106</fb>
    <v>1</v>
  </rv>
  <rv s="0">
    <fb>3.45</fb>
    <v>1</v>
  </rv>
  <rv s="0">
    <fb>3.5</fb>
    <v>1</v>
  </rv>
  <rv s="0">
    <fb>3.2759999999999998</fb>
    <v>1</v>
  </rv>
  <rv s="0">
    <fb>3.5350000000000001</fb>
    <v>1</v>
  </rv>
  <rv s="0">
    <fb>3.4666000000000001</fb>
    <v>1</v>
  </rv>
  <rv s="0">
    <fb>3.42</fb>
    <v>1</v>
  </rv>
  <rv s="0">
    <fb>3.39</fb>
    <v>1</v>
  </rv>
  <rv s="0">
    <fb>3.4499</fb>
    <v>1</v>
  </rv>
  <rv s="0">
    <fb>3.11</fb>
    <v>1</v>
  </rv>
  <rv s="0">
    <fb>3.0350000000000001</fb>
    <v>1</v>
  </rv>
  <rv s="0">
    <fb>2.8</fb>
    <v>1</v>
  </rv>
  <rv s="0">
    <fb>3.1150000000000002</fb>
    <v>1</v>
  </rv>
  <rv s="0">
    <fb>2.85</fb>
    <v>1</v>
  </rv>
  <rv s="0">
    <fb>2.84</fb>
    <v>1</v>
  </rv>
  <rv s="0">
    <fb>2.9350000000000001</fb>
    <v>1</v>
  </rv>
  <rv s="0">
    <fb>2.8149999999999999</fb>
    <v>1</v>
  </rv>
  <rv s="0">
    <fb>2.61</fb>
    <v>1</v>
  </rv>
  <rv s="0">
    <fb>2.8250000000000002</fb>
    <v>1</v>
  </rv>
  <rv s="0">
    <fb>2.5499999999999998</fb>
    <v>1</v>
  </rv>
  <rv s="0">
    <fb>2.58</fb>
    <v>1</v>
  </rv>
  <rv s="0">
    <fb>2.76</fb>
    <v>1</v>
  </rv>
  <rv s="0">
    <fb>2.48</fb>
    <v>1</v>
  </rv>
  <rv s="0">
    <fb>2.2799999999999998</fb>
    <v>1</v>
  </rv>
  <rv s="0">
    <fb>2.6850000000000001</fb>
    <v>1</v>
  </rv>
  <rv s="0">
    <fb>2.2599999999999998</fb>
    <v>1</v>
  </rv>
  <rv s="0">
    <fb>2.5099999999999998</fb>
    <v>1</v>
  </rv>
  <rv s="0">
    <fb>2.54</fb>
    <v>1</v>
  </rv>
  <rv s="0">
    <fb>2.2601</fb>
    <v>1</v>
  </rv>
  <rv s="0">
    <fb>2.4700000000000002</fb>
    <v>1</v>
  </rv>
  <rv s="0">
    <fb>2.81</fb>
    <v>1</v>
  </rv>
  <rv s="0">
    <fb>2.9</fb>
    <v>1</v>
  </rv>
  <rv s="0">
    <fb>2.6</fb>
    <v>1</v>
  </rv>
  <rv s="0">
    <fb>2.75</fb>
    <v>1</v>
  </rv>
  <rv s="0">
    <fb>3.05</fb>
    <v>1</v>
  </rv>
  <rv s="0">
    <fb>2.89</fb>
    <v>1</v>
  </rv>
  <rv s="0">
    <fb>4.3499999999999996</fb>
    <v>1</v>
  </rv>
  <rv s="0">
    <fb>4.57</fb>
    <v>1</v>
  </rv>
  <rv s="0">
    <fb>4.67</fb>
    <v>1</v>
  </rv>
  <rv s="0">
    <fb>5.0549999999999997</fb>
    <v>1</v>
  </rv>
  <rv s="0">
    <fb>4.1500000000000004</fb>
    <v>1</v>
  </rv>
  <rv s="0">
    <fb>4.9800000000000004</fb>
    <v>1</v>
  </rv>
  <rv s="0">
    <fb>5.0599999999999996</fb>
    <v>1</v>
  </rv>
  <rv s="0">
    <fb>4.6100000000000003</fb>
    <v>1</v>
  </rv>
  <rv s="0">
    <fb>4.4400000000000004</fb>
    <v>1</v>
  </rv>
  <rv s="0">
    <fb>4.91</fb>
    <v>1</v>
  </rv>
  <rv s="0">
    <fb>4.49</fb>
    <v>1</v>
  </rv>
  <rv s="0">
    <fb>4.1749999999999998</fb>
    <v>1</v>
  </rv>
  <rv s="0">
    <fb>4.33</fb>
    <v>1</v>
  </rv>
  <rv s="0">
    <fb>4.38</fb>
    <v>1</v>
  </rv>
  <rv s="0">
    <fb>4.1900000000000004</fb>
    <v>1</v>
  </rv>
  <rv s="0">
    <fb>4.2300000000000004</fb>
    <v>1</v>
  </rv>
  <rv s="0">
    <fb>4.4199000000000002</fb>
    <v>1</v>
  </rv>
  <rv s="0">
    <fb>4.08</fb>
    <v>1</v>
  </rv>
  <rv s="0">
    <fb>4.18</fb>
    <v>1</v>
  </rv>
  <rv s="0">
    <fb>4.3</fb>
    <v>1</v>
  </rv>
  <rv s="0">
    <fb>4.085</fb>
    <v>1</v>
  </rv>
  <rv s="0">
    <fb>4.1100000000000003</fb>
    <v>1</v>
  </rv>
  <rv s="0">
    <fb>4.2699999999999996</fb>
    <v>1</v>
  </rv>
  <rv s="0">
    <fb>4.0949999999999998</fb>
    <v>1</v>
  </rv>
  <rv s="0">
    <fb>4.12</fb>
    <v>1</v>
  </rv>
  <rv s="0">
    <fb>4.21</fb>
    <v>1</v>
  </rv>
  <rv s="0">
    <fb>4.0999999999999996</fb>
    <v>1</v>
  </rv>
  <rv s="0">
    <fb>3.91</fb>
    <v>1</v>
  </rv>
  <rv s="0">
    <fb>4.29</fb>
    <v>1</v>
  </rv>
  <rv s="0">
    <fb>3.8149999999999999</fb>
    <v>1</v>
  </rv>
  <rv s="0">
    <fb>3.76</fb>
    <v>1</v>
  </rv>
  <rv s="0">
    <fb>4.05</fb>
    <v>1</v>
  </rv>
  <rv s="0">
    <fb>3.72</fb>
    <v>1</v>
  </rv>
  <rv s="0">
    <fb>3.78</fb>
    <v>1</v>
  </rv>
  <rv s="0">
    <fb>3.89</fb>
    <v>1</v>
  </rv>
  <rv s="0">
    <fb>3.7450000000000001</fb>
    <v>1</v>
  </rv>
  <rv s="0">
    <fb>3.46</fb>
    <v>1</v>
  </rv>
  <rv s="0">
    <fb>3.48</fb>
    <v>1</v>
  </rv>
  <rv s="0">
    <fb>3.5449999999999999</fb>
    <v>1</v>
  </rv>
  <rv s="0">
    <fb>3.3650000000000002</fb>
    <v>1</v>
  </rv>
  <rv s="0">
    <fb>3.61</fb>
    <v>1</v>
  </rv>
  <rv s="0">
    <fb>3.63</fb>
    <v>1</v>
  </rv>
  <rv s="0">
    <fb>3.64</fb>
    <v>1</v>
  </rv>
  <rv s="0">
    <fb>3.7</fb>
    <v>1</v>
  </rv>
  <rv s="0">
    <fb>3.7549999999999999</fb>
    <v>1</v>
  </rv>
  <rv s="0">
    <fb>3.6349999999999998</fb>
    <v>1</v>
  </rv>
  <rv s="0">
    <fb>3.59</fb>
    <v>1</v>
  </rv>
  <rv s="0">
    <fb>3.75</fb>
    <v>1</v>
  </rv>
  <rv s="0">
    <fb>3.51</fb>
    <v>1</v>
  </rv>
  <rv s="0">
    <fb>3.6949999999999998</fb>
    <v>1</v>
  </rv>
  <rv s="0">
    <fb>3.53</fb>
    <v>1</v>
  </rv>
  <rv s="0">
    <fb>3.58</fb>
    <v>1</v>
  </rv>
  <rv s="0">
    <fb>3.6678999999999999</fb>
    <v>1</v>
  </rv>
  <rv s="0">
    <fb>3.5301</fb>
    <v>1</v>
  </rv>
  <rv s="0">
    <fb>3.5649999999999999</fb>
    <v>1</v>
  </rv>
  <rv s="0">
    <fb>3.415</fb>
    <v>1</v>
  </rv>
  <rv s="0">
    <fb>3.6549999999999998</fb>
    <v>1</v>
  </rv>
  <rv s="0">
    <fb>3.5335000000000001</fb>
    <v>1</v>
  </rv>
  <rv s="0">
    <fb>3.49</fb>
    <v>1</v>
  </rv>
  <rv s="0">
    <fb>3.8</fb>
    <v>1</v>
  </rv>
  <rv s="0">
    <fb>3.77</fb>
    <v>1</v>
  </rv>
  <rv s="0">
    <fb>3.875</fb>
    <v>1</v>
  </rv>
  <rv s="0">
    <fb>4.6900000000000004</fb>
    <v>1</v>
  </rv>
  <rv s="0">
    <fb>4.7699999999999996</fb>
    <v>1</v>
  </rv>
  <rv s="0">
    <fb>3.96</fb>
    <v>1</v>
  </rv>
  <rv s="0">
    <fb>4.41</fb>
    <v>1</v>
  </rv>
  <rv s="0">
    <fb>4.8499999999999996</fb>
    <v>1</v>
  </rv>
  <rv s="0">
    <fb>4.3449999999999998</fb>
    <v>1</v>
  </rv>
  <rv s="0">
    <fb>4.46</fb>
    <v>1</v>
  </rv>
  <rv s="0">
    <fb>4.1399999999999997</fb>
    <v>1</v>
  </rv>
  <rv s="0">
    <fb>4.2</fb>
    <v>1</v>
  </rv>
  <rv s="0">
    <fb>4.32</fb>
    <v>1</v>
  </rv>
  <rv s="0">
    <fb>4.5599999999999996</fb>
    <v>1</v>
  </rv>
  <rv s="0">
    <fb>4.3099999999999996</fb>
    <v>1</v>
  </rv>
  <rv s="0">
    <fb>4.45</fb>
    <v>1</v>
  </rv>
  <rv s="0">
    <fb>4.34</fb>
    <v>1</v>
  </rv>
  <rv s="0">
    <fb>4.43</fb>
    <v>1</v>
  </rv>
  <rv s="0">
    <fb>4.58</fb>
    <v>1</v>
  </rv>
  <rv s="0">
    <fb>4.3250000000000002</fb>
    <v>1</v>
  </rv>
  <rv s="0">
    <fb>4.5199999999999996</fb>
    <v>1</v>
  </rv>
  <rv s="0">
    <fb>4.3899999999999997</fb>
    <v>1</v>
  </rv>
  <rv s="0">
    <fb>4.3550000000000004</fb>
    <v>1</v>
  </rv>
  <rv s="0">
    <fb>4.3600000000000003</fb>
    <v>1</v>
  </rv>
  <rv s="0">
    <fb>4.415</fb>
    <v>1</v>
  </rv>
  <rv s="0">
    <fb>4.2252000000000001</fb>
    <v>1</v>
  </rv>
  <rv s="0">
    <fb>3.9</fb>
    <v>1</v>
  </rv>
  <rv s="0">
    <fb>3.99</fb>
    <v>1</v>
  </rv>
  <rv s="0">
    <fb>3.86</fb>
    <v>1</v>
  </rv>
  <rv s="0">
    <fb>3.9350000000000001</fb>
    <v>1</v>
  </rv>
  <rv s="0">
    <fb>4.165</fb>
    <v>1</v>
  </rv>
  <rv s="0">
    <fb>3.71</fb>
    <v>1</v>
  </rv>
  <rv s="0">
    <fb>3.95</fb>
    <v>1</v>
  </rv>
  <rv s="0">
    <fb>4.09</fb>
    <v>1</v>
  </rv>
  <rv s="0">
    <fb>4.2450000000000001</fb>
    <v>1</v>
  </rv>
  <rv s="0">
    <fb>4.07</fb>
    <v>1</v>
  </rv>
  <rv s="0">
    <fb>4.4800000000000004</fb>
    <v>1</v>
  </rv>
  <rv s="0">
    <fb>4.7050000000000001</fb>
    <v>1</v>
  </rv>
  <rv s="0">
    <fb>4.4000000000000004</fb>
    <v>1</v>
  </rv>
  <rv s="0">
    <fb>4.55</fb>
    <v>1</v>
  </rv>
  <rv s="0">
    <fb>4.59</fb>
    <v>1</v>
  </rv>
  <rv s="0">
    <fb>4.625</fb>
    <v>1</v>
  </rv>
  <rv s="0">
    <fb>4.37</fb>
    <v>1</v>
  </rv>
  <rv s="0">
    <fb>4.72</fb>
    <v>1</v>
  </rv>
  <rv s="0">
    <fb>4.7350000000000003</fb>
    <v>1</v>
  </rv>
  <rv s="0">
    <fb>4.8</fb>
    <v>1</v>
  </rv>
  <rv s="0">
    <fb>4.8449999999999998</fb>
    <v>1</v>
  </rv>
  <rv s="0">
    <fb>4.68</fb>
    <v>1</v>
  </rv>
  <rv s="0">
    <fb>5.01</fb>
    <v>1</v>
  </rv>
  <rv s="0">
    <fb>4.7949999999999999</fb>
    <v>1</v>
  </rv>
  <rv s="0">
    <fb>4.95</fb>
    <v>1</v>
  </rv>
  <rv s="0">
    <fb>5.0049999999999999</fb>
    <v>1</v>
  </rv>
  <rv s="0">
    <fb>4.84</fb>
    <v>1</v>
  </rv>
  <rv s="0">
    <fb>5.23</fb>
    <v>1</v>
  </rv>
  <rv s="0">
    <fb>5.2649999999999997</fb>
    <v>1</v>
  </rv>
  <rv s="0">
    <fb>4.99</fb>
    <v>1</v>
  </rv>
  <rv s="0">
    <fb>5.47</fb>
    <v>1</v>
  </rv>
  <rv s="0">
    <fb>5.49</fb>
    <v>1</v>
  </rv>
  <rv s="0">
    <fb>5.1150000000000002</fb>
    <v>1</v>
  </rv>
  <rv s="0">
    <fb>5.39</fb>
    <v>1</v>
  </rv>
  <rv s="0">
    <fb>5.5899000000000001</fb>
    <v>1</v>
  </rv>
  <rv s="0">
    <fb>5.3</fb>
    <v>1</v>
  </rv>
  <rv s="0">
    <fb>5.85</fb>
    <v>1</v>
  </rv>
  <rv s="0">
    <fb>5.91</fb>
    <v>1</v>
  </rv>
  <rv s="0">
    <fb>5.43</fb>
    <v>1</v>
  </rv>
  <rv s="0">
    <fb>6.11</fb>
    <v>1</v>
  </rv>
  <rv s="0">
    <fb>6.16</fb>
    <v>1</v>
  </rv>
  <rv s="0">
    <fb>5.82</fb>
    <v>1</v>
  </rv>
  <rv s="0">
    <fb>5.78</fb>
    <v>1</v>
  </rv>
  <rv s="0">
    <fb>5.76</fb>
    <v>1</v>
  </rv>
  <rv s="0">
    <fb>5.6</fb>
    <v>1</v>
  </rv>
  <rv s="0">
    <fb>5.79</fb>
    <v>1</v>
  </rv>
  <rv s="0">
    <fb>5.56</fb>
    <v>1</v>
  </rv>
  <rv s="0">
    <fb>5.36</fb>
    <v>1</v>
  </rv>
  <rv s="0">
    <fb>5.2850000000000001</fb>
    <v>1</v>
  </rv>
  <rv s="0">
    <fb>5.31</fb>
    <v>1</v>
  </rv>
  <rv s="0">
    <fb>5.15</fb>
    <v>1</v>
  </rv>
  <rv s="0">
    <fb>5.25</fb>
    <v>1</v>
  </rv>
  <rv s="0">
    <fb>5.38</fb>
    <v>1</v>
  </rv>
  <rv s="0">
    <fb>5.17</fb>
    <v>1</v>
  </rv>
  <rv s="0">
    <fb>5.12</fb>
    <v>1</v>
  </rv>
  <rv s="0">
    <fb>5.3997999999999999</fb>
    <v>1</v>
  </rv>
  <rv s="0">
    <fb>5.07</fb>
    <v>1</v>
  </rv>
  <rv s="0">
    <fb>5.19</fb>
    <v>1</v>
  </rv>
  <rv s="0">
    <fb>5.2450000000000001</fb>
    <v>1</v>
  </rv>
  <rv s="0">
    <fb>5.0949999999999998</fb>
    <v>1</v>
  </rv>
  <rv s="0">
    <fb>5.27</fb>
    <v>1</v>
  </rv>
  <rv s="0">
    <fb>5.14</fb>
    <v>1</v>
  </rv>
  <rv s="0">
    <fb>5.48</fb>
    <v>1</v>
  </rv>
  <rv s="0">
    <fb>5.59</fb>
    <v>1</v>
  </rv>
  <rv s="0">
    <fb>5.3879999999999999</fb>
    <v>1</v>
  </rv>
  <rv s="0">
    <fb>5.81</fb>
    <v>1</v>
  </rv>
  <rv s="0">
    <fb>5.35</fb>
    <v>1</v>
  </rv>
  <rv s="0">
    <fb>5.75</fb>
    <v>1</v>
  </rv>
  <rv s="0">
    <fb>5.8</fb>
    <v>1</v>
  </rv>
  <rv s="0">
    <fb>5.6428000000000003</fb>
    <v>1</v>
  </rv>
  <rv s="0">
    <fb>5.71</fb>
    <v>1</v>
  </rv>
  <rv s="0">
    <fb>5.83</fb>
    <v>1</v>
  </rv>
  <rv s="0">
    <fb>5.6349999999999998</fb>
    <v>1</v>
  </rv>
  <rv s="0">
    <fb>5.66</fb>
    <v>1</v>
  </rv>
  <rv s="0">
    <fb>5.835</fb>
    <v>1</v>
  </rv>
  <rv s="0">
    <fb>5.8898999999999999</fb>
    <v>1</v>
  </rv>
  <rv s="0">
    <fb>5.53</fb>
    <v>1</v>
  </rv>
  <rv s="0">
    <fb>5.89</fb>
    <v>1</v>
  </rv>
  <rv s="0">
    <fb>5.92</fb>
    <v>1</v>
  </rv>
  <rv s="0">
    <fb>6</fb>
    <v>1</v>
  </rv>
  <rv s="0">
    <fb>5.8150000000000004</fb>
    <v>1</v>
  </rv>
  <rv s="0">
    <fb>5.97</fb>
    <v>1</v>
  </rv>
  <rv s="0">
    <fb>6.05</fb>
    <v>1</v>
  </rv>
  <rv s="0">
    <fb>5.84</fb>
    <v>1</v>
  </rv>
  <rv s="0">
    <fb>6.01</fb>
    <v>1</v>
  </rv>
  <rv s="0">
    <fb>6.06</fb>
    <v>1</v>
  </rv>
  <rv s="0">
    <fb>6.12</fb>
    <v>1</v>
  </rv>
  <rv s="0">
    <fb>5.95</fb>
    <v>1</v>
  </rv>
  <rv s="0">
    <fb>6.08</fb>
    <v>1</v>
  </rv>
  <rv s="0">
    <fb>5.9950000000000001</fb>
    <v>1</v>
  </rv>
  <rv s="0">
    <fb>6.0198999999999998</fb>
    <v>1</v>
  </rv>
  <rv s="0">
    <fb>6.09</fb>
    <v>1</v>
  </rv>
  <rv s="0">
    <fb>6.15</fb>
    <v>1</v>
  </rv>
  <rv s="0">
    <fb>5.8550000000000004</fb>
    <v>1</v>
  </rv>
  <rv s="0">
    <fb>6.4</fb>
    <v>1</v>
  </rv>
  <rv s="0">
    <fb>6.56</fb>
    <v>1</v>
  </rv>
  <rv s="0">
    <fb>6.625</fb>
    <v>1</v>
  </rv>
  <rv s="0">
    <fb>6.59</fb>
    <v>1</v>
  </rv>
  <rv s="0">
    <fb>6.5949999999999998</fb>
    <v>1</v>
  </rv>
  <rv s="0">
    <fb>6.4050000000000002</fb>
    <v>1</v>
  </rv>
  <rv s="0">
    <fb>6.46</fb>
    <v>1</v>
  </rv>
  <rv s="0">
    <fb>6.6749999999999998</fb>
    <v>1</v>
  </rv>
  <rv s="0">
    <fb>6.4349999999999996</fb>
    <v>1</v>
  </rv>
  <rv s="0">
    <fb>6.84</fb>
    <v>1</v>
  </rv>
  <rv s="0">
    <fb>6.9349999999999996</fb>
    <v>1</v>
  </rv>
  <rv s="0">
    <fb>6.47</fb>
    <v>1</v>
  </rv>
  <rv s="0">
    <fb>6.69</fb>
    <v>1</v>
  </rv>
  <rv s="0">
    <fb>6.95</fb>
    <v>1</v>
  </rv>
  <rv s="0">
    <fb>6.55</fb>
    <v>1</v>
  </rv>
  <rv s="0">
    <fb>6.7</fb>
    <v>1</v>
  </rv>
  <rv s="0">
    <fb>6.85</fb>
    <v>1</v>
  </rv>
  <rv s="0">
    <fb>6.585</fb>
    <v>1</v>
  </rv>
  <rv s="0">
    <fb>6.75</fb>
    <v>1</v>
  </rv>
  <rv s="0">
    <fb>6.78</fb>
    <v>1</v>
  </rv>
  <rv s="0">
    <fb>6.76</fb>
    <v>1</v>
  </rv>
  <rv s="0">
    <fb>6.87</fb>
    <v>1</v>
  </rv>
  <rv s="0">
    <fb>6.67</fb>
    <v>1</v>
  </rv>
  <rv s="0">
    <fb>6.73</fb>
    <v>1</v>
  </rv>
  <rv s="0">
    <fb>6.8849999999999998</fb>
    <v>1</v>
  </rv>
  <rv s="0">
    <fb>6.74</fb>
    <v>1</v>
  </rv>
  <rv s="0">
    <fb>6.8598999999999997</fb>
    <v>1</v>
  </rv>
  <rv s="0">
    <fb>6.64</fb>
    <v>1</v>
  </rv>
  <rv s="0">
    <fb>6.61</fb>
    <v>1</v>
  </rv>
  <rv s="0">
    <fb>6.98</fb>
    <v>1</v>
  </rv>
  <rv s="0">
    <fb>7.05</fb>
    <v>1</v>
  </rv>
  <rv s="0">
    <fb>6.92</fb>
    <v>1</v>
  </rv>
  <rv s="0">
    <fb>7.3</fb>
    <v>1</v>
  </rv>
  <rv s="0">
    <fb>7.33</fb>
    <v>1</v>
  </rv>
  <rv s="0">
    <fb>7.31</fb>
    <v>1</v>
  </rv>
  <rv s="0">
    <fb>7.1050000000000004</fb>
    <v>1</v>
  </rv>
  <rv s="0">
    <fb>7.04</fb>
    <v>1</v>
  </rv>
  <rv s="0">
    <fb>7.36</fb>
    <v>1</v>
  </rv>
  <rv s="0">
    <fb>7.25</fb>
    <v>1</v>
  </rv>
  <rv s="0">
    <fb>7.27</fb>
    <v>1</v>
  </rv>
  <rv s="0">
    <fb>6.9</fb>
    <v>1</v>
  </rv>
  <rv s="0">
    <fb>7.53</fb>
    <v>1</v>
  </rv>
  <rv s="0">
    <fb>7.55</fb>
    <v>1</v>
  </rv>
  <rv s="0">
    <fb>7.26</fb>
    <v>1</v>
  </rv>
  <rv s="0">
    <fb>7.64</fb>
    <v>1</v>
  </rv>
  <rv s="0">
    <fb>7.81</fb>
    <v>1</v>
  </rv>
  <rv s="0">
    <fb>7.5049999999999999</fb>
    <v>1</v>
  </rv>
  <rv s="0">
    <fb>7.67</fb>
    <v>1</v>
  </rv>
  <rv s="0">
    <fb>7.86</fb>
    <v>1</v>
  </rv>
  <rv s="0">
    <fb>7.6</fb>
    <v>1</v>
  </rv>
  <rv s="0">
    <fb>7.61</fb>
    <v>1</v>
  </rv>
  <rv s="0">
    <fb>9.0549999999999997</fb>
    <v>1</v>
  </rv>
  <rv s="0">
    <fb>8.4649999999999999</fb>
    <v>1</v>
  </rv>
  <rv s="0">
    <fb>10.119999999999999</fb>
    <v>1</v>
  </rv>
  <rv s="0">
    <fb>10.16</fb>
    <v>1</v>
  </rv>
  <rv s="0">
    <fb>10.435</fb>
    <v>1</v>
  </rv>
  <rv s="0">
    <fb>9.3244000000000007</fb>
    <v>1</v>
  </rv>
  <rv s="0">
    <fb>10.39</fb>
    <v>1</v>
  </rv>
  <rv s="0">
    <fb>9.83</fb>
    <v>1</v>
  </rv>
  <rv s="0">
    <fb>10.3399</fb>
    <v>1</v>
  </rv>
  <rv s="0">
    <fb>10.07</fb>
    <v>1</v>
  </rv>
  <rv s="0">
    <fb>9.75</fb>
    <v>1</v>
  </rv>
  <rv s="0">
    <fb>9.67</fb>
    <v>1</v>
  </rv>
  <rv s="0">
    <fb>9.6150000000000002</fb>
    <v>1</v>
  </rv>
  <rv s="0">
    <fb>10.185</fb>
    <v>1</v>
  </rv>
  <rv s="0">
    <fb>9.8949999999999996</fb>
    <v>1</v>
  </rv>
  <rv s="0">
    <fb>10.135</fb>
    <v>1</v>
  </rv>
  <rv s="0">
    <fb>10.9</fb>
    <v>1</v>
  </rv>
  <rv s="0">
    <fb>10.4</fb>
    <v>1</v>
  </rv>
  <rv s="0">
    <fb>10.74</fb>
    <v>1</v>
  </rv>
  <rv s="0">
    <fb>10.33</fb>
    <v>1</v>
  </rv>
  <rv s="0">
    <fb>10.11</fb>
    <v>1</v>
  </rv>
  <rv s="0">
    <fb>9.5890000000000004</fb>
    <v>1</v>
  </rv>
  <rv s="0">
    <fb>8.3101000000000003</fb>
    <v>1</v>
  </rv>
  <rv s="0">
    <fb>8.91</fb>
    <v>1</v>
  </rv>
  <rv s="0">
    <fb>8.31</fb>
    <v>1</v>
  </rv>
  <rv s="0">
    <fb>7.87</fb>
    <v>1</v>
  </rv>
  <rv s="0">
    <fb>8.4491999999999994</fb>
    <v>1</v>
  </rv>
  <rv s="0">
    <fb>7.93</fb>
    <v>1</v>
  </rv>
  <rv s="0">
    <fb>7.96</fb>
    <v>1</v>
  </rv>
  <rv s="0">
    <fb>7.83</fb>
    <v>1</v>
  </rv>
  <rv s="0">
    <fb>7.9950000000000001</fb>
    <v>1</v>
  </rv>
  <rv s="0">
    <fb>7.6749999999999998</fb>
    <v>1</v>
  </rv>
  <rv s="0">
    <fb>7.7149999999999999</fb>
    <v>1</v>
  </rv>
  <rv s="0">
    <fb>7.84</fb>
    <v>1</v>
  </rv>
  <rv s="0">
    <fb>7.8250000000000002</fb>
    <v>1</v>
  </rv>
  <rv s="0">
    <fb>7.78</fb>
    <v>1</v>
  </rv>
  <rv s="0">
    <fb>8.7349999999999994</fb>
    <v>1</v>
  </rv>
  <rv s="0">
    <fb>8.8550000000000004</fb>
    <v>1</v>
  </rv>
  <rv s="0">
    <fb>8.2349999999999994</fb>
    <v>1</v>
  </rv>
  <rv s="0">
    <fb>8.2100000000000009</fb>
    <v>1</v>
  </rv>
  <rv s="0">
    <fb>8.02</fb>
    <v>1</v>
  </rv>
  <rv s="0">
    <fb>10.23</fb>
    <v>1</v>
  </rv>
  <rv s="0">
    <fb>10.465</fb>
    <v>1</v>
  </rv>
  <rv s="0">
    <fb>9.93</fb>
    <v>1</v>
  </rv>
  <rv s="0">
    <fb>10.106299999999999</fb>
    <v>1</v>
  </rv>
  <rv s="0">
    <fb>9.84</fb>
    <v>1</v>
  </rv>
  <rv s="0">
    <fb>9.74</fb>
    <v>1</v>
  </rv>
  <rv s="0">
    <fb>9.51</fb>
    <v>1</v>
  </rv>
  <rv s="0">
    <fb>9.3826000000000001</fb>
    <v>1</v>
  </rv>
  <rv s="0">
    <fb>45656</fb>
    <v>0</v>
  </rv>
  <rv s="0">
    <fb>2.2400000000000002</fb>
    <v>1</v>
  </rv>
  <rv s="0">
    <fb>2.09</fb>
    <v>1</v>
  </rv>
  <rv s="0">
    <fb>2.0699999999999998</fb>
    <v>1</v>
  </rv>
  <rv s="0">
    <fb>2.27</fb>
    <v>1</v>
  </rv>
  <rv s="0">
    <fb>1.8201000000000001</fb>
    <v>1</v>
  </rv>
  <rv s="0">
    <fb>2.04</fb>
    <v>1</v>
  </rv>
  <rv s="0">
    <fb>2.46</fb>
    <v>1</v>
  </rv>
  <rv s="0">
    <fb>1.94</fb>
    <v>1</v>
  </rv>
  <rv s="0">
    <fb>1.75</fb>
    <v>1</v>
  </rv>
  <rv s="0">
    <fb>2</fb>
    <v>1</v>
  </rv>
  <rv s="0">
    <fb>1.64</fb>
    <v>1</v>
  </rv>
  <rv s="0">
    <fb>1.91</fb>
    <v>1</v>
  </rv>
  <rv s="0">
    <fb>1.92</fb>
    <v>1</v>
  </rv>
  <rv s="0">
    <fb>1.5</fb>
    <v>1</v>
  </rv>
  <rv s="0">
    <fb>1.83</fb>
    <v>1</v>
  </rv>
  <rv s="0">
    <fb>2.23</fb>
    <v>1</v>
  </rv>
  <rv s="0">
    <fb>1.8049999999999999</fb>
    <v>1</v>
  </rv>
  <rv s="0">
    <fb>1.25</fb>
    <v>1</v>
  </rv>
  <rv s="0">
    <fb>1.24</fb>
    <v>1</v>
  </rv>
  <rv s="0">
    <fb>0.98429999999999995</fb>
    <v>1</v>
  </rv>
  <rv s="0">
    <fb>1.26</fb>
    <v>1</v>
  </rv>
  <rv s="0">
    <fb>0.9163</fb>
    <v>1</v>
  </rv>
  <rv s="0">
    <fb>0.8085</fb>
    <v>1</v>
  </rv>
  <rv s="0">
    <fb>1</fb>
    <v>1</v>
  </rv>
  <rv s="0">
    <fb>0.75070000000000003</fb>
    <v>1</v>
  </rv>
  <rv s="0">
    <fb>0.73839999999999995</fb>
    <v>1</v>
  </rv>
  <rv s="0">
    <fb>1.18</fb>
    <v>1</v>
  </rv>
  <rv s="0">
    <fb>0.56999999999999995</fb>
    <v>1</v>
  </rv>
  <rv s="0">
    <fb>0.70009999999999994</fb>
    <v>1</v>
  </rv>
  <rv s="0">
    <fb>0.79579999999999995</fb>
    <v>1</v>
  </rv>
  <rv s="0">
    <fb>0.68</fb>
    <v>1</v>
  </rv>
  <rv s="0">
    <fb>1.1200000000000001</fb>
    <v>1</v>
  </rv>
  <rv s="0">
    <fb>1.1399999999999999</fb>
    <v>1</v>
  </rv>
  <rv s="0">
    <fb>0.69110000000000005</fb>
    <v>1</v>
  </rv>
  <rv s="0">
    <fb>0.92090000000000005</fb>
    <v>1</v>
  </rv>
  <rv s="0">
    <fb>0.8337</fb>
    <v>1</v>
  </rv>
  <rv s="0">
    <fb>0.81399999999999995</fb>
    <v>1</v>
  </rv>
  <rv s="0">
    <fb>0.9899</fb>
    <v>1</v>
  </rv>
  <rv s="0">
    <fb>0.65910000000000002</fb>
    <v>1</v>
  </rv>
  <rv s="0">
    <fb>0.88790000000000002</fb>
    <v>1</v>
  </rv>
  <rv s="0">
    <fb>0.96499999999999997</fb>
    <v>1</v>
  </rv>
  <rv s="0">
    <fb>0.81530000000000002</fb>
    <v>1</v>
  </rv>
  <rv s="0">
    <fb>0.71509999999999996</fb>
    <v>1</v>
  </rv>
  <rv s="0">
    <fb>0.9</fb>
    <v>1</v>
  </rv>
  <rv s="0">
    <fb>0.69040000000000001</fb>
    <v>1</v>
  </rv>
  <rv s="0">
    <fb>0.81859999999999999</fb>
    <v>1</v>
  </rv>
  <rv s="0">
    <fb>0.85370000000000001</fb>
    <v>1</v>
  </rv>
  <rv s="0">
    <fb>0.72840000000000005</fb>
    <v>1</v>
  </rv>
  <rv s="0">
    <fb>0.76500000000000001</fb>
    <v>1</v>
  </rv>
  <rv s="0">
    <fb>0.79890000000000005</fb>
    <v>1</v>
  </rv>
  <rv s="0">
    <fb>0.73109999999999997</fb>
    <v>1</v>
  </rv>
  <rv s="0">
    <fb>0.93010000000000004</fb>
    <v>1</v>
  </rv>
  <rv s="0">
    <fb>0.94</fb>
    <v>1</v>
  </rv>
  <rv s="0">
    <fb>0.76</fb>
    <v>1</v>
  </rv>
  <rv s="0">
    <fb>0.92679999999999996</fb>
    <v>1</v>
  </rv>
  <rv s="0">
    <fb>1.05</fb>
    <v>1</v>
  </rv>
  <rv s="0">
    <fb>0.8276</fb>
    <v>1</v>
  </rv>
  <rv s="0">
    <fb>1.22</fb>
    <v>1</v>
  </rv>
  <rv s="0">
    <fb>1.23</fb>
    <v>1</v>
  </rv>
  <rv s="0">
    <fb>0.89</fb>
    <v>1</v>
  </rv>
  <rv s="0">
    <fb>1.7</fb>
    <v>1</v>
  </rv>
  <rv s="0">
    <fb>1.885</fb>
    <v>1</v>
  </rv>
  <rv s="0">
    <fb>1.82</fb>
    <v>1</v>
  </rv>
  <rv s="0">
    <fb>2.0449999999999999</fb>
    <v>1</v>
  </rv>
  <rv s="0">
    <fb>1.4000999999999999</fb>
    <v>1</v>
  </rv>
  <rv s="0">
    <fb>1.58</fb>
    <v>1</v>
  </rv>
  <rv s="0">
    <fb>1.9</fb>
    <v>1</v>
  </rv>
  <rv s="0">
    <fb>1.46</fb>
    <v>1</v>
  </rv>
  <rv s="0">
    <fb>1.36</fb>
    <v>1</v>
  </rv>
  <rv s="0">
    <fb>1.85</fb>
    <v>1</v>
  </rv>
  <rv s="0">
    <fb>2.29</fb>
    <v>1</v>
  </rv>
  <rv s="0">
    <fb>1.8</fb>
    <v>1</v>
  </rv>
  <rv s="0">
    <fb>2.12</fb>
    <v>1</v>
  </rv>
  <rv s="0">
    <fb>1.71</fb>
    <v>1</v>
  </rv>
  <rv s="0">
    <fb>2.6398999999999999</fb>
    <v>1</v>
  </rv>
  <rv s="0">
    <fb>2.13</fb>
    <v>1</v>
  </rv>
  <rv s="0">
    <fb>2.7</fb>
    <v>1</v>
  </rv>
  <rv s="0">
    <fb>2.02</fb>
    <v>1</v>
  </rv>
  <rv s="0">
    <fb>2.2000000000000002</fb>
    <v>1</v>
  </rv>
  <rv s="0">
    <fb>1.78</fb>
    <v>1</v>
  </rv>
  <rv s="0">
    <fb>2.25</fb>
    <v>1</v>
  </rv>
  <rv s="0">
    <fb>4.51</fb>
    <v>1</v>
  </rv>
  <rv s="0">
    <fb>5.86</fb>
    <v>1</v>
  </rv>
  <rv s="0">
    <fb>6.1879999999999997</fb>
    <v>1</v>
  </rv>
  <rv s="0">
    <fb>4.53</fb>
    <v>1</v>
  </rv>
  <rv s="0">
    <fb>5.63</fb>
    <v>1</v>
  </rv>
  <rv s="0">
    <fb>4.9000000000000004</fb>
    <v>1</v>
  </rv>
  <rv s="0">
    <fb>6.72</fb>
    <v>1</v>
  </rv>
  <rv s="0">
    <fb>5.21</fb>
    <v>1</v>
  </rv>
  <rv s="0">
    <fb>7.66</fb>
    <v>1</v>
  </rv>
  <rv s="0">
    <fb>8.1198999999999995</fb>
    <v>1</v>
  </rv>
  <rv s="0">
    <fb>6.58</fb>
    <v>1</v>
  </rv>
  <rv s="0">
    <fb>7.18</fb>
    <v>1</v>
  </rv>
  <rv s="0">
    <fb>11.6999</fb>
    <v>1</v>
  </rv>
  <rv s="0">
    <fb>9.1900999999999993</fb>
    <v>1</v>
  </rv>
  <rv s="0">
    <fb>11.215</fb>
    <v>1</v>
  </rv>
  <rv s="0">
    <fb>7.5549999999999997</fb>
    <v>1</v>
  </rv>
  <rv s="0">
    <fb>7.46</fb>
    <v>1</v>
  </rv>
  <rv s="0">
    <fb>6.4649999999999999</fb>
    <v>1</v>
  </rv>
  <rv s="0">
    <fb>6.44</fb>
    <v>1</v>
  </rv>
  <rv s="0">
    <fb>8.3149999999999995</fb>
    <v>1</v>
  </rv>
  <rv s="0">
    <fb>6.7350000000000003</fb>
    <v>1</v>
  </rv>
  <rv s="0">
    <fb>5.93</fb>
    <v>1</v>
  </rv>
  <rv s="0">
    <fb>7.9</fb>
    <v>1</v>
  </rv>
  <rv s="0">
    <fb>9.07</fb>
    <v>1</v>
  </rv>
  <rv s="0">
    <fb>7.32</fb>
    <v>1</v>
  </rv>
  <rv s="0">
    <fb>8.3249999999999993</fb>
    <v>1</v>
  </rv>
  <rv s="0">
    <fb>2.63</fb>
    <v>1</v>
  </rv>
  <rv s="0">
    <fb>2.79</fb>
    <v>1</v>
  </rv>
  <rv s="0">
    <fb>2.4500000000000002</fb>
    <v>1</v>
  </rv>
  <rv s="0">
    <fb>2.69</fb>
    <v>1</v>
  </rv>
  <rv s="0">
    <fb>2.65</fb>
    <v>1</v>
  </rv>
  <rv s="0">
    <fb>2.7591000000000001</fb>
    <v>1</v>
  </rv>
  <rv s="0">
    <fb>2.4</fb>
    <v>1</v>
  </rv>
  <rv s="0">
    <fb>2.73</fb>
    <v>1</v>
  </rv>
  <rv s="0">
    <fb>1.88</fb>
    <v>1</v>
  </rv>
  <rv s="0">
    <fb>2.19</fb>
    <v>1</v>
  </rv>
  <rv s="0">
    <fb>1.99</fb>
    <v>1</v>
  </rv>
  <rv s="0">
    <fb>2.21</fb>
    <v>1</v>
  </rv>
  <rv s="0">
    <fb>2.2578999999999998</fb>
    <v>1</v>
  </rv>
  <rv s="0">
    <fb>1.9993000000000001</fb>
    <v>1</v>
  </rv>
  <rv s="0">
    <fb>2.0049999999999999</fb>
    <v>1</v>
  </rv>
  <rv s="0">
    <fb>2.0099999999999998</fb>
    <v>1</v>
  </rv>
  <rv s="0">
    <fb>2.1398999999999999</fb>
    <v>1</v>
  </rv>
  <rv s="0">
    <fb>2.37</fb>
    <v>1</v>
  </rv>
  <rv s="0">
    <fb>2.11</fb>
    <v>1</v>
  </rv>
  <rv s="0">
    <fb>2.2999999999999998</fb>
    <v>1</v>
  </rv>
  <rv s="0">
    <fb>2.1</fb>
    <v>1</v>
  </rv>
  <rv s="0">
    <fb>1.98</fb>
    <v>1</v>
  </rv>
  <rv s="0">
    <fb>1.81</fb>
    <v>1</v>
  </rv>
  <rv s="0">
    <fb>1.69</fb>
    <v>1</v>
  </rv>
  <rv s="0">
    <fb>1.77</fb>
    <v>1</v>
  </rv>
  <rv s="0">
    <fb>1.68</fb>
    <v>1</v>
  </rv>
  <rv s="0">
    <fb>1.835</fb>
    <v>1</v>
  </rv>
  <rv s="0">
    <fb>1.665</fb>
    <v>1</v>
  </rv>
  <rv s="0">
    <fb>1.6</fb>
    <v>1</v>
  </rv>
  <rv s="0">
    <fb>1.6794</fb>
    <v>1</v>
  </rv>
  <rv s="0">
    <fb>1.62</fb>
    <v>1</v>
  </rv>
  <rv s="0">
    <fb>1.72</fb>
    <v>1</v>
  </rv>
  <rv s="0">
    <fb>1.61</fb>
    <v>1</v>
  </rv>
  <rv s="0">
    <fb>1.76</fb>
    <v>1</v>
  </rv>
  <rv s="0">
    <fb>1.8206</fb>
    <v>1</v>
  </rv>
  <rv s="0">
    <fb>2.14</fb>
    <v>1</v>
  </rv>
  <rv s="0">
    <fb>1.93</fb>
    <v>1</v>
  </rv>
  <rv s="0">
    <fb>1.9499</fb>
    <v>1</v>
  </rv>
  <rv s="0">
    <fb>1.84</fb>
    <v>1</v>
  </rv>
  <rv s="0">
    <fb>1.9693000000000001</fb>
    <v>1</v>
  </rv>
  <rv s="0">
    <fb>1.65</fb>
    <v>1</v>
  </rv>
  <rv s="0">
    <fb>1.43</fb>
    <v>1</v>
  </rv>
  <rv s="0">
    <fb>1.4</fb>
    <v>1</v>
  </rv>
  <rv s="0">
    <fb>1.39</fb>
    <v>1</v>
  </rv>
  <rv s="0">
    <fb>1.325</fb>
    <v>1</v>
  </rv>
  <rv s="0">
    <fb>1.45</fb>
    <v>1</v>
  </rv>
  <rv s="0">
    <fb>1.1000000000000001</fb>
    <v>1</v>
  </rv>
  <rv s="0">
    <fb>1.04</fb>
    <v>1</v>
  </rv>
  <rv s="0">
    <fb>1.21</fb>
    <v>1</v>
  </rv>
  <rv s="0">
    <fb>1.08</fb>
    <v>1</v>
  </rv>
  <rv s="0">
    <fb>1.03</fb>
    <v>1</v>
  </rv>
  <rv s="0">
    <fb>0.97040000000000004</fb>
    <v>1</v>
  </rv>
  <rv s="0">
    <fb>1.1299999999999999</fb>
    <v>1</v>
  </rv>
  <rv s="0">
    <fb>0.97</fb>
    <v>1</v>
  </rv>
  <rv s="0">
    <fb>1.0215000000000001</fb>
    <v>1</v>
  </rv>
  <rv s="0">
    <fb>0.85229999999999995</fb>
    <v>1</v>
  </rv>
  <rv s="0">
    <fb>0.83899999999999997</fb>
    <v>1</v>
  </rv>
  <rv s="0">
    <fb>0.87119999999999997</fb>
    <v>1</v>
  </rv>
  <rv s="0">
    <fb>0.93620000000000003</fb>
    <v>1</v>
  </rv>
  <rv s="0">
    <fb>0.78849999999999998</fb>
    <v>1</v>
  </rv>
  <rv s="0">
    <fb>0.88749999999999996</fb>
    <v>1</v>
  </rv>
  <rv s="0">
    <fb>0.90339999999999998</fb>
    <v>1</v>
  </rv>
  <rv s="0">
    <fb>0.83</fb>
    <v>1</v>
  </rv>
  <rv s="0">
    <fb>0.80459999999999998</fb>
    <v>1</v>
  </rv>
  <rv s="0">
    <fb>0.89900000000000002</fb>
    <v>1</v>
  </rv>
  <rv s="0">
    <fb>0.8</fb>
    <v>1</v>
  </rv>
  <rv s="0">
    <fb>0.72699999999999998</fb>
    <v>1</v>
  </rv>
  <rv s="0">
    <fb>0.81</fb>
    <v>1</v>
  </rv>
  <rv s="0">
    <fb>0.68500000000000005</fb>
    <v>1</v>
  </rv>
  <rv s="0">
    <fb>0.72350000000000003</fb>
    <v>1</v>
  </rv>
  <rv s="0">
    <fb>0.68110000000000004</fb>
    <v>1</v>
  </rv>
  <rv s="0">
    <fb>0.69699999999999995</fb>
    <v>1</v>
  </rv>
  <rv s="0">
    <fb>0.70650000000000002</fb>
    <v>1</v>
  </rv>
  <rv s="0">
    <fb>0.67669999999999997</fb>
    <v>1</v>
  </rv>
  <rv s="0">
    <fb>0.7177</fb>
    <v>1</v>
  </rv>
  <rv s="0">
    <fb>0.65029999999999999</fb>
    <v>1</v>
  </rv>
  <rv s="0">
    <fb>0.74</fb>
    <v>1</v>
  </rv>
  <rv s="0">
    <fb>0.65</fb>
    <v>1</v>
  </rv>
  <rv s="0">
    <fb>0.77439999999999998</fb>
    <v>1</v>
  </rv>
  <rv s="0">
    <fb>0.79100000000000004</fb>
    <v>1</v>
  </rv>
  <rv s="0">
    <fb>0.72440000000000004</fb>
    <v>1</v>
  </rv>
  <rv s="0">
    <fb>0.74480000000000002</fb>
    <v>1</v>
  </rv>
  <rv s="0">
    <fb>0.72009999999999996</fb>
    <v>1</v>
  </rv>
  <rv s="0">
    <fb>0.75760000000000005</fb>
    <v>1</v>
  </rv>
  <rv s="0">
    <fb>0.76580000000000004</fb>
    <v>1</v>
  </rv>
  <rv s="0">
    <fb>0.72099999999999997</fb>
    <v>1</v>
  </rv>
  <rv s="0">
    <fb>0.69010000000000005</fb>
    <v>1</v>
  </rv>
  <rv s="0">
    <fb>0.75680000000000003</fb>
    <v>1</v>
  </rv>
  <rv s="0">
    <fb>0.72</fb>
    <v>1</v>
  </rv>
  <rv s="0">
    <fb>0.81200000000000006</fb>
    <v>1</v>
  </rv>
  <rv s="0">
    <fb>0.82</fb>
    <v>1</v>
  </rv>
  <rv s="0">
    <fb>0.88580000000000003</fb>
    <v>1</v>
  </rv>
  <rv s="0">
    <fb>0.79500000000000004</fb>
    <v>1</v>
  </rv>
  <rv s="0">
    <fb>0.84499999999999997</fb>
    <v>1</v>
  </rv>
  <rv s="0">
    <fb>0.97289999999999999</fb>
    <v>1</v>
  </rv>
  <rv s="0">
    <fb>0.80869999999999997</fb>
    <v>1</v>
  </rv>
  <rv s="0">
    <fb>0.99980000000000002</fb>
    <v>1</v>
  </rv>
  <rv s="0">
    <fb>1.01</fb>
    <v>1</v>
  </rv>
  <rv s="0">
    <fb>0.83309999999999995</fb>
    <v>1</v>
  </rv>
  <rv s="0">
    <fb>1.07</fb>
    <v>1</v>
  </rv>
  <rv s="0">
    <fb>0.89139999999999997</fb>
    <v>1</v>
  </rv>
  <rv s="0">
    <fb>1.1499999999999999</fb>
    <v>1</v>
  </rv>
  <rv s="0">
    <fb>1.0101</fb>
    <v>1</v>
  </rv>
  <rv s="0">
    <fb>1.1100000000000001</fb>
    <v>1</v>
  </rv>
  <rv s="0">
    <fb>1.1298999999999999</fb>
    <v>1</v>
  </rv>
  <rv s="0">
    <fb>0.99</fb>
    <v>1</v>
  </rv>
  <rv s="0">
    <fb>0.89939999999999998</fb>
    <v>1</v>
  </rv>
  <rv s="0">
    <fb>0.86</fb>
    <v>1</v>
  </rv>
  <rv s="0">
    <fb>0.9677</fb>
    <v>1</v>
  </rv>
  <rv s="0">
    <fb>0.81689999999999996</fb>
    <v>1</v>
  </rv>
  <rv s="0">
    <fb>0.75</fb>
    <v>1</v>
  </rv>
  <rv s="0">
    <fb>0.83009999999999995</fb>
    <v>1</v>
  </rv>
  <rv s="0">
    <fb>0.84</fb>
    <v>1</v>
  </rv>
  <rv s="0">
    <fb>0.77510000000000001</fb>
    <v>1</v>
  </rv>
  <rv s="0">
    <fb>0.82030000000000003</fb>
    <v>1</v>
  </rv>
  <rv s="0">
    <fb>0.71399999999999997</fb>
    <v>1</v>
  </rv>
  <rv s="0">
    <fb>0.9143</fb>
    <v>1</v>
  </rv>
  <rv s="0">
    <fb>0.85509999999999997</fb>
    <v>1</v>
  </rv>
  <rv s="0">
    <fb>0.87419999999999998</fb>
    <v>1</v>
  </rv>
  <rv s="0">
    <fb>0.93899999999999995</fb>
    <v>1</v>
  </rv>
  <rv s="0">
    <fb>0.85</fb>
    <v>1</v>
  </rv>
  <rv s="0">
    <fb>0.86370000000000002</fb>
    <v>1</v>
  </rv>
  <rv s="0">
    <fb>0.87860000000000005</fb>
    <v>1</v>
  </rv>
  <rv s="0">
    <fb>0.91920000000000002</fb>
    <v>1</v>
  </rv>
  <rv s="0">
    <fb>0.85099999999999998</fb>
    <v>1</v>
  </rv>
  <rv s="0">
    <fb>0.79810000000000003</fb>
    <v>1</v>
  </rv>
  <rv s="0">
    <fb>0.87</fb>
    <v>1</v>
  </rv>
  <rv s="0">
    <fb>0.7712</fb>
    <v>1</v>
  </rv>
  <rv s="0">
    <fb>0.82010000000000005</fb>
    <v>1</v>
  </rv>
  <rv s="0">
    <fb>0.77</fb>
    <v>1</v>
  </rv>
  <rv s="0">
    <fb>0.84189999999999998</fb>
    <v>1</v>
  </rv>
  <rv s="0">
    <fb>0.83140000000000003</fb>
    <v>1</v>
  </rv>
  <rv s="0">
    <fb>0.80049999999999999</fb>
    <v>1</v>
  </rv>
  <rv s="0">
    <fb>0.87929999999999997</fb>
    <v>1</v>
  </rv>
  <rv s="0">
    <fb>0.78339999999999999</fb>
    <v>1</v>
  </rv>
  <rv s="0">
    <fb>0.81559999999999999</fb>
    <v>1</v>
  </rv>
  <rv s="0">
    <fb>0.75109999999999999</fb>
    <v>1</v>
  </rv>
  <rv s="0">
    <fb>0.77890000000000004</fb>
    <v>1</v>
  </rv>
  <rv s="0">
    <fb>0.80679999999999996</fb>
    <v>1</v>
  </rv>
  <rv s="0">
    <fb>0.82930000000000004</fb>
    <v>1</v>
  </rv>
  <rv s="0">
    <fb>0.77680000000000005</fb>
    <v>1</v>
  </rv>
  <rv s="0">
    <fb>0.78859999999999997</fb>
    <v>1</v>
  </rv>
  <rv s="0">
    <fb>0.73499999999999999</fb>
    <v>1</v>
  </rv>
  <rv s="0">
    <fb>0.83289999999999997</fb>
    <v>1</v>
  </rv>
  <rv s="0">
    <fb>0.77170000000000005</fb>
    <v>1</v>
  </rv>
  <rv s="0">
    <fb>0.76429999999999998</fb>
    <v>1</v>
  </rv>
  <rv s="0">
    <fb>0.76039999999999996</fb>
    <v>1</v>
  </rv>
  <rv s="0">
    <fb>0.75719999999999998</fb>
    <v>1</v>
  </rv>
  <rv s="0">
    <fb>0.77900000000000003</fb>
    <v>1</v>
  </rv>
  <rv s="0">
    <fb>0.73540000000000005</fb>
    <v>1</v>
  </rv>
  <rv s="0">
    <fb>0.75349999999999995</fb>
    <v>1</v>
  </rv>
  <rv s="0">
    <fb>0.76239999999999997</fb>
    <v>1</v>
  </rv>
  <rv s="0">
    <fb>0.79090000000000005</fb>
    <v>1</v>
  </rv>
  <rv s="0">
    <fb>0.79879999999999995</fb>
    <v>1</v>
  </rv>
  <rv s="0">
    <fb>0.73170000000000002</fb>
    <v>1</v>
  </rv>
  <rv s="0">
    <fb>0.79630000000000001</fb>
    <v>1</v>
  </rv>
  <rv s="0">
    <fb>0.76170000000000004</fb>
    <v>1</v>
  </rv>
  <rv s="0">
    <fb>0.82979999999999998</fb>
    <v>1</v>
  </rv>
  <rv s="0">
    <fb>0.76019999999999999</fb>
    <v>1</v>
  </rv>
  <rv s="0">
    <fb>0.88639999999999997</fb>
    <v>1</v>
  </rv>
  <rv s="0">
    <fb>0.80689999999999995</fb>
    <v>1</v>
  </rv>
  <rv s="0">
    <fb>0.87590000000000001</fb>
    <v>1</v>
  </rv>
  <rv s="0">
    <fb>0.92</fb>
    <v>1</v>
  </rv>
  <rv s="0">
    <fb>0.84389999999999998</fb>
    <v>1</v>
  </rv>
  <rv s="0">
    <fb>0.85670000000000002</fb>
    <v>1</v>
  </rv>
  <rv s="0">
    <fb>0.84009999999999996</fb>
    <v>1</v>
  </rv>
  <rv s="0">
    <fb>0.97940000000000005</fb>
    <v>1</v>
  </rv>
  <rv s="0">
    <fb>0.85499999999999998</fb>
    <v>1</v>
  </rv>
  <rv s="0">
    <fb>0.94259999999999999</fb>
    <v>1</v>
  </rv>
  <rv s="0">
    <fb>0.93100000000000005</fb>
    <v>1</v>
  </rv>
  <rv s="0">
    <fb>0.86509999999999998</fb>
    <v>1</v>
  </rv>
  <rv s="0">
    <fb>0.99650000000000005</fb>
    <v>1</v>
  </rv>
  <rv s="0">
    <fb>0.9093</fb>
    <v>1</v>
  </rv>
  <rv s="0">
    <fb>0.91900000000000004</fb>
    <v>1</v>
  </rv>
  <rv s="0">
    <fb>0.84350000000000003</fb>
    <v>1</v>
  </rv>
  <rv s="0">
    <fb>0.96</fb>
    <v>1</v>
  </rv>
  <rv s="0">
    <fb>0.94220000000000004</fb>
    <v>1</v>
  </rv>
  <rv s="0">
    <fb>0.95369999999999999</fb>
    <v>1</v>
  </rv>
  <rv s="0">
    <fb>0.93200000000000005</fb>
    <v>1</v>
  </rv>
  <rv s="0">
    <fb>1.47</fb>
    <v>1</v>
  </rv>
  <rv s="0">
    <fb>1.52</fb>
    <v>1</v>
  </rv>
  <rv s="0">
    <fb>1.42</fb>
    <v>1</v>
  </rv>
  <rv s="0">
    <fb>1.66</fb>
    <v>1</v>
  </rv>
  <rv s="0">
    <fb>1.79</fb>
    <v>1</v>
  </rv>
  <rv s="0">
    <fb>1.87</fb>
    <v>1</v>
  </rv>
  <rv s="0">
    <fb>1.67</fb>
    <v>1</v>
  </rv>
  <rv s="0">
    <fb>1.48</fb>
    <v>1</v>
  </rv>
  <rv s="0">
    <fb>1.51</fb>
    <v>1</v>
  </rv>
  <rv s="0">
    <fb>1.56</fb>
    <v>1</v>
  </rv>
  <rv s="0">
    <fb>1.6988000000000001</fb>
    <v>1</v>
  </rv>
  <rv s="0">
    <fb>1.55</fb>
    <v>1</v>
  </rv>
  <rv s="0">
    <fb>1.59</fb>
    <v>1</v>
  </rv>
  <rv s="0">
    <fb>1.4650000000000001</fb>
    <v>1</v>
  </rv>
  <rv s="0">
    <fb>1.53</fb>
    <v>1</v>
  </rv>
  <rv s="0">
    <fb>1.96</fb>
    <v>1</v>
  </rv>
  <rv s="0">
    <fb>1.95</fb>
    <v>1</v>
  </rv>
  <rv s="0">
    <fb>2.0150000000000001</fb>
    <v>1</v>
  </rv>
  <rv s="0">
    <fb>1.97</fb>
    <v>1</v>
  </rv>
  <rv s="0">
    <fb>1.825</fb>
    <v>1</v>
  </rv>
  <rv s="0">
    <fb>1.7949999999999999</fb>
    <v>1</v>
  </rv>
  <rv s="0">
    <fb>2.0499999999999998</fb>
    <v>1</v>
  </rv>
  <rv s="0">
    <fb>2.31</fb>
    <v>1</v>
  </rv>
  <rv s="0">
    <fb>2.35</fb>
    <v>1</v>
  </rv>
  <rv s="0">
    <fb>2.44</fb>
    <v>1</v>
  </rv>
  <rv s="0">
    <fb>2.1800000000000002</fb>
    <v>1</v>
  </rv>
  <rv s="0">
    <fb>2.33</fb>
    <v>1</v>
  </rv>
  <rv s="0">
    <fb>2.06</fb>
    <v>1</v>
  </rv>
  <rv s="0">
    <fb>2.2200000000000002</fb>
    <v>1</v>
  </rv>
  <rv s="0">
    <fb>2.0299999999999998</fb>
    <v>1</v>
  </rv>
  <rv s="0">
    <fb>2.67</fb>
    <v>1</v>
  </rv>
  <rv s="0">
    <fb>2.66</fb>
    <v>1</v>
  </rv>
  <rv s="0">
    <fb>3.085</fb>
    <v>1</v>
  </rv>
  <rv s="0">
    <fb>3.395</fb>
    <v>1</v>
  </rv>
  <rv s="0">
    <fb>3.79</fb>
    <v>1</v>
  </rv>
  <rv s="0">
    <fb>3.44</fb>
    <v>1</v>
  </rv>
  <rv s="0">
    <fb>3.93</fb>
    <v>1</v>
  </rv>
  <rv s="0">
    <fb>4.01</fb>
    <v>1</v>
  </rv>
  <rv s="0">
    <fb>3.7250000000000001</fb>
    <v>1</v>
  </rv>
  <rv s="0">
    <fb>3.56</fb>
    <v>1</v>
  </rv>
  <rv s="0">
    <fb>3.66</fb>
    <v>1</v>
  </rv>
  <rv s="0">
    <fb>4.97</fb>
    <v>1</v>
  </rv>
  <rv s="0">
    <fb>5.2666000000000004</fb>
    <v>1</v>
  </rv>
  <rv s="0">
    <fb>4.71</fb>
    <v>1</v>
  </rv>
  <rv s="0">
    <fb>5.5049999999999999</fb>
    <v>1</v>
  </rv>
  <rv s="0">
    <fb>5.7</fb>
    <v>1</v>
  </rv>
  <rv s="0">
    <fb>5.2</fb>
    <v>1</v>
  </rv>
  <rv s="0">
    <fb>5.54</fb>
    <v>1</v>
  </rv>
  <rv s="0">
    <fb>5.46</fb>
    <v>1</v>
  </rv>
  <rv s="0">
    <fb>5.33</fb>
    <v>1</v>
  </rv>
  <rv s="0">
    <fb>5.03</fb>
    <v>1</v>
  </rv>
  <rv s="0">
    <fb>5.6779999999999999</fb>
    <v>1</v>
  </rv>
  <rv s="0">
    <fb>5.68</fb>
    <v>1</v>
  </rv>
  <rv s="0">
    <fb>6.5</fb>
    <v>1</v>
  </rv>
  <rv s="0">
    <fb>5.45</fb>
    <v>1</v>
  </rv>
  <rv s="0">
    <fb>5.3849999999999998</fb>
    <v>1</v>
  </rv>
  <rv s="0">
    <fb>6.42</fb>
    <v>1</v>
  </rv>
  <rv s="0">
    <fb>5.41</fb>
    <v>1</v>
  </rv>
  <rv s="0">
    <fb>6.2</fb>
    <v>1</v>
  </rv>
  <rv s="0">
    <fb>6.38</fb>
    <v>1</v>
  </rv>
  <rv s="0">
    <fb>6.25</fb>
    <v>1</v>
  </rv>
  <rv s="0">
    <fb>6.35</fb>
    <v>1</v>
  </rv>
  <rv s="0">
    <fb>6.1</fb>
    <v>1</v>
  </rv>
  <rv s="0">
    <fb>6.6</fb>
    <v>1</v>
  </rv>
  <rv s="0">
    <fb>7.23</fb>
    <v>1</v>
  </rv>
  <rv s="0">
    <fb>7.35</fb>
    <v>1</v>
  </rv>
  <rv s="0">
    <fb>8.07</fb>
    <v>1</v>
  </rv>
  <rv s="0">
    <fb>7.75</fb>
    <v>1</v>
  </rv>
  <rv s="0">
    <fb>6.79</fb>
    <v>1</v>
  </rv>
  <rv s="0">
    <fb>7.8</fb>
    <v>1</v>
  </rv>
  <rv s="0">
    <fb>7.72</fb>
    <v>1</v>
  </rv>
  <rv s="0">
    <fb>7.57</fb>
    <v>1</v>
  </rv>
  <rv s="0">
    <fb>10.27</fb>
    <v>1</v>
  </rv>
  <rv s="0">
    <fb>11.09</fb>
    <v>1</v>
  </rv>
  <rv s="0">
    <fb>11.545</fb>
    <v>1</v>
  </rv>
  <rv s="0">
    <fb>10.713200000000001</fb>
    <v>1</v>
  </rv>
  <rv s="0">
    <fb>11.39</fb>
    <v>1</v>
  </rv>
  <rv s="0">
    <fb>10.375</fb>
    <v>1</v>
  </rv>
  <rv s="0">
    <fb>10.81</fb>
    <v>1</v>
  </rv>
  <rv s="0">
    <fb>9.6831999999999994</fb>
    <v>1</v>
  </rv>
  <rv s="0">
    <fb>10.41</fb>
    <v>1</v>
  </rv>
  <rv s="0">
    <fb>10.56</fb>
    <v>1</v>
  </rv>
  <rv s="0">
    <fb>7.92</fb>
    <v>1</v>
  </rv>
  <rv s="0">
    <fb>7.19</fb>
    <v>1</v>
  </rv>
  <rv s="0">
    <fb>7.91</fb>
    <v>1</v>
  </rv>
  <rv s="0">
    <fb>7.1245000000000003</fb>
    <v>1</v>
  </rv>
  <rv s="0">
    <fb>7.06</fb>
    <v>1</v>
  </rv>
  <rv s="0">
    <fb>6.65</fb>
    <v>1</v>
  </rv>
  <rv s="0">
    <fb>7.4050000000000002</fb>
    <v>1</v>
  </rv>
  <rv s="0">
    <fb>7.52</fb>
    <v>1</v>
  </rv>
  <rv s="0">
    <fb>6.66</fb>
    <v>1</v>
  </rv>
  <rv s="0">
    <fb>6.52</fb>
    <v>1</v>
  </rv>
  <rv s="0">
    <fb>6.29</fb>
    <v>1</v>
  </rv>
  <rv s="0">
    <fb>6.6150000000000002</fb>
    <v>1</v>
  </rv>
  <rv s="0">
    <fb>6.2050000000000001</fb>
    <v>1</v>
  </rv>
  <rv s="0">
    <fb>5.96</fb>
    <v>1</v>
  </rv>
  <rv s="0">
    <fb>6.57</fb>
    <v>1</v>
  </rv>
  <rv s="0">
    <fb>5.77</fb>
    <v>1</v>
  </rv>
  <rv s="0">
    <fb>5.2149999999999999</fb>
    <v>1</v>
  </rv>
  <rv s="0">
    <fb>5.8949999999999996</fb>
    <v>1</v>
  </rv>
  <rv s="0">
    <fb>5.88</fb>
    <v>1</v>
  </rv>
  <rv s="0">
    <fb>6.39</fb>
    <v>1</v>
  </rv>
  <rv s="0">
    <fb>6.0949999999999998</fb>
    <v>1</v>
  </rv>
  <rv s="0">
    <fb>5.51</fb>
    <v>1</v>
  </rv>
  <rv s="0">
    <fb>6.165</fb>
    <v>1</v>
  </rv>
  <rv s="0">
    <fb>7.34</fb>
    <v>1</v>
  </rv>
  <rv s="0">
    <fb>6.31</fb>
    <v>1</v>
  </rv>
  <rv s="0">
    <fb>6.2549999999999999</fb>
    <v>1</v>
  </rv>
  <rv s="0">
    <fb>7.5149999999999997</fb>
    <v>1</v>
  </rv>
  <rv s="0">
    <fb>5.98</fb>
    <v>1</v>
  </rv>
  <rv s="0">
    <fb>7.5</fb>
    <v>1</v>
  </rv>
  <rv s="0">
    <fb>6.27</fb>
    <v>1</v>
  </rv>
  <rv s="0">
    <fb>7.6849999999999996</fb>
    <v>1</v>
  </rv>
  <rv s="0">
    <fb>8.4694000000000003</fb>
    <v>1</v>
  </rv>
  <rv s="0">
    <fb>7.58</fb>
    <v>1</v>
  </rv>
  <rv s="0">
    <fb>7.47</fb>
    <v>1</v>
  </rv>
  <rv s="0">
    <fb>9.1050000000000004</fb>
    <v>1</v>
  </rv>
  <rv s="0">
    <fb>9.1150000000000002</fb>
    <v>1</v>
  </rv>
  <rv s="0">
    <fb>5.18</fb>
    <v>1</v>
  </rv>
  <rv s="0">
    <fb>5.57</fb>
    <v>1</v>
  </rv>
  <rv s="0">
    <fb>5.5</fb>
    <v>1</v>
  </rv>
  <rv s="0">
    <fb>5.08</fb>
    <v>1</v>
  </rv>
  <rv s="0">
    <fb>5.4</fb>
    <v>1</v>
  </rv>
  <rv s="0">
    <fb>5.64</fb>
    <v>1</v>
  </rv>
  <rv s="0">
    <fb>6.3</fb>
    <v>1</v>
  </rv>
  <rv s="0">
    <fb>6.36</fb>
    <v>1</v>
  </rv>
  <rv s="0">
    <fb>6.99</fb>
    <v>1</v>
  </rv>
  <rv s="0">
    <fb>6.77</fb>
    <v>1</v>
  </rv>
  <rv s="0">
    <fb>7.42</fb>
    <v>1</v>
  </rv>
  <rv s="0">
    <fb>7.48</fb>
    <v>1</v>
  </rv>
  <rv s="0">
    <fb>6.97</fb>
    <v>1</v>
  </rv>
  <rv s="0">
    <fb>7.22</fb>
    <v>1</v>
  </rv>
  <rv s="0">
    <fb>7.54</fb>
    <v>1</v>
  </rv>
  <rv s="0">
    <fb>10.37</fb>
    <v>1</v>
  </rv>
  <rv s="0">
    <fb>11.75</fb>
    <v>1</v>
  </rv>
  <rv s="0">
    <fb>12.06</fb>
    <v>1</v>
  </rv>
  <rv s="0">
    <fb>13.04</fb>
    <v>1</v>
  </rv>
  <rv s="0">
    <fb>14.68</fb>
    <v>1</v>
  </rv>
  <rv s="0">
    <fb>14.59</fb>
    <v>1</v>
  </rv>
  <rv s="0">
    <fb>13.285</fb>
    <v>1</v>
  </rv>
  <rv s="0">
    <fb>13.55</fb>
    <v>1</v>
  </rv>
  <rv s="0">
    <fb>10.71</fb>
    <v>1</v>
  </rv>
  <rv s="0">
    <fb>12.47</fb>
    <v>1</v>
  </rv>
  <rv s="0">
    <fb>12.07</fb>
    <v>1</v>
  </rv>
  <rv s="0">
    <fb>11.43</fb>
    <v>1</v>
  </rv>
  <rv s="0">
    <fb>10.94</fb>
    <v>1</v>
  </rv>
  <rv s="0">
    <fb>9.85</fb>
    <v>1</v>
  </rv>
  <rv s="0">
    <fb>8.1199999999999992</fb>
    <v>1</v>
  </rv>
  <rv s="0">
    <fb>5.9</fb>
    <v>1</v>
  </rv>
  <rv s="0">
    <fb>5.67</fb>
    <v>1</v>
  </rv>
  <rv s="0">
    <fb>4.74</fb>
    <v>1</v>
  </rv>
  <rv s="0">
    <fb>5.0199999999999996</fb>
    <v>1</v>
  </rv>
  <rv s="0">
    <fb>4.87</fb>
    <v>1</v>
  </rv>
  <rv s="0">
    <fb>5.29</fb>
    <v>1</v>
  </rv>
  <rv s="0">
    <fb>5.42</fb>
    <v>1</v>
  </rv>
  <rv s="0">
    <fb>5.44</fb>
    <v>1</v>
  </rv>
  <rv s="0">
    <fb>7.08</fb>
    <v>1</v>
  </rv>
  <rv s="0">
    <fb>6.96</fb>
    <v>1</v>
  </rv>
  <rv s="0">
    <fb>6.23</fb>
    <v>1</v>
  </rv>
  <rv s="0">
    <fb>5.99</fb>
    <v>1</v>
  </rv>
  <rv s="0">
    <fb>6.43</fb>
    <v>1</v>
  </rv>
  <rv s="0">
    <fb>6.22</fb>
    <v>1</v>
  </rv>
  <rv s="0">
    <fb>6.48</fb>
    <v>1</v>
  </rv>
  <rv s="0">
    <fb>5.9850000000000003</fb>
    <v>1</v>
  </rv>
  <rv s="0">
    <fb>6.04</fb>
    <v>1</v>
  </rv>
  <rv s="0">
    <fb>5.34</fb>
    <v>1</v>
  </rv>
  <rv s="0">
    <fb>5.52</fb>
    <v>1</v>
  </rv>
  <rv s="0">
    <fb>6.03</fb>
    <v>1</v>
  </rv>
  <rv s="0">
    <fb>6.02</fb>
    <v>1</v>
  </rv>
  <rv s="0">
    <fb>5.55</fb>
    <v>1</v>
  </rv>
  <rv s="0">
    <fb>7.56</fb>
    <v>1</v>
  </rv>
  <rv s="0">
    <fb>8.7899999999999991</fb>
    <v>1</v>
  </rv>
  <rv s="0">
    <fb>8.26</fb>
    <v>1</v>
  </rv>
  <rv s="0">
    <fb>7.49</fb>
    <v>1</v>
  </rv>
  <rv s="0">
    <fb>8.01</fb>
    <v>1</v>
  </rv>
  <rv s="0">
    <fb>7.98</fb>
    <v>1</v>
  </rv>
  <rv s="0">
    <fb>10.76</fb>
    <v>1</v>
  </rv>
  <rv s="0">
    <fb>10.61</fb>
    <v>1</v>
  </rv>
  <rv s="0">
    <fb>10.14</fb>
    <v>1</v>
  </rv>
  <rv s="0">
    <fb>9.9649999999999999</fb>
    <v>1</v>
  </rv>
  <rv s="0">
    <fb>8.85</fb>
    <v>1</v>
  </rv>
  <rv s="0">
    <fb>7.37</fb>
    <v>1</v>
  </rv>
  <rv s="0">
    <fb>7.44</fb>
    <v>1</v>
  </rv>
  <rv s="0">
    <fb>7.74</fb>
    <v>1</v>
  </rv>
  <rv s="0">
    <fb>7.69</fb>
    <v>1</v>
  </rv>
  <rv s="0">
    <fb>7.59</fb>
    <v>1</v>
  </rv>
  <rv s="0">
    <fb>7.45</fb>
    <v>1</v>
  </rv>
  <rv s="0">
    <fb>6.41</fb>
    <v>1</v>
  </rv>
  <rv s="0">
    <fb>6.71</fb>
    <v>1</v>
  </rv>
  <rv s="0">
    <fb>6.81</fb>
    <v>1</v>
  </rv>
  <rv s="0">
    <fb>6.88</fb>
    <v>1</v>
  </rv>
  <rv s="0">
    <fb>6.89</fb>
    <v>1</v>
  </rv>
  <rv s="0">
    <fb>6.17</fb>
    <v>1</v>
  </rv>
  <rv s="0">
    <fb>6.24</fb>
    <v>1</v>
  </rv>
  <rv s="0">
    <fb>6.07</fb>
    <v>1</v>
  </rv>
  <rv s="0">
    <fb>6.26</fb>
    <v>1</v>
  </rv>
  <rv s="0">
    <fb>6.21</fb>
    <v>1</v>
  </rv>
  <rv s="0">
    <fb>6.34</fb>
    <v>1</v>
  </rv>
  <rv s="0">
    <fb>6.49</fb>
    <v>1</v>
  </rv>
  <rv s="0">
    <fb>6.19</fb>
    <v>1</v>
  </rv>
  <rv s="0">
    <fb>6.33</fb>
    <v>1</v>
  </rv>
  <rv s="0">
    <fb>6.45</fb>
    <v>1</v>
  </rv>
  <rv s="0">
    <fb>6.37</fb>
    <v>1</v>
  </rv>
  <rv s="0">
    <fb>6.32</fb>
    <v>1</v>
  </rv>
  <rv s="0">
    <fb>6.68</fb>
    <v>1</v>
  </rv>
  <rv s="0">
    <fb>7.51</fb>
    <v>1</v>
  </rv>
  <rv s="0">
    <fb>8.18</fb>
    <v>1</v>
  </rv>
  <rv s="0">
    <fb>7.65</fb>
    <v>1</v>
  </rv>
  <rv s="0">
    <fb>7.17</fb>
    <v>1</v>
  </rv>
  <rv s="0">
    <fb>6.93</fb>
    <v>1</v>
  </rv>
  <rv s="0">
    <fb>7.11</fb>
    <v>1</v>
  </rv>
  <rv s="0">
    <fb>7.7</fb>
    <v>1</v>
  </rv>
  <rv s="0">
    <fb>7.41</fb>
    <v>1</v>
  </rv>
  <rv s="0">
    <fb>1.2</fb>
    <v>1</v>
  </rv>
  <rv s="0">
    <fb>1642362</fb>
    <v>2</v>
  </rv>
  <rv s="0">
    <fb>1.27</fb>
    <v>1</v>
  </rv>
  <rv s="0">
    <fb>2020511</fb>
    <v>2</v>
  </rv>
  <rv s="0">
    <fb>4071635</fb>
    <v>2</v>
  </rv>
  <rv s="0">
    <fb>1.19</fb>
    <v>1</v>
  </rv>
  <rv s="0">
    <fb>1.0901000000000001</fb>
    <v>1</v>
  </rv>
  <rv s="0">
    <fb>1177824</fb>
    <v>2</v>
  </rv>
  <rv s="0">
    <fb>1.0900000000000001</fb>
    <v>1</v>
  </rv>
  <rv s="0">
    <fb>1.17</fb>
    <v>1</v>
  </rv>
  <rv s="0">
    <fb>1.06</fb>
    <v>1</v>
  </rv>
  <rv s="0">
    <fb>1574014</fb>
    <v>2</v>
  </rv>
  <rv s="0">
    <fb>1568636</fb>
    <v>2</v>
  </rv>
  <rv s="0">
    <fb>1595203</fb>
    <v>2</v>
  </rv>
  <rv s="0">
    <fb>1.0874999999999999</fb>
    <v>1</v>
  </rv>
  <rv s="0">
    <fb>1.02</fb>
    <v>1</v>
  </rv>
  <rv s="0">
    <fb>978372</fb>
    <v>2</v>
  </rv>
  <rv s="0">
    <fb>1.3</fb>
    <v>1</v>
  </rv>
  <rv s="0">
    <fb>1.32</fb>
    <v>1</v>
  </rv>
  <rv s="0">
    <fb>6703346</fb>
    <v>2</v>
  </rv>
  <rv s="0">
    <fb>1.57</fb>
    <v>1</v>
  </rv>
  <rv s="0">
    <fb>1.595</fb>
    <v>1</v>
  </rv>
  <rv s="0">
    <fb>1.2855000000000001</fb>
    <v>1</v>
  </rv>
  <rv s="0">
    <fb>11496000</fb>
    <v>2</v>
  </rv>
  <rv s="0">
    <fb>16346691</fb>
    <v>2</v>
  </rv>
  <rv s="0">
    <fb>1.63</fb>
    <v>1</v>
  </rv>
  <rv s="0">
    <fb>1.3301000000000001</fb>
    <v>1</v>
  </rv>
  <rv s="0">
    <fb>8499631</fb>
    <v>2</v>
  </rv>
  <rv s="0">
    <fb>2217276</fb>
    <v>2</v>
  </rv>
  <rv s="0">
    <fb>1.415</fb>
    <v>1</v>
  </rv>
  <rv s="0">
    <fb>2942882</fb>
    <v>2</v>
  </rv>
  <rv s="0">
    <fb>2686295</fb>
    <v>2</v>
  </rv>
  <rv s="0">
    <fb>1.54</fb>
    <v>1</v>
  </rv>
  <rv s="0">
    <fb>1886184</fb>
    <v>2</v>
  </rv>
  <rv s="0">
    <fb>1.4450000000000001</fb>
    <v>1</v>
  </rv>
  <rv s="0">
    <fb>1775529</fb>
    <v>2</v>
  </rv>
  <rv s="0">
    <fb>1.5779000000000001</fb>
    <v>1</v>
  </rv>
  <rv s="0">
    <fb>1.44</fb>
    <v>1</v>
  </rv>
  <rv s="0">
    <fb>1504950</fb>
    <v>2</v>
  </rv>
  <rv s="0">
    <fb>2384540</fb>
    <v>2</v>
  </rv>
  <rv s="0">
    <fb>1920745</fb>
    <v>2</v>
  </rv>
  <rv s="0">
    <fb>1.8299000000000001</fb>
    <v>1</v>
  </rv>
  <rv s="0">
    <fb>4313738</fb>
    <v>2</v>
  </rv>
  <rv s="0">
    <fb>1.73</fb>
    <v>1</v>
  </rv>
  <rv s="0">
    <fb>5689668</fb>
    <v>2</v>
  </rv>
  <rv s="0">
    <fb>2460574</fb>
    <v>2</v>
  </rv>
  <rv s="0">
    <fb>1.7649999999999999</fb>
    <v>1</v>
  </rv>
  <rv s="0">
    <fb>2570729</fb>
    <v>2</v>
  </rv>
  <rv s="0">
    <fb>1.89</fb>
    <v>1</v>
  </rv>
  <rv s="0">
    <fb>1986131</fb>
    <v>2</v>
  </rv>
  <rv s="0">
    <fb>1.86</fb>
    <v>1</v>
  </rv>
  <rv s="0">
    <fb>2353404</fb>
    <v>2</v>
  </rv>
  <rv s="0">
    <fb>1.7749999999999999</fb>
    <v>1</v>
  </rv>
  <rv s="0">
    <fb>1600092</fb>
    <v>2</v>
  </rv>
  <rv s="0">
    <fb>2131359</fb>
    <v>2</v>
  </rv>
  <rv s="0">
    <fb>1.8697999999999999</fb>
    <v>1</v>
  </rv>
  <rv s="0">
    <fb>1734190</fb>
    <v>2</v>
  </rv>
  <rv s="0">
    <fb>1318644</fb>
    <v>2</v>
  </rv>
  <rv s="0">
    <fb>2.08</fb>
    <v>1</v>
  </rv>
  <rv s="0">
    <fb>4284689</fb>
    <v>2</v>
  </rv>
  <rv s="0">
    <fb>10624521</fb>
    <v>2</v>
  </rv>
  <rv s="0">
    <fb>2.39</fb>
    <v>1</v>
  </rv>
  <rv s="0">
    <fb>3553202</fb>
    <v>2</v>
  </rv>
  <rv s="0">
    <fb>2.2349999999999999</fb>
    <v>1</v>
  </rv>
  <rv s="0">
    <fb>3712877</fb>
    <v>2</v>
  </rv>
  <rv s="0">
    <fb>2.0750000000000002</fb>
    <v>1</v>
  </rv>
  <rv s="0">
    <fb>2.16</fb>
    <v>1</v>
  </rv>
  <rv s="0">
    <fb>2698484</fb>
    <v>2</v>
  </rv>
  <rv s="0">
    <fb>2542928</fb>
    <v>2</v>
  </rv>
  <rv s="0">
    <fb>891357</fb>
    <v>2</v>
  </rv>
  <rv s="0">
    <fb>2194487</fb>
    <v>2</v>
  </rv>
  <rv s="0">
    <fb>1.625</fb>
    <v>1</v>
  </rv>
  <rv s="0">
    <fb>1886166</fb>
    <v>2</v>
  </rv>
  <rv s="0">
    <fb>1.74</fb>
    <v>1</v>
  </rv>
  <rv s="0">
    <fb>1345165</fb>
    <v>2</v>
  </rv>
  <rv s="0">
    <fb>1784230</fb>
    <v>2</v>
  </rv>
  <rv s="0">
    <fb>2621956</fb>
    <v>2</v>
  </rv>
  <rv s="0">
    <fb>1.8105</fb>
    <v>1</v>
  </rv>
  <rv s="0">
    <fb>3182482</fb>
    <v>2</v>
  </rv>
  <rv s="0">
    <fb>1.9474</fb>
    <v>1</v>
  </rv>
  <rv s="0">
    <fb>1.794</fb>
    <v>1</v>
  </rv>
  <rv s="0">
    <fb>1495222</fb>
    <v>2</v>
  </rv>
  <rv s="0">
    <fb>1.7050000000000001</fb>
    <v>1</v>
  </rv>
  <rv s="0">
    <fb>1702953</fb>
    <v>2</v>
  </rv>
  <rv s="0">
    <fb>1286017</fb>
    <v>2</v>
  </rv>
  <rv s="0">
    <fb>803587</fb>
    <v>2</v>
  </rv>
  <rv s="0">
    <fb>972294</fb>
    <v>2</v>
  </rv>
  <rv s="0">
    <fb>774169</fb>
    <v>2</v>
  </rv>
  <rv s="0">
    <fb>1252246</fb>
    <v>2</v>
  </rv>
  <rv s="0">
    <fb>1072712</fb>
    <v>2</v>
  </rv>
  <rv s="0">
    <fb>1.915</fb>
    <v>1</v>
  </rv>
  <rv s="0">
    <fb>1044477</fb>
    <v>2</v>
  </rv>
  <rv s="0">
    <fb>1.865</fb>
    <v>1</v>
  </rv>
  <rv s="0">
    <fb>920632</fb>
    <v>2</v>
  </rv>
  <rv s="0">
    <fb>1903139</fb>
    <v>2</v>
  </rv>
  <rv s="0">
    <fb>1.7549999999999999</fb>
    <v>1</v>
  </rv>
  <rv s="0">
    <fb>1298689</fb>
    <v>2</v>
  </rv>
  <rv s="0">
    <fb>1.8154999999999999</fb>
    <v>1</v>
  </rv>
  <rv s="0">
    <fb>1.7448999999999999</fb>
    <v>1</v>
  </rv>
  <rv s="0">
    <fb>910547</fb>
    <v>2</v>
  </rv>
  <rv s="0">
    <fb>1890880</fb>
    <v>2</v>
  </rv>
  <rv s="0">
    <fb>1550093</fb>
    <v>2</v>
  </rv>
  <rv s="0">
    <fb>9627535</fb>
    <v>2</v>
  </rv>
  <rv s="0">
    <fb>2.17</fb>
    <v>1</v>
  </rv>
  <rv s="0">
    <fb>13344857</fb>
    <v>2</v>
  </rv>
  <rv s="0">
    <fb>7306110</fb>
    <v>2</v>
  </rv>
  <rv s="0">
    <fb>4811843</fb>
    <v>2</v>
  </rv>
  <rv s="0">
    <fb>3888720</fb>
    <v>2</v>
  </rv>
  <rv s="0">
    <fb>3012836</fb>
    <v>2</v>
  </rv>
  <rv s="0">
    <fb>1.8998999999999999</fb>
    <v>1</v>
  </rv>
  <rv s="0">
    <fb>3025602</fb>
    <v>2</v>
  </rv>
  <rv s="0">
    <fb>4067528</fb>
    <v>2</v>
  </rv>
  <rv s="0">
    <fb>2461576</fb>
    <v>2</v>
  </rv>
  <rv s="0">
    <fb>1.7108000000000001</fb>
    <v>1</v>
  </rv>
  <rv s="0">
    <fb>3443549</fb>
    <v>2</v>
  </rv>
  <rv s="0">
    <fb>2134063</fb>
    <v>2</v>
  </rv>
  <rv s="0">
    <fb>2.83</fb>
    <v>1</v>
  </rv>
  <rv s="0">
    <fb>2.15</fb>
    <v>1</v>
  </rv>
  <rv s="0">
    <fb>29891681</fb>
    <v>2</v>
  </rv>
  <rv s="0">
    <fb>40977152</fb>
    <v>2</v>
  </rv>
  <rv s="0">
    <fb>16223548</fb>
    <v>2</v>
  </rv>
  <rv s="0">
    <fb>2.96</fb>
    <v>1</v>
  </rv>
  <rv s="0">
    <fb>2.78</fb>
    <v>1</v>
  </rv>
  <rv s="0">
    <fb>2.72</fb>
    <v>1</v>
  </rv>
  <rv s="0">
    <fb>13155765</fb>
    <v>2</v>
  </rv>
  <rv s="0">
    <fb>12240575</fb>
    <v>2</v>
  </rv>
  <rv s="0">
    <fb>2.36</fb>
    <v>1</v>
  </rv>
  <rv s="0">
    <fb>4174226</fb>
    <v>2</v>
  </rv>
  <rv s="0">
    <fb>2.3193999999999999</fb>
    <v>1</v>
  </rv>
  <rv s="0">
    <fb>6193965</fb>
    <v>2</v>
  </rv>
  <rv s="0">
    <fb>3.69</fb>
    <v>1</v>
  </rv>
  <rv s="0">
    <fb>2.5750000000000002</fb>
    <v>1</v>
  </rv>
  <rv s="0">
    <fb>65605673</fb>
    <v>2</v>
  </rv>
  <rv s="0">
    <fb>3.5150000000000001</fb>
    <v>1</v>
  </rv>
  <rv s="0">
    <fb>2.915</fb>
    <v>1</v>
  </rv>
  <rv s="0">
    <fb>21902277</fb>
    <v>2</v>
  </rv>
  <rv s="0">
    <fb>15387781</fb>
    <v>2</v>
  </rv>
  <rv s="0">
    <fb>14185313</fb>
    <v>2</v>
  </rv>
  <rv s="0">
    <fb>3.125</fb>
    <v>1</v>
  </rv>
  <rv s="0">
    <fb>6421673</fb>
    <v>2</v>
  </rv>
  <rv s="0">
    <fb>6190844</fb>
    <v>2</v>
  </rv>
  <rv s="0">
    <fb>2.9550000000000001</fb>
    <v>1</v>
  </rv>
  <rv s="0">
    <fb>8583164</fb>
    <v>2</v>
  </rv>
  <rv s="0">
    <fb>5554109</fb>
    <v>2</v>
  </rv>
  <rv s="0">
    <fb>7052955</fb>
    <v>2</v>
  </rv>
  <rv s="0">
    <fb>2.8113999999999999</fb>
    <v>1</v>
  </rv>
  <rv s="0">
    <fb>6272791</fb>
    <v>2</v>
  </rv>
  <rv s="0">
    <fb>2.9750000000000001</fb>
    <v>1</v>
  </rv>
  <rv s="0">
    <fb>2.86</fb>
    <v>1</v>
  </rv>
  <rv s="0">
    <fb>3992129</fb>
    <v>2</v>
  </rv>
  <rv s="0">
    <fb>4122261</fb>
    <v>2</v>
  </rv>
  <rv s="0">
    <fb>3.105</fb>
    <v>1</v>
  </rv>
  <rv s="0">
    <fb>9292268</fb>
    <v>2</v>
  </rv>
  <rv s="0">
    <fb>2.93</fb>
    <v>1</v>
  </rv>
  <rv s="0">
    <fb>5861433</fb>
    <v>2</v>
  </rv>
  <rv s="0">
    <fb>3.0750000000000002</fb>
    <v>1</v>
  </rv>
  <rv s="0">
    <fb>7603880</fb>
    <v>2</v>
  </rv>
  <rv s="0">
    <fb>11650827</fb>
    <v>2</v>
  </rv>
  <rv s="0">
    <fb>3.4350000000000001</fb>
    <v>1</v>
  </rv>
  <rv s="0">
    <fb>3.67</fb>
    <v>1</v>
  </rv>
  <rv s="0">
    <fb>9806617</fb>
    <v>2</v>
  </rv>
  <rv s="0">
    <fb>24111766</fb>
    <v>2</v>
  </rv>
  <rv s="0">
    <fb>4.47</fb>
    <v>1</v>
  </rv>
  <rv s="0">
    <fb>4.54</fb>
    <v>1</v>
  </rv>
  <rv s="0">
    <fb>4.6349999999999998</fb>
    <v>1</v>
  </rv>
  <rv s="0">
    <fb>4.3216000000000001</fb>
    <v>1</v>
  </rv>
  <rv s="0">
    <fb>11757769</fb>
    <v>2</v>
  </rv>
  <rv s="0">
    <fb>4.4779999999999998</fb>
    <v>1</v>
  </rv>
  <rv s="0">
    <fb>4.2050000000000001</fb>
    <v>1</v>
  </rv>
  <rv s="0">
    <fb>11646238</fb>
    <v>2</v>
  </rv>
  <rv s="0">
    <fb>4.4195000000000002</fb>
    <v>1</v>
  </rv>
  <rv s="0">
    <fb>4.26</fb>
    <v>1</v>
  </rv>
  <rv s="0">
    <fb>4915522</fb>
    <v>2</v>
  </rv>
  <rv s="0">
    <fb>4.62</fb>
    <v>1</v>
  </rv>
  <rv s="0">
    <fb>4.28</fb>
    <v>1</v>
  </rv>
  <rv s="0">
    <fb>4.75</fb>
    <v>1</v>
  </rv>
  <rv s="0">
    <fb>11417859</fb>
    <v>2</v>
  </rv>
  <rv s="0">
    <fb>5.16</fb>
    <v>1</v>
  </rv>
  <rv s="0">
    <fb>22676511</fb>
    <v>2</v>
  </rv>
  <rv s="0">
    <fb>5.09</fb>
    <v>1</v>
  </rv>
  <rv s="0">
    <fb>9995710</fb>
    <v>2</v>
  </rv>
  <rv s="0">
    <fb>4.3049999999999997</fb>
    <v>1</v>
  </rv>
  <rv s="0">
    <fb>8757407</fb>
    <v>2</v>
  </rv>
  <rv s="0">
    <fb>4.5</fb>
    <v>1</v>
  </rv>
  <rv s="0">
    <fb>4.17</fb>
    <v>1</v>
  </rv>
  <rv s="0">
    <fb>8799696</fb>
    <v>2</v>
  </rv>
  <rv s="0">
    <fb>3.98</fb>
    <v>1</v>
  </rv>
  <rv s="0">
    <fb>4.5549999999999997</fb>
    <v>1</v>
  </rv>
  <rv s="0">
    <fb>9150959</fb>
    <v>2</v>
  </rv>
  <rv s="0">
    <fb>4</fb>
    <v>1</v>
  </rv>
  <rv s="0">
    <fb>3.94</fb>
    <v>1</v>
  </rv>
  <rv s="0">
    <fb>4822264</fb>
    <v>2</v>
  </rv>
  <rv s="0">
    <fb>4.24</fb>
    <v>1</v>
  </rv>
  <rv s="0">
    <fb>4.2149999999999999</fb>
    <v>1</v>
  </rv>
  <rv s="0">
    <fb>4.1550000000000002</fb>
    <v>1</v>
  </rv>
  <rv s="0">
    <fb>4839744</fb>
    <v>2</v>
  </rv>
  <rv s="0">
    <fb>4.25</fb>
    <v>1</v>
  </rv>
  <rv s="0">
    <fb>5138828</fb>
    <v>2</v>
  </rv>
  <rv s="0">
    <fb>4.0599999999999996</fb>
    <v>1</v>
  </rv>
  <rv s="0">
    <fb>2691386</fb>
    <v>2</v>
  </rv>
  <rv s="0">
    <fb>4.42</fb>
    <v>1</v>
  </rv>
  <rv s="0">
    <fb>4.0002000000000004</fb>
    <v>1</v>
  </rv>
  <rv s="0">
    <fb>5899053</fb>
    <v>2</v>
  </rv>
  <rv s="0">
    <fb>4224190</fb>
    <v>2</v>
  </rv>
  <rv s="0">
    <fb>6405276</fb>
    <v>2</v>
  </rv>
  <rv s="0">
    <fb>4.9349999999999996</fb>
    <v>1</v>
  </rv>
  <rv s="0">
    <fb>12152227</fb>
    <v>2</v>
  </rv>
  <rv s="0">
    <fb>6791297</fb>
    <v>2</v>
  </rv>
  <rv s="0">
    <fb>4.63</fb>
    <v>1</v>
  </rv>
  <rv s="0">
    <fb>4.585</fb>
    <v>1</v>
  </rv>
  <rv s="0">
    <fb>23778430</fb>
    <v>2</v>
  </rv>
  <rv s="0">
    <fb>13568984</fb>
    <v>2</v>
  </rv>
  <rv s="0">
    <fb>6.0650000000000004</fb>
    <v>1</v>
  </rv>
  <rv s="0">
    <fb>47177221</fb>
    <v>2</v>
  </rv>
  <rv s="0">
    <fb>7.4</fb>
    <v>1</v>
  </rv>
  <rv s="0">
    <fb>20893440</fb>
    <v>2</v>
  </rv>
  <rv s="0">
    <fb>8766006</fb>
    <v>2</v>
  </rv>
  <rv s="0">
    <fb>6.7450000000000001</fb>
    <v>1</v>
  </rv>
  <rv s="0">
    <fb>8655809</fb>
    <v>2</v>
  </rv>
  <rv s="0">
    <fb>8.1150000000000002</fb>
    <v>1</v>
  </rv>
  <rv s="0">
    <fb>7.24</fb>
    <v>1</v>
  </rv>
  <rv s="0">
    <fb>28380661</fb>
    <v>2</v>
  </rv>
  <rv s="0">
    <fb>7.875</fb>
    <v>1</v>
  </rv>
  <rv s="0">
    <fb>7.9093999999999998</fb>
    <v>1</v>
  </rv>
  <rv s="0">
    <fb>7.15</fb>
    <v>1</v>
  </rv>
  <rv s="0">
    <fb>15489520</fb>
    <v>2</v>
  </rv>
  <rv s="0">
    <fb>7</fb>
    <v>1</v>
  </rv>
  <rv s="0">
    <fb>7.1475999999999997</fb>
    <v>1</v>
  </rv>
  <rv s="0">
    <fb>9439325</fb>
    <v>2</v>
  </rv>
  <rv s="0">
    <fb>8932927</fb>
    <v>2</v>
  </rv>
  <rv s="0">
    <fb>5.94</fb>
    <v>1</v>
  </rv>
  <rv s="0">
    <fb>6.5350000000000001</fb>
    <v>1</v>
  </rv>
  <rv s="0">
    <fb>12028098</fb>
    <v>2</v>
  </rv>
  <rv s="0">
    <fb>13645960</fb>
    <v>2</v>
  </rv>
  <rv s="0">
    <fb>19253357</fb>
    <v>2</v>
  </rv>
  <rv s="0">
    <fb>6.9999000000000002</fb>
    <v>1</v>
  </rv>
  <rv s="0">
    <fb>10204685</fb>
    <v>2</v>
  </rv>
  <rv s="0">
    <fb>6.7599</fb>
    <v>1</v>
  </rv>
  <rv s="0">
    <fb>8169929</fb>
    <v>2</v>
  </rv>
  <rv s="0">
    <fb>6.54</fb>
    <v>1</v>
  </rv>
  <rv s="0">
    <fb>6840836</fb>
    <v>2</v>
  </rv>
  <rv s="0">
    <fb>17737333</fb>
    <v>2</v>
  </rv>
  <rv s="0">
    <fb>8048613</fb>
    <v>2</v>
  </rv>
  <rv s="0">
    <fb>7.28</fb>
    <v>1</v>
  </rv>
  <rv s="0">
    <fb>13757613</fb>
    <v>2</v>
  </rv>
  <rv s="0">
    <fb>7.4550000000000001</fb>
    <v>1</v>
  </rv>
  <rv s="0">
    <fb>7.85</fb>
    <v>1</v>
  </rv>
  <rv s="0">
    <fb>7.12</fb>
    <v>1</v>
  </rv>
  <rv s="0">
    <fb>17875305</fb>
    <v>2</v>
  </rv>
  <rv s="0">
    <fb>10540373</fb>
    <v>2</v>
  </rv>
  <rv s="0">
    <fb>7.6150000000000002</fb>
    <v>1</v>
  </rv>
  <rv s="0">
    <fb>12946854</fb>
    <v>2</v>
  </rv>
  <rv s="0">
    <fb>7.8609999999999998</fb>
    <v>1</v>
  </rv>
  <rv s="0">
    <fb>10138628</fb>
    <v>2</v>
  </rv>
  <rv s="0">
    <fb>15144962</fb>
    <v>2</v>
  </rv>
  <rv s="0">
    <fb>7.01</fb>
    <v>1</v>
  </rv>
  <rv s="0">
    <fb>7962696</fb>
    <v>2</v>
  </rv>
  <rv s="0">
    <fb>7.63</fb>
    <v>1</v>
  </rv>
  <rv s="0">
    <fb>7.21</fb>
    <v>1</v>
  </rv>
  <rv s="0">
    <fb>8021374</fb>
    <v>2</v>
  </rv>
  <rv s="0">
    <fb>16059648</fb>
    <v>2</v>
  </rv>
  <rv s="0">
    <fb>7.79</fb>
    <v>1</v>
  </rv>
  <rv s="0">
    <fb>7447091</fb>
    <v>2</v>
  </rv>
  <rv s="0">
    <fb>6559219</fb>
    <v>2</v>
  </rv>
  <rv s="0">
    <fb>11524770</fb>
    <v>2</v>
  </rv>
  <rv s="0">
    <fb>13143406</fb>
    <v>2</v>
  </rv>
  <rv s="0">
    <fb>12807860</fb>
    <v>2</v>
  </rv>
  <rv s="0">
    <fb>5.87</fb>
    <v>1</v>
  </rv>
  <rv s="0">
    <fb>19265525</fb>
    <v>2</v>
  </rv>
  <rv s="0">
    <fb>5.6449999999999996</fb>
    <v>1</v>
  </rv>
  <rv s="0">
    <fb>6.6849999999999996</fb>
    <v>1</v>
  </rv>
  <rv s="0">
    <fb>5.28</fb>
    <v>1</v>
  </rv>
  <rv s="0">
    <fb>33077789</fb>
    <v>2</v>
  </rv>
  <rv s="0">
    <fb>5.1849999999999996</fb>
    <v>1</v>
  </rv>
  <rv s="0">
    <fb>5.73</fb>
    <v>1</v>
  </rv>
  <rv s="0">
    <fb>14925078</fb>
    <v>2</v>
  </rv>
  <rv s="0">
    <fb>5.1100000000000003</fb>
    <v>1</v>
  </rv>
  <rv s="0">
    <fb>8367969</fb>
    <v>2</v>
  </rv>
  <rv s="0">
    <fb>5.61</fb>
    <v>1</v>
  </rv>
  <rv s="0">
    <fb>5.2206000000000001</fb>
    <v>1</v>
  </rv>
  <rv s="0">
    <fb>7173546</fb>
    <v>2</v>
  </rv>
  <rv s="0">
    <fb>5.62</fb>
    <v>1</v>
  </rv>
  <rv s="0">
    <fb>5.6881000000000004</fb>
    <v>1</v>
  </rv>
  <rv s="0">
    <fb>5644165</fb>
    <v>2</v>
  </rv>
  <rv s="0">
    <fb>5.5552000000000001</fb>
    <v>1</v>
  </rv>
  <rv s="0">
    <fb>7644053</fb>
    <v>2</v>
  </rv>
  <rv s="0">
    <fb>5.3875000000000002</fb>
    <v>1</v>
  </rv>
  <rv s="0">
    <fb>5.2350000000000003</fb>
    <v>1</v>
  </rv>
  <rv s="0">
    <fb>4678334</fb>
    <v>2</v>
  </rv>
  <rv s="0">
    <fb>5.37</fb>
    <v>1</v>
  </rv>
  <rv s="0">
    <fb>6153939</fb>
    <v>2</v>
  </rv>
  <rv s="0">
    <fb>5.335</fb>
    <v>1</v>
  </rv>
  <rv s="0">
    <fb>8758697</fb>
    <v>2</v>
  </rv>
  <rv s="0">
    <fb>4.92</fb>
    <v>1</v>
  </rv>
  <rv s="0">
    <fb>5</fb>
    <v>1</v>
  </rv>
  <rv s="0">
    <fb>5.0343999999999998</fb>
    <v>1</v>
  </rv>
  <rv s="0">
    <fb>4.5934999999999997</fb>
    <v>1</v>
  </rv>
  <rv s="0">
    <fb>17505048</fb>
    <v>2</v>
  </rv>
  <rv s="0">
    <fb>4.79</fb>
    <v>1</v>
  </rv>
  <rv s="0">
    <fb>5.05</fb>
    <v>1</v>
  </rv>
  <rv s="0">
    <fb>6680987</fb>
    <v>2</v>
  </rv>
  <rv s="0">
    <fb>10622299</fb>
    <v>2</v>
  </rv>
  <rv s="0">
    <fb>4.6399999999999997</fb>
    <v>1</v>
  </rv>
  <rv s="0">
    <fb>4.3715999999999999</fb>
    <v>1</v>
  </rv>
  <rv s="0">
    <fb>6794273</fb>
    <v>2</v>
  </rv>
  <rv s="0">
    <fb>4.5999999999999996</fb>
    <v>1</v>
  </rv>
  <rv s="0">
    <fb>5.0149999999999997</fb>
    <v>1</v>
  </rv>
  <rv s="0">
    <fb>9552513</fb>
    <v>2</v>
  </rv>
  <rv s="0">
    <fb>4.8600000000000003</fb>
    <v>1</v>
  </rv>
  <rv s="0">
    <fb>5.0298999999999996</fb>
    <v>1</v>
  </rv>
  <rv s="0">
    <fb>4.835</fb>
    <v>1</v>
  </rv>
  <rv s="0">
    <fb>8080925</fb>
    <v>2</v>
  </rv>
  <rv s="0">
    <fb>4.88</fb>
    <v>1</v>
  </rv>
  <rv s="0">
    <fb>12875327</fb>
    <v>2</v>
  </rv>
  <rv s="0">
    <fb>9834787</fb>
    <v>2</v>
  </rv>
  <rv s="0">
    <fb>5.13</fb>
    <v>1</v>
  </rv>
  <rv s="0">
    <fb>6931739</fb>
    <v>2</v>
  </rv>
  <rv s="0">
    <fb>5.26</fb>
    <v>1</v>
  </rv>
  <rv s="0">
    <fb>5.24</fb>
    <v>1</v>
  </rv>
  <rv s="0">
    <fb>4878954</fb>
    <v>2</v>
  </rv>
  <rv s="0">
    <fb>5.22</fb>
    <v>1</v>
  </rv>
  <rv s="0">
    <fb>13342223</fb>
    <v>2</v>
  </rv>
  <rv s="0">
    <fb>9719656</fb>
    <v>2</v>
  </rv>
  <rv s="0">
    <fb>5.9021999999999997</fb>
    <v>1</v>
  </rv>
  <rv s="0">
    <fb>11505504</fb>
    <v>2</v>
  </rv>
  <rv s="0">
    <fb>9250759</fb>
    <v>2</v>
  </rv>
  <rv s="0">
    <fb>4.93</fb>
    <v>1</v>
  </rv>
  <rv s="0">
    <fb>5672470</fb>
    <v>2</v>
  </rv>
  <rv s="0">
    <fb>5.32</fb>
    <v>1</v>
  </rv>
  <rv s="0">
    <fb>5.0731999999999999</fb>
    <v>1</v>
  </rv>
  <rv s="0">
    <fb>4980924</fb>
    <v>2</v>
  </rv>
  <rv s="0">
    <fb>3991834</fb>
    <v>2</v>
  </rv>
  <rv s="0">
    <fb>5.3650000000000002</fb>
    <v>1</v>
  </rv>
  <rv s="0">
    <fb>5.04</fb>
    <v>1</v>
  </rv>
  <rv s="0">
    <fb>4196497</fb>
    <v>2</v>
  </rv>
  <rv s="0">
    <fb>4657846</fb>
    <v>2</v>
  </rv>
  <rv s="0">
    <fb>7436145</fb>
    <v>2</v>
  </rv>
  <rv s="0">
    <fb>5056344</fb>
    <v>2</v>
  </rv>
  <rv s="0">
    <fb>5.7750000000000004</fb>
    <v>1</v>
  </rv>
  <rv s="0">
    <fb>5.5350000000000001</fb>
    <v>1</v>
  </rv>
  <rv s="0">
    <fb>7882987</fb>
    <v>2</v>
  </rv>
  <rv s="0">
    <fb>5.58</fb>
    <v>1</v>
  </rv>
  <rv s="0">
    <fb>5.69</fb>
    <v>1</v>
  </rv>
  <rv s="0">
    <fb>5324307</fb>
    <v>2</v>
  </rv>
  <rv s="0">
    <fb>5467481</fb>
    <v>2</v>
  </rv>
  <rv s="0">
    <fb>5.65</fb>
    <v>1</v>
  </rv>
  <rv s="0">
    <fb>5.6483999999999996</fb>
    <v>1</v>
  </rv>
  <rv s="0">
    <fb>7321049</fb>
    <v>2</v>
  </rv>
  <rv s="0">
    <fb>6.14</fb>
    <v>1</v>
  </rv>
  <rv s="0">
    <fb>10762091</fb>
    <v>2</v>
  </rv>
  <rv s="0">
    <fb>12092408</fb>
    <v>2</v>
  </rv>
  <rv s="0">
    <fb>6.13</fb>
    <v>1</v>
  </rv>
  <rv s="0">
    <fb>8889022</fb>
    <v>2</v>
  </rv>
  <rv s="0">
    <fb>16032852</fb>
    <v>2</v>
  </rv>
  <rv s="0">
    <fb>6696970</fb>
    <v>2</v>
  </rv>
  <rv s="0">
    <fb>6.2329999999999997</fb>
    <v>1</v>
  </rv>
  <rv s="0">
    <fb>5044270</fb>
    <v>2</v>
  </rv>
  <rv s="0">
    <fb>4216258</fb>
    <v>2</v>
  </rv>
  <rv s="0">
    <fb>6.94</fb>
    <v>1</v>
  </rv>
  <rv s="0">
    <fb>9077249</fb>
    <v>2</v>
  </rv>
  <rv s="0">
    <fb>7.07</fb>
    <v>1</v>
  </rv>
  <rv s="0">
    <fb>7024420</fb>
    <v>2</v>
  </rv>
  <rv s="0">
    <fb>10655414</fb>
    <v>2</v>
  </rv>
  <rv s="0">
    <fb>7.9050000000000002</fb>
    <v>1</v>
  </rv>
  <rv s="0">
    <fb>7.3212000000000002</fb>
    <v>1</v>
  </rv>
  <rv s="0">
    <fb>11383287</fb>
    <v>2</v>
  </rv>
  <rv s="0">
    <fb>8.0250000000000004</fb>
    <v>1</v>
  </rv>
  <rv s="0">
    <fb>33987747</fb>
    <v>2</v>
  </rv>
  <rv s="0">
    <fb>8.5101999999999993</fb>
    <v>1</v>
  </rv>
  <rv s="0">
    <fb>16003195</fb>
    <v>2</v>
  </rv>
  <rv s="0">
    <fb>9.8699999999999992</fb>
    <v>1</v>
  </rv>
  <rv s="0">
    <fb>16173166</fb>
    <v>2</v>
  </rv>
  <rv s="0">
    <fb>8.8049999999999997</fb>
    <v>1</v>
  </rv>
  <rv s="0">
    <fb>19925965</fb>
    <v>2</v>
  </rv>
  <rv s="0">
    <fb>10.69</fb>
    <v>1</v>
  </rv>
  <rv s="0">
    <fb>28349972</fb>
    <v>2</v>
  </rv>
  <rv s="0">
    <fb>10.744999999999999</fb>
    <v>1</v>
  </rv>
  <rv s="0">
    <fb>21740533</fb>
    <v>2</v>
  </rv>
  <rv s="0">
    <fb>10.67</fb>
    <v>1</v>
  </rv>
  <rv s="0">
    <fb>10.729900000000001</fb>
    <v>1</v>
  </rv>
  <rv s="0">
    <fb>16493130</fb>
    <v>2</v>
  </rv>
  <rv s="0">
    <fb>14080541</fb>
    <v>2</v>
  </rv>
  <rv s="0">
    <fb>8962420</fb>
    <v>2</v>
  </rv>
  <rv s="0">
    <fb>6698854</fb>
    <v>2</v>
  </rv>
  <rv s="0">
    <fb>7096584</fb>
    <v>2</v>
  </rv>
  <rv s="0">
    <fb>6.9749999999999996</fb>
    <v>1</v>
  </rv>
  <rv s="0">
    <fb>13034521</fb>
    <v>2</v>
  </rv>
  <rv s="0">
    <fb>7.3250000000000002</fb>
    <v>1</v>
  </rv>
  <rv s="0">
    <fb>7.39</fb>
    <v>1</v>
  </rv>
  <rv s="0">
    <fb>7.125</fb>
    <v>1</v>
  </rv>
  <rv s="0">
    <fb>4560245</fb>
    <v>2</v>
  </rv>
  <rv s="0">
    <fb>5267178</fb>
    <v>2</v>
  </rv>
  <rv s="0">
    <fb>6.806</fb>
    <v>1</v>
  </rv>
  <rv s="0">
    <fb>7.0460000000000003</fb>
    <v>1</v>
  </rv>
  <rv s="0">
    <fb>8620708</fb>
    <v>2</v>
  </rv>
  <rv s="0">
    <fb>7.02</fb>
    <v>1</v>
  </rv>
  <rv s="0">
    <fb>5964886</fb>
    <v>2</v>
  </rv>
  <rv s="0">
    <fb>5523057</fb>
    <v>2</v>
  </rv>
  <rv s="0">
    <fb>7.2949999999999999</fb>
    <v>1</v>
  </rv>
  <rv s="0">
    <fb>7029331</fb>
    <v>2</v>
  </rv>
  <rv s="0">
    <fb>7.16</fb>
    <v>1</v>
  </rv>
  <rv s="0">
    <fb>4869539</fb>
    <v>2</v>
  </rv>
  <rv s="0">
    <fb>6.3949999999999996</fb>
    <v>1</v>
  </rv>
  <rv s="0">
    <fb>8004884</fb>
    <v>2</v>
  </rv>
  <rv s="0">
    <fb>6.2649999999999997</fb>
    <v>1</v>
  </rv>
  <rv s="0">
    <fb>5.9225000000000003</fb>
    <v>1</v>
  </rv>
  <rv s="0">
    <fb>5894454</fb>
    <v>2</v>
  </rv>
  <rv s="0">
    <fb>6.1105999999999998</fb>
    <v>1</v>
  </rv>
  <rv s="0">
    <fb>5.8849999999999998</fb>
    <v>1</v>
  </rv>
  <rv s="0">
    <fb>5285564</fb>
    <v>2</v>
  </rv>
  <rv s="0">
    <fb>8908625</fb>
    <v>2</v>
  </rv>
  <rv s="0">
    <fb>5.7549999999999999</fb>
    <v>1</v>
  </rv>
  <rv s="0">
    <fb>8499583</fb>
    <v>2</v>
  </rv>
  <rv s="0">
    <fb>6.1349999999999998</fb>
    <v>1</v>
  </rv>
  <rv s="0">
    <fb>5322408</fb>
    <v>2</v>
  </rv>
  <rv s="0">
    <fb>5.8857999999999997</fb>
    <v>1</v>
  </rv>
  <rv s="0">
    <fb>5.6050000000000004</fb>
    <v>1</v>
  </rv>
  <rv s="0">
    <fb>4969265</fb>
    <v>2</v>
  </rv>
  <rv s="0">
    <fb>4284777</fb>
    <v>2</v>
  </rv>
  <rv s="0">
    <fb>7080003</fb>
    <v>2</v>
  </rv>
  <rv s="0">
    <fb>4.96</fb>
    <v>1</v>
  </rv>
  <rv s="0">
    <fb>9796592</fb>
    <v>2</v>
  </rv>
  <rv s="0">
    <fb>4.8849999999999998</fb>
    <v>1</v>
  </rv>
  <rv s="0">
    <fb>5.0650000000000004</fb>
    <v>1</v>
  </rv>
  <rv s="0">
    <fb>5.0682</fb>
    <v>1</v>
  </rv>
  <rv s="0">
    <fb>5825015</fb>
    <v>2</v>
  </rv>
  <rv s="0">
    <fb>11619425</fb>
    <v>2</v>
  </rv>
  <rv s="0">
    <fb>14352595</fb>
    <v>2</v>
  </rv>
  <rv s="0">
    <fb>9546498</fb>
    <v>2</v>
  </rv>
  <rv s="0">
    <fb>5792363</fb>
    <v>2</v>
  </rv>
  <rv s="0">
    <fb>5.3799000000000001</fb>
    <v>1</v>
  </rv>
  <rv s="0">
    <fb>4197811</fb>
    <v>2</v>
  </rv>
  <rv s="0">
    <fb>4461081</fb>
    <v>2</v>
  </rv>
  <rv s="0">
    <fb>5.9749999999999996</fb>
    <v>1</v>
  </rv>
  <rv s="0">
    <fb>16260282</fb>
    <v>2</v>
  </rv>
  <rv s="0">
    <fb>6.2786</fb>
    <v>1</v>
  </rv>
  <rv s="0">
    <fb>17733538</fb>
    <v>2</v>
  </rv>
  <rv s="0">
    <fb>6.2850000000000001</fb>
    <v>1</v>
  </rv>
  <rv s="0">
    <fb>11619603</fb>
    <v>2</v>
  </rv>
  <rv s="0">
    <fb>23049762</fb>
    <v>2</v>
  </rv>
  <rv s="0">
    <fb>7.0145</fb>
    <v>1</v>
  </rv>
  <rv s="0">
    <fb>11020068</fb>
    <v>2</v>
  </rv>
  <rv s="0">
    <fb>10816788</fb>
    <v>2</v>
  </rv>
  <rv s="0">
    <fb>6135868</fb>
    <v>2</v>
  </rv>
  <rv s="0">
    <fb>9863591</fb>
    <v>2</v>
  </rv>
  <rv s="0">
    <fb>5847717</fb>
    <v>2</v>
  </rv>
  <rv s="0">
    <fb>200.78</fb>
    <v>1</v>
  </rv>
  <rv s="0">
    <fb>198.79</fb>
    <v>1</v>
  </rv>
  <rv s="0">
    <fb>200.9</fb>
    <v>1</v>
  </rv>
  <rv s="0">
    <fb>245881</fb>
    <v>2</v>
  </rv>
  <rv s="0">
    <fb>2349968</fb>
    <v>2</v>
  </rv>
  <rv s="0">
    <fb>1692753</fb>
    <v>2</v>
  </rv>
  <rv s="0">
    <fb>1636312</fb>
    <v>2</v>
  </rv>
  <rv s="0">
    <fb>1600118</fb>
    <v>2</v>
  </rv>
  <rv s="0">
    <fb>2820828</fb>
    <v>2</v>
  </rv>
  <rv s="0">
    <fb>3244248</fb>
    <v>2</v>
  </rv>
  <rv s="0">
    <fb>8.7850000000000001</fb>
    <v>1</v>
  </rv>
  <rv s="0">
    <fb>3587088</fb>
    <v>2</v>
  </rv>
  <rv s="0">
    <fb>4134129</fb>
    <v>2</v>
  </rv>
  <rv s="0">
    <fb>2504613</fb>
    <v>2</v>
  </rv>
  <rv s="0">
    <fb>9.4649999999999999</fb>
    <v>1</v>
  </rv>
  <rv s="0">
    <fb>2265083</fb>
    <v>2</v>
  </rv>
  <rv s="0">
    <fb>1610164</fb>
    <v>2</v>
  </rv>
  <rv s="0">
    <fb>1774523</fb>
    <v>2</v>
  </rv>
  <rv s="0">
    <fb>1635456</fb>
    <v>2</v>
  </rv>
  <rv s="0">
    <fb>1864692</fb>
    <v>2</v>
  </rv>
  <rv s="0">
    <fb>1887373</fb>
    <v>2</v>
  </rv>
  <rv s="0">
    <fb>9.68</fb>
    <v>1</v>
  </rv>
  <rv s="0">
    <fb>1831330</fb>
    <v>2</v>
  </rv>
  <rv s="0">
    <fb>1964198</fb>
    <v>2</v>
  </rv>
  <rv s="0">
    <fb>1683979</fb>
    <v>2</v>
  </rv>
  <rv s="0">
    <fb>1627045</fb>
    <v>2</v>
  </rv>
  <rv s="0">
    <fb>1743009</fb>
    <v>2</v>
  </rv>
  <rv s="0">
    <fb>1503915</fb>
    <v>2</v>
  </rv>
  <rv s="0">
    <fb>1311567</fb>
    <v>2</v>
  </rv>
  <rv s="0">
    <fb>9.6649999999999991</fb>
    <v>1</v>
  </rv>
  <rv s="0">
    <fb>1843664</fb>
    <v>2</v>
  </rv>
  <rv s="0">
    <fb>2385274</fb>
    <v>2</v>
  </rv>
  <rv s="0">
    <fb>2826031</fb>
    <v>2</v>
  </rv>
  <rv s="0">
    <fb>9.7249999999999996</fb>
    <v>1</v>
  </rv>
  <rv s="0">
    <fb>2110970</fb>
    <v>2</v>
  </rv>
  <rv s="0">
    <fb>9.3149999999999995</fb>
    <v>1</v>
  </rv>
  <rv s="0">
    <fb>2918602</fb>
    <v>2</v>
  </rv>
  <rv s="0">
    <fb>9.3539999999999992</fb>
    <v>1</v>
  </rv>
  <rv s="0">
    <fb>2927962</fb>
    <v>2</v>
  </rv>
  <rv s="0">
    <fb>1782509</fb>
    <v>2</v>
  </rv>
  <rv s="0">
    <fb>1966321</fb>
    <v>2</v>
  </rv>
  <rv s="0">
    <fb>2490354</fb>
    <v>2</v>
  </rv>
  <rv s="0">
    <fb>9.0701000000000001</fb>
    <v>1</v>
  </rv>
  <rv s="0">
    <fb>4438033</fb>
    <v>2</v>
  </rv>
  <rv s="0">
    <fb>3323194</fb>
    <v>2</v>
  </rv>
  <rv s="0">
    <fb>2603411</fb>
    <v>2</v>
  </rv>
  <rv s="0">
    <fb>3730640</fb>
    <v>2</v>
  </rv>
  <rv s="0">
    <fb>2307275</fb>
    <v>2</v>
  </rv>
  <rv s="0">
    <fb>1567224</fb>
    <v>2</v>
  </rv>
  <rv s="0">
    <fb>2374716</fb>
    <v>2</v>
  </rv>
  <rv s="0">
    <fb>3037353</fb>
    <v>2</v>
  </rv>
  <rv s="0">
    <fb>2569909</fb>
    <v>2</v>
  </rv>
  <rv s="0">
    <fb>2528569</fb>
    <v>2</v>
  </rv>
  <rv s="0">
    <fb>2255109</fb>
    <v>2</v>
  </rv>
  <rv s="0">
    <fb>1976112</fb>
    <v>2</v>
  </rv>
  <rv s="0">
    <fb>9.0350000000000001</fb>
    <v>1</v>
  </rv>
  <rv s="0">
    <fb>2019197</fb>
    <v>2</v>
  </rv>
  <rv s="0">
    <fb>8.5449999999999999</fb>
    <v>1</v>
  </rv>
  <rv s="0">
    <fb>2883783</fb>
    <v>2</v>
  </rv>
  <rv s="0">
    <fb>3632964</fb>
    <v>2</v>
  </rv>
  <rv s="0">
    <fb>8.7949999999999999</fb>
    <v>1</v>
  </rv>
  <rv s="0">
    <fb>2417937</fb>
    <v>2</v>
  </rv>
  <rv s="0">
    <fb>1666927</fb>
    <v>2</v>
  </rv>
  <rv s="0">
    <fb>1804098</fb>
    <v>2</v>
  </rv>
  <rv s="0">
    <fb>2015083</fb>
    <v>2</v>
  </rv>
  <rv s="0">
    <fb>1787365</fb>
    <v>2</v>
  </rv>
  <rv s="0">
    <fb>9.2349999999999994</fb>
    <v>1</v>
  </rv>
  <rv s="0">
    <fb>8.9849999999999994</fb>
    <v>1</v>
  </rv>
  <rv s="0">
    <fb>1865465</fb>
    <v>2</v>
  </rv>
  <rv s="0">
    <fb>1535413</fb>
    <v>2</v>
  </rv>
  <rv s="0">
    <fb>2929243</fb>
    <v>2</v>
  </rv>
  <rv s="0">
    <fb>5646959</fb>
    <v>2</v>
  </rv>
  <rv s="0">
    <fb>3054325</fb>
    <v>2</v>
  </rv>
  <rv s="0">
    <fb>2719892</fb>
    <v>2</v>
  </rv>
  <rv s="0">
    <fb>8.4939999999999998</fb>
    <v>1</v>
  </rv>
  <rv s="0">
    <fb>2456640</fb>
    <v>2</v>
  </rv>
  <rv s="0">
    <fb>3686661</fb>
    <v>2</v>
  </rv>
  <rv s="0">
    <fb>4766129</fb>
    <v>2</v>
  </rv>
  <rv s="0">
    <fb>2984272</fb>
    <v>2</v>
  </rv>
  <rv s="0">
    <fb>7.8449999999999998</fb>
    <v>1</v>
  </rv>
  <rv s="0">
    <fb>3208314</fb>
    <v>2</v>
  </rv>
  <rv s="0">
    <fb>4769343</fb>
    <v>2</v>
  </rv>
  <rv s="0">
    <fb>7.8949999999999996</fb>
    <v>1</v>
  </rv>
  <rv s="0">
    <fb>3184954</fb>
    <v>2</v>
  </rv>
  <rv s="0">
    <fb>3705206</fb>
    <v>2</v>
  </rv>
  <rv s="0">
    <fb>6.62</fb>
    <v>1</v>
  </rv>
  <rv s="0">
    <fb>4582649</fb>
    <v>2</v>
  </rv>
  <rv s="0">
    <fb>6.53</fb>
    <v>1</v>
  </rv>
  <rv s="0">
    <fb>9532942</fb>
    <v>2</v>
  </rv>
  <rv s="0">
    <fb>6.51</fb>
    <v>1</v>
  </rv>
  <rv s="0">
    <fb>6.2249999999999996</fb>
    <v>1</v>
  </rv>
  <rv s="0">
    <fb>4930212</fb>
    <v>2</v>
  </rv>
  <rv s="0">
    <fb>6.3250000000000002</fb>
    <v>1</v>
  </rv>
  <rv s="0">
    <fb>3813104</fb>
    <v>2</v>
  </rv>
  <rv s="0">
    <fb>6.8650000000000002</fb>
    <v>1</v>
  </rv>
  <rv s="0">
    <fb>2622993</fb>
    <v>2</v>
  </rv>
  <rv s="0">
    <fb>6.9450000000000003</fb>
    <v>1</v>
  </rv>
  <rv s="0">
    <fb>3296548</fb>
    <v>2</v>
  </rv>
  <rv s="0">
    <fb>3313665</fb>
    <v>2</v>
  </rv>
  <rv s="0">
    <fb>6.63</fb>
    <v>1</v>
  </rv>
  <rv s="0">
    <fb>3105765</fb>
    <v>2</v>
  </rv>
  <rv s="0">
    <fb>6.915</fb>
    <v>1</v>
  </rv>
  <rv s="0">
    <fb>2750349</fb>
    <v>2</v>
  </rv>
  <rv s="0">
    <fb>6.91</fb>
    <v>1</v>
  </rv>
  <rv s="0">
    <fb>3907883</fb>
    <v>2</v>
  </rv>
  <rv s="0">
    <fb>7.1</fb>
    <v>1</v>
  </rv>
  <rv s="0">
    <fb>6.9709000000000003</fb>
    <v>1</v>
  </rv>
  <rv s="0">
    <fb>5787624</fb>
    <v>2</v>
  </rv>
  <rv s="0">
    <fb>4644682</fb>
    <v>2</v>
  </rv>
  <rv s="0">
    <fb>7.38</fb>
    <v>1</v>
  </rv>
  <rv s="0">
    <fb>3683901</fb>
    <v>2</v>
  </rv>
  <rv s="0">
    <fb>4267093</fb>
    <v>2</v>
  </rv>
  <rv s="0">
    <fb>3739290</fb>
    <v>2</v>
  </rv>
  <rv s="0">
    <fb>4493694</fb>
    <v>2</v>
  </rv>
  <rv s="0">
    <fb>6.5609999999999999</fb>
    <v>1</v>
  </rv>
  <rv s="0">
    <fb>10697496</fb>
    <v>2</v>
  </rv>
  <rv s="0">
    <fb>6.8</fb>
    <v>1</v>
  </rv>
  <rv s="0">
    <fb>6371917</fb>
    <v>2</v>
  </rv>
  <rv s="0">
    <fb>4239565</fb>
    <v>2</v>
  </rv>
  <rv s="0">
    <fb>5544969</fb>
    <v>2</v>
  </rv>
  <rv s="0">
    <fb>5.9249999999999998</fb>
    <v>1</v>
  </rv>
  <rv s="0">
    <fb>5657301</fb>
    <v>2</v>
  </rv>
  <rv s="0">
    <fb>9231289</fb>
    <v>2</v>
  </rv>
  <rv s="0">
    <fb>8856154</fb>
    <v>2</v>
  </rv>
  <rv s="0">
    <fb>6698108</fb>
    <v>2</v>
  </rv>
  <rv s="0">
    <fb>3770726</fb>
    <v>2</v>
  </rv>
  <rv s="0">
    <fb>6.1090999999999998</fb>
    <v>1</v>
  </rv>
  <rv s="0">
    <fb>3354981</fb>
    <v>2</v>
  </rv>
  <rv s="0">
    <fb>4214094</fb>
    <v>2</v>
  </rv>
  <rv s="0">
    <fb>8141540</fb>
    <v>2</v>
  </rv>
  <rv s="0">
    <fb>5792808</fb>
    <v>2</v>
  </rv>
  <rv s="0">
    <fb>4099140</fb>
    <v>2</v>
  </rv>
  <rv s="0">
    <fb>3627226</fb>
    <v>2</v>
  </rv>
  <rv s="0">
    <fb>2995155</fb>
    <v>2</v>
  </rv>
  <rv s="0">
    <fb>2822292</fb>
    <v>2</v>
  </rv>
  <rv s="0">
    <fb>6.18</fb>
    <v>1</v>
  </rv>
  <rv s="0">
    <fb>4436665</fb>
    <v>2</v>
  </rv>
  <rv s="0">
    <fb>5503660</fb>
    <v>2</v>
  </rv>
  <rv s="0">
    <fb>7003579</fb>
    <v>2</v>
  </rv>
  <rv s="0">
    <fb>6.1950000000000003</fb>
    <v>1</v>
  </rv>
  <rv s="0">
    <fb>3291139</fb>
    <v>2</v>
  </rv>
  <rv s="0">
    <fb>3874184</fb>
    <v>2</v>
  </rv>
  <rv s="0">
    <fb>6.3550000000000004</fb>
    <v>1</v>
  </rv>
  <rv s="0">
    <fb>6.1050000000000004</fb>
    <v>1</v>
  </rv>
  <rv s="0">
    <fb>5044090</fb>
    <v>2</v>
  </rv>
  <rv s="0">
    <fb>4522470</fb>
    <v>2</v>
  </rv>
  <rv s="0">
    <fb>3732477</fb>
    <v>2</v>
  </rv>
  <rv s="0">
    <fb>5145581</fb>
    <v>2</v>
  </rv>
  <rv s="0">
    <fb>4597825</fb>
    <v>2</v>
  </rv>
  <rv s="0">
    <fb>3446759</fb>
    <v>2</v>
  </rv>
  <rv s="0">
    <fb>4799315</fb>
    <v>2</v>
  </rv>
  <rv s="0">
    <fb>3856610</fb>
    <v>2</v>
  </rv>
  <rv s="0">
    <fb>4224896</fb>
    <v>2</v>
  </rv>
  <rv s="0">
    <fb>6885169</fb>
    <v>2</v>
  </rv>
  <rv s="0">
    <fb>6174552</fb>
    <v>2</v>
  </rv>
  <rv s="0">
    <fb>5.875</fb>
    <v>1</v>
  </rv>
  <rv s="0">
    <fb>5.7149999999999999</fb>
    <v>1</v>
  </rv>
  <rv s="0">
    <fb>5415440</fb>
    <v>2</v>
  </rv>
  <rv s="0">
    <fb>17425362</fb>
    <v>2</v>
  </rv>
  <rv s="0">
    <fb>5706517</fb>
    <v>2</v>
  </rv>
  <rv s="0">
    <fb>5.8198999999999996</fb>
    <v>1</v>
  </rv>
  <rv s="0">
    <fb>3997313</fb>
    <v>2</v>
  </rv>
  <rv s="0">
    <fb>2700031</fb>
    <v>2</v>
  </rv>
  <rv s="0">
    <fb>5.7249999999999996</fb>
    <v>1</v>
  </rv>
  <rv s="0">
    <fb>5.7798999999999996</fb>
    <v>1</v>
  </rv>
  <rv s="0">
    <fb>4149393</fb>
    <v>2</v>
  </rv>
  <rv s="0">
    <fb>5.9450000000000003</fb>
    <v>1</v>
  </rv>
  <rv s="0">
    <fb>9952134</fb>
    <v>2</v>
  </rv>
  <rv s="0">
    <fb>5.72</fb>
    <v>1</v>
  </rv>
  <rv s="0">
    <fb>5467328</fb>
    <v>2</v>
  </rv>
  <rv s="0">
    <fb>5184467</fb>
    <v>2</v>
  </rv>
  <rv s="0">
    <fb>3866190</fb>
    <v>2</v>
  </rv>
  <rv s="0">
    <fb>3120129</fb>
    <v>2</v>
  </rv>
  <rv s="0">
    <fb>6.1584000000000003</fb>
    <v>1</v>
  </rv>
  <rv s="0">
    <fb>5480573</fb>
    <v>2</v>
  </rv>
  <rv s="0">
    <fb>4186237</fb>
    <v>2</v>
  </rv>
  <rv s="0">
    <fb>6.28</fb>
    <v>1</v>
  </rv>
  <rv s="0">
    <fb>6.4450000000000003</fb>
    <v>1</v>
  </rv>
  <rv s="0">
    <fb>5592665</fb>
    <v>2</v>
  </rv>
  <rv s="0">
    <fb>4188297</fb>
    <v>2</v>
  </rv>
  <rv s="0">
    <fb>6.0750000000000002</fb>
    <v>1</v>
  </rv>
  <rv s="0">
    <fb>2557717</fb>
    <v>2</v>
  </rv>
  <rv s="0">
    <fb>2328041</fb>
    <v>2</v>
  </rv>
  <rv s="0">
    <fb>2983836</fb>
    <v>2</v>
  </rv>
  <rv s="0">
    <fb>5.9349999999999996</fb>
    <v>1</v>
  </rv>
  <rv s="0">
    <fb>3273097</fb>
    <v>2</v>
  </rv>
  <rv s="0">
    <fb>5224662</fb>
    <v>2</v>
  </rv>
  <rv s="0">
    <fb>5.915</fb>
    <v>1</v>
  </rv>
  <rv s="0">
    <fb>5161913</fb>
    <v>2</v>
  </rv>
  <rv s="0">
    <fb>3632497</fb>
    <v>2</v>
  </rv>
  <rv s="0">
    <fb>6.0250000000000004</fb>
    <v>1</v>
  </rv>
  <rv s="0">
    <fb>3464763</fb>
    <v>2</v>
  </rv>
  <rv s="0">
    <fb>6.1550000000000002</fb>
    <v>1</v>
  </rv>
  <rv s="0">
    <fb>3348124</fb>
    <v>2</v>
  </rv>
  <rv s="0">
    <fb>6.2149999999999999</fb>
    <v>1</v>
  </rv>
  <rv s="0">
    <fb>3082170</fb>
    <v>2</v>
  </rv>
  <rv s="0">
    <fb>3505161</fb>
    <v>2</v>
  </rv>
  <rv s="0">
    <fb>4439773</fb>
    <v>2</v>
  </rv>
  <rv s="0">
    <fb>6.1849999999999996</fb>
    <v>1</v>
  </rv>
  <rv s="0">
    <fb>3571002</fb>
    <v>2</v>
  </rv>
  <rv s="0">
    <fb>4113285</fb>
    <v>2</v>
  </rv>
  <rv s="0">
    <fb>8283756</fb>
    <v>2</v>
  </rv>
  <rv s="0">
    <fb>5961673</fb>
    <v>2</v>
  </rv>
  <rv s="0">
    <fb>7853842</fb>
    <v>2</v>
  </rv>
  <rv s="0">
    <fb>6.8150000000000004</fb>
    <v>1</v>
  </rv>
  <rv s="0">
    <fb>7.0392999999999999</fb>
    <v>1</v>
  </rv>
  <rv s="0">
    <fb>4595866</fb>
    <v>2</v>
  </rv>
  <rv s="0">
    <fb>7.0650000000000004</fb>
    <v>1</v>
  </rv>
  <rv s="0">
    <fb>6.8449999999999998</fb>
    <v>1</v>
  </rv>
  <rv s="0">
    <fb>3926265</fb>
    <v>2</v>
  </rv>
  <rv s="0">
    <fb>4078587</fb>
    <v>2</v>
  </rv>
  <rv s="0">
    <fb>3934694</fb>
    <v>2</v>
  </rv>
  <rv s="0">
    <fb>6.6550000000000002</fb>
    <v>1</v>
  </rv>
  <rv s="0">
    <fb>2932219</fb>
    <v>2</v>
  </rv>
  <rv s="0">
    <fb>6.7050000000000001</fb>
    <v>1</v>
  </rv>
  <rv s="0">
    <fb>3250701</fb>
    <v>2</v>
  </rv>
  <rv s="0">
    <fb>6828436</fb>
    <v>2</v>
  </rv>
  <rv s="0">
    <fb>5221717</fb>
    <v>2</v>
  </rv>
  <rv s="0">
    <fb>4667840</fb>
    <v>2</v>
  </rv>
  <rv s="0">
    <fb>3770856</fb>
    <v>2</v>
  </rv>
  <rv s="0">
    <fb>2641992</fb>
    <v>2</v>
  </rv>
  <rv s="0">
    <fb>7.2850000000000001</fb>
    <v>1</v>
  </rv>
  <rv s="0">
    <fb>2458953</fb>
    <v>2</v>
  </rv>
  <rv s="0">
    <fb>3423589</fb>
    <v>2</v>
  </rv>
  <rv s="0">
    <fb>3924063</fb>
    <v>2</v>
  </rv>
  <rv s="0">
    <fb>3126438</fb>
    <v>2</v>
  </rv>
  <rv s="0">
    <fb>2920136</fb>
    <v>2</v>
  </rv>
  <rv s="0">
    <fb>2000046</fb>
    <v>2</v>
  </rv>
  <rv s="0">
    <fb>7.5884999999999998</fb>
    <v>1</v>
  </rv>
  <rv s="0">
    <fb>3623470</fb>
    <v>2</v>
  </rv>
  <rv s="0">
    <fb>7.7450000000000001</fb>
    <v>1</v>
  </rv>
  <rv s="0">
    <fb>4153629</fb>
    <v>2</v>
  </rv>
  <rv s="0">
    <fb>7.6050000000000004</fb>
    <v>1</v>
  </rv>
  <rv s="0">
    <fb>4561381</fb>
    <v>2</v>
  </rv>
  <rv s="0">
    <fb>7.9850000000000003</fb>
    <v>1</v>
  </rv>
  <rv s="0">
    <fb>5272635</fb>
    <v>2</v>
  </rv>
  <rv s="0">
    <fb>5572392</fb>
    <v>2</v>
  </rv>
  <rv s="0">
    <fb>5559297</fb>
    <v>2</v>
  </rv>
  <rv s="0">
    <fb>3388206</fb>
    <v>2</v>
  </rv>
  <rv s="0">
    <fb>7.8002000000000002</fb>
    <v>1</v>
  </rv>
  <rv s="0">
    <fb>2644702</fb>
    <v>2</v>
  </rv>
  <rv s="0">
    <fb>7.7850000000000001</fb>
    <v>1</v>
  </rv>
  <rv s="0">
    <fb>3540957</fb>
    <v>2</v>
  </rv>
  <rv s="0">
    <fb>1907061</fb>
    <v>2</v>
  </rv>
  <rv s="0">
    <fb>2877575</fb>
    <v>2</v>
  </rv>
  <rv s="0">
    <fb>3394050</fb>
    <v>2</v>
  </rv>
  <rv s="0">
    <fb>8.2850000000000001</fb>
    <v>1</v>
  </rv>
  <rv s="0">
    <fb>7491392</fb>
    <v>2</v>
  </rv>
  <rv s="0">
    <fb>7.8849999999999998</fb>
    <v>1</v>
  </rv>
  <rv s="0">
    <fb>4990964</fb>
    <v>2</v>
  </rv>
  <rv s="0">
    <fb>9460775</fb>
    <v>2</v>
  </rv>
  <rv s="0">
    <fb>8.4350000000000005</fb>
    <v>1</v>
  </rv>
  <rv s="0">
    <fb>13465911</fb>
    <v>2</v>
  </rv>
  <rv s="0">
    <fb>4285100</fb>
    <v>2</v>
  </rv>
  <rv s="0">
    <fb>3884443</fb>
    <v>2</v>
  </rv>
  <rv s="0">
    <fb>2842144</fb>
    <v>2</v>
  </rv>
  <rv s="0">
    <fb>3285602</fb>
    <v>2</v>
  </rv>
  <rv s="0">
    <fb>8.0749999999999993</fb>
    <v>1</v>
  </rv>
  <rv s="0">
    <fb>4770151</fb>
    <v>2</v>
  </rv>
  <rv s="0">
    <fb>8565996</fb>
    <v>2</v>
  </rv>
  <rv s="0">
    <fb>7.835</fb>
    <v>1</v>
  </rv>
  <rv s="0">
    <fb>4556096</fb>
    <v>2</v>
  </rv>
  <rv s="0">
    <fb>14116338</fb>
    <v>2</v>
  </rv>
  <rv s="0">
    <fb>9970735</fb>
    <v>2</v>
  </rv>
  <rv s="0">
    <fb>8.5850000000000009</fb>
    <v>1</v>
  </rv>
  <rv s="0">
    <fb>6600235</fb>
    <v>2</v>
  </rv>
  <rv s="0">
    <fb>8.4250000000000007</fb>
    <v>1</v>
  </rv>
  <rv s="0">
    <fb>4235174</fb>
    <v>2</v>
  </rv>
  <rv s="0">
    <fb>3321290</fb>
    <v>2</v>
  </rv>
  <rv s="0">
    <fb>3764870</fb>
    <v>2</v>
  </rv>
  <rv s="0">
    <fb>8.5050000000000008</fb>
    <v>1</v>
  </rv>
  <rv s="0">
    <fb>5948121</fb>
    <v>2</v>
  </rv>
  <rv s="0">
    <fb>3643704</fb>
    <v>2</v>
  </rv>
  <rv s="0">
    <fb>3281269</fb>
    <v>2</v>
  </rv>
  <rv s="0">
    <fb>7.9649999999999999</fb>
    <v>1</v>
  </rv>
  <rv s="0">
    <fb>4301929</fb>
    <v>2</v>
  </rv>
  <rv s="0">
    <fb>5928727</fb>
    <v>2</v>
  </rv>
  <rv s="0">
    <fb>5487875</fb>
    <v>2</v>
  </rv>
  <rv s="0">
    <fb>3124047</fb>
    <v>2</v>
  </rv>
  <rv s="0">
    <fb>7369951</fb>
    <v>2</v>
  </rv>
  <rv s="0">
    <fb>8.4700000000000006</fb>
    <v>1</v>
  </rv>
  <rv s="0">
    <fb>3248747</fb>
    <v>2</v>
  </rv>
  <rv s="0">
    <fb>3326429</fb>
    <v>2</v>
  </rv>
  <rv s="0">
    <fb>2244354</fb>
    <v>2</v>
  </rv>
  <rv s="0">
    <fb>2997632</fb>
    <v>2</v>
  </rv>
  <rv s="0">
    <fb>6102978</fb>
    <v>2</v>
  </rv>
  <rv s="0">
    <fb>3703002</fb>
    <v>2</v>
  </rv>
  <rv s="0">
    <fb>9.2850000000000001</fb>
    <v>1</v>
  </rv>
  <rv s="0">
    <fb>5584328</fb>
    <v>2</v>
  </rv>
  <rv s="0">
    <fb>4905471</fb>
    <v>2</v>
  </rv>
  <rv s="0">
    <fb>8.7531999999999996</fb>
    <v>1</v>
  </rv>
  <rv s="0">
    <fb>4890537</fb>
    <v>2</v>
  </rv>
  <rv s="0">
    <fb>7627287</fb>
    <v>2</v>
  </rv>
  <rv s="0">
    <fb>9726906</fb>
    <v>2</v>
  </rv>
  <rv s="0">
    <fb>7125542</fb>
    <v>2</v>
  </rv>
  <rv s="0">
    <fb>6906213</fb>
    <v>2</v>
  </rv>
  <rv s="0">
    <fb>3896176</fb>
    <v>2</v>
  </rv>
  <rv s="0">
    <fb>3661263</fb>
    <v>2</v>
  </rv>
  <rv s="0">
    <fb>4601856</fb>
    <v>2</v>
  </rv>
  <rv s="0">
    <fb>4827367</fb>
    <v>2</v>
  </rv>
  <rv s="0">
    <fb>3905835</fb>
    <v>2</v>
  </rv>
  <rv s="0">
    <fb>2746648</fb>
    <v>2</v>
  </rv>
  <rv s="0">
    <fb>9.6449999999999996</fb>
    <v>1</v>
  </rv>
  <rv s="0">
    <fb>6534743</fb>
    <v>2</v>
  </rv>
  <rv s="0">
    <fb>9.3010000000000002</fb>
    <v>1</v>
  </rv>
  <rv s="0">
    <fb>3384580</fb>
    <v>2</v>
  </rv>
  <rv s="0">
    <fb>4072707</fb>
    <v>2</v>
  </rv>
  <rv s="0">
    <fb>3977072</fb>
    <v>2</v>
  </rv>
  <rv s="0">
    <fb>4016065</fb>
    <v>2</v>
  </rv>
  <rv s="0">
    <fb>10.57</fb>
    <v>1</v>
  </rv>
  <rv s="0">
    <fb>16369072</fb>
    <v>2</v>
  </rv>
  <rv s="0">
    <fb>10.08</fb>
    <v>1</v>
  </rv>
  <rv s="0">
    <fb>4056855</fb>
    <v>2</v>
  </rv>
  <rv s="0">
    <fb>3136529</fb>
    <v>2</v>
  </rv>
  <rv s="0">
    <fb>10.045</fb>
    <v>1</v>
  </rv>
  <rv s="0">
    <fb>1610673</fb>
    <v>2</v>
  </rv>
  <rv s="0">
    <fb>10.045199999999999</fb>
    <v>1</v>
  </rv>
  <rv s="0">
    <fb>6290262</fb>
    <v>2</v>
  </rv>
  <rv s="0">
    <fb>9.8650000000000002</fb>
    <v>1</v>
  </rv>
  <rv s="0">
    <fb>10.0199</fb>
    <v>1</v>
  </rv>
  <rv s="0">
    <fb>4528768</fb>
    <v>2</v>
  </rv>
  <rv s="0">
    <fb>9.8450000000000006</fb>
    <v>1</v>
  </rv>
  <rv s="0">
    <fb>2921933</fb>
    <v>2</v>
  </rv>
  <rv s="0">
    <fb>9.6343999999999994</fb>
    <v>1</v>
  </rv>
  <rv s="0">
    <fb>2946244</fb>
    <v>2</v>
  </rv>
  <rv s="0">
    <fb>3676341</fb>
    <v>2</v>
  </rv>
  <rv s="0">
    <fb>3294185</fb>
    <v>2</v>
  </rv>
  <rv s="0">
    <fb>9.9350000000000005</fb>
    <v>1</v>
  </rv>
  <rv s="0">
    <fb>3617918</fb>
    <v>2</v>
  </rv>
  <rv s="0">
    <fb>4208881</fb>
    <v>2</v>
  </rv>
  <rv s="0">
    <fb>2.59</fb>
    <v>1</v>
  </rv>
  <rv s="0">
    <fb>2.68</fb>
    <v>1</v>
  </rv>
  <rv s="0">
    <fb>2.7349999999999999</fb>
    <v>1</v>
  </rv>
  <rv s="0">
    <fb>2.5649999999999999</fb>
    <v>1</v>
  </rv>
  <rv s="0">
    <fb>2155127</fb>
    <v>2</v>
  </rv>
  <rv s="0">
    <fb>2.605</fb>
    <v>1</v>
  </rv>
  <rv s="0">
    <fb>1850381</fb>
    <v>2</v>
  </rv>
  <rv s="0">
    <fb>2803876</fb>
    <v>2</v>
  </rv>
  <rv s="0">
    <fb>3.4550000000000001</fb>
    <v>1</v>
  </rv>
  <rv s="0">
    <fb>7882030</fb>
    <v>2</v>
  </rv>
  <rv s="0">
    <fb>3438517</fb>
    <v>2</v>
  </rv>
  <rv s="0">
    <fb>2669118</fb>
    <v>2</v>
  </rv>
  <rv s="0">
    <fb>3551637</fb>
    <v>2</v>
  </rv>
  <rv s="0">
    <fb>2.64</fb>
    <v>1</v>
  </rv>
  <rv s="0">
    <fb>2.5</fb>
    <v>1</v>
  </rv>
  <rv s="0">
    <fb>2999907</fb>
    <v>2</v>
  </rv>
  <rv s="0">
    <fb>2.7650000000000001</fb>
    <v>1</v>
  </rv>
  <rv s="0">
    <fb>2.4950000000000001</fb>
    <v>1</v>
  </rv>
  <rv s="0">
    <fb>2893771</fb>
    <v>2</v>
  </rv>
  <rv s="0">
    <fb>2.4750000000000001</fb>
    <v>1</v>
  </rv>
  <rv s="0">
    <fb>2820328</fb>
    <v>2</v>
  </rv>
  <rv s="0">
    <fb>2.57</fb>
    <v>1</v>
  </rv>
  <rv s="0">
    <fb>2382822</fb>
    <v>2</v>
  </rv>
  <rv s="0">
    <fb>2070362</fb>
    <v>2</v>
  </rv>
  <rv s="0">
    <fb>5767631</fb>
    <v>2</v>
  </rv>
  <rv s="0">
    <fb>2.77</fb>
    <v>1</v>
  </rv>
  <rv s="0">
    <fb>2.82</fb>
    <v>1</v>
  </rv>
  <rv s="0">
    <fb>3240719</fb>
    <v>2</v>
  </rv>
  <rv s="0">
    <fb>2.52</fb>
    <v>1</v>
  </rv>
  <rv s="0">
    <fb>2099064</fb>
    <v>2</v>
  </rv>
  <rv s="0">
    <fb>2.556</fb>
    <v>1</v>
  </rv>
  <rv s="0">
    <fb>2.41</fb>
    <v>1</v>
  </rv>
  <rv s="0">
    <fb>2329156</fb>
    <v>2</v>
  </rv>
  <rv s="0">
    <fb>2.391</fb>
    <v>1</v>
  </rv>
  <rv s="0">
    <fb>2094512</fb>
    <v>2</v>
  </rv>
  <rv s="0">
    <fb>2.42</fb>
    <v>1</v>
  </rv>
  <rv s="0">
    <fb>2.4300000000000002</fb>
    <v>1</v>
  </rv>
  <rv s="0">
    <fb>2.4049999999999998</fb>
    <v>1</v>
  </rv>
  <rv s="0">
    <fb>1356455</fb>
    <v>2</v>
  </rv>
  <rv s="0">
    <fb>2.38</fb>
    <v>1</v>
  </rv>
  <rv s="0">
    <fb>1315312</fb>
    <v>2</v>
  </rv>
  <rv s="0">
    <fb>2.4906999999999999</fb>
    <v>1</v>
  </rv>
  <rv s="0">
    <fb>2229624</fb>
    <v>2</v>
  </rv>
  <rv s="0">
    <fb>2.2250000000000001</fb>
    <v>1</v>
  </rv>
  <rv s="0">
    <fb>3066413</fb>
    <v>2</v>
  </rv>
  <rv s="0">
    <fb>2.4251999999999998</fb>
    <v>1</v>
  </rv>
  <rv s="0">
    <fb>1317941</fb>
    <v>2</v>
  </rv>
  <rv s="0">
    <fb>1951812</fb>
    <v>2</v>
  </rv>
  <rv s="0">
    <fb>1276098</fb>
    <v>2</v>
  </rv>
  <rv s="0">
    <fb>2396724</fb>
    <v>2</v>
  </rv>
  <rv s="0">
    <fb>2.2730000000000001</fb>
    <v>1</v>
  </rv>
  <rv s="0">
    <fb>1802627</fb>
    <v>2</v>
  </rv>
  <rv s="0">
    <fb>2.3250000000000002</fb>
    <v>1</v>
  </rv>
  <rv s="0">
    <fb>1607746</fb>
    <v>2</v>
  </rv>
  <rv s="0">
    <fb>1583922</fb>
    <v>2</v>
  </rv>
  <rv s="0">
    <fb>2.335</fb>
    <v>1</v>
  </rv>
  <rv s="0">
    <fb>1076202</fb>
    <v>2</v>
  </rv>
  <rv s="0">
    <fb>2.3799000000000001</fb>
    <v>1</v>
  </rv>
  <rv s="0">
    <fb>1205136</fb>
    <v>2</v>
  </rv>
  <rv s="0">
    <fb>2.3199999999999998</fb>
    <v>1</v>
  </rv>
  <rv s="0">
    <fb>2.375</fb>
    <v>1</v>
  </rv>
  <rv s="0">
    <fb>1537919</fb>
    <v>2</v>
  </rv>
  <rv s="0">
    <fb>2.355</fb>
    <v>1</v>
  </rv>
  <rv s="0">
    <fb>859265</fb>
    <v>2</v>
  </rv>
  <rv s="0">
    <fb>2.3199000000000001</fb>
    <v>1</v>
  </rv>
  <rv s="0">
    <fb>749891</fb>
    <v>2</v>
  </rv>
  <rv s="0">
    <fb>1743891</fb>
    <v>2</v>
  </rv>
  <rv s="0">
    <fb>1845327</fb>
    <v>2</v>
  </rv>
  <rv s="0">
    <fb>2.0950000000000002</fb>
    <v>1</v>
  </rv>
  <rv s="0">
    <fb>3171608</fb>
    <v>2</v>
  </rv>
  <rv s="0">
    <fb>1593939</fb>
    <v>2</v>
  </rv>
  <rv s="0">
    <fb>1253649</fb>
    <v>2</v>
  </rv>
  <rv s="0">
    <fb>2464587</fb>
    <v>2</v>
  </rv>
  <rv s="0">
    <fb>5779029</fb>
    <v>2</v>
  </rv>
  <rv s="0">
    <fb>3005950</fb>
    <v>2</v>
  </rv>
  <rv s="0">
    <fb>3296413</fb>
    <v>2</v>
  </rv>
  <rv s="0">
    <fb>3782645</fb>
    <v>2</v>
  </rv>
  <rv s="0">
    <fb>2.0649999999999999</fb>
    <v>1</v>
  </rv>
  <rv s="0">
    <fb>4180422</fb>
    <v>2</v>
  </rv>
  <rv s="0">
    <fb>3381893</fb>
    <v>2</v>
  </rv>
  <rv s="0">
    <fb>4569905</fb>
    <v>2</v>
  </rv>
  <rv s="0">
    <fb>5547560</fb>
    <v>2</v>
  </rv>
  <rv s="0">
    <fb>2.2949999999999999</fb>
    <v>1</v>
  </rv>
  <rv s="0">
    <fb>4393119</fb>
    <v>2</v>
  </rv>
  <rv s="0">
    <fb>2.3149999999999999</fb>
    <v>1</v>
  </rv>
  <rv s="0">
    <fb>3351024</fb>
    <v>2</v>
  </rv>
  <rv s="0">
    <fb>1377711</fb>
    <v>2</v>
  </rv>
  <rv s="0">
    <fb>2142794</fb>
    <v>2</v>
  </rv>
  <rv s="0">
    <fb>2053459</fb>
    <v>2</v>
  </rv>
  <rv s="0">
    <fb>1802141</fb>
    <v>2</v>
  </rv>
  <rv s="0">
    <fb>1.9350000000000001</fb>
    <v>1</v>
  </rv>
  <rv s="0">
    <fb>3526547</fb>
    <v>2</v>
  </rv>
  <rv s="0">
    <fb>1.9750000000000001</fb>
    <v>1</v>
  </rv>
  <rv s="0">
    <fb>1.845</fb>
    <v>1</v>
  </rv>
  <rv s="0">
    <fb>3704226</fb>
    <v>2</v>
  </rv>
  <rv s="0">
    <fb>1.911</fb>
    <v>1</v>
  </rv>
  <rv s="0">
    <fb>2360329</fb>
    <v>2</v>
  </rv>
  <rv s="0">
    <fb>1303412</fb>
    <v>2</v>
  </rv>
  <rv s="0">
    <fb>1.905</fb>
    <v>1</v>
  </rv>
  <rv s="0">
    <fb>1603080</fb>
    <v>2</v>
  </rv>
  <rv s="0">
    <fb>1431592</fb>
    <v>2</v>
  </rv>
  <rv s="0">
    <fb>1.6950000000000001</fb>
    <v>1</v>
  </rv>
  <rv s="0">
    <fb>3045653</fb>
    <v>2</v>
  </rv>
  <rv s="0">
    <fb>1.7849999999999999</fb>
    <v>1</v>
  </rv>
  <rv s="0">
    <fb>2923560</fb>
    <v>2</v>
  </rv>
  <rv s="0">
    <fb>2384109</fb>
    <v>2</v>
  </rv>
  <rv s="0">
    <fb>1.7450000000000001</fb>
    <v>1</v>
  </rv>
  <rv s="0">
    <fb>3769336</fb>
    <v>2</v>
  </rv>
  <rv s="0">
    <fb>4161286</fb>
    <v>2</v>
  </rv>
  <rv s="0">
    <fb>5439057</fb>
    <v>2</v>
  </rv>
  <rv s="0">
    <fb>3702094</fb>
    <v>2</v>
  </rv>
  <rv s="0">
    <fb>4304939</fb>
    <v>2</v>
  </rv>
  <rv s="0">
    <fb>4556748</fb>
    <v>2</v>
  </rv>
  <rv s="0">
    <fb>1.7211000000000001</fb>
    <v>1</v>
  </rv>
  <rv s="0">
    <fb>4185387</fb>
    <v>2</v>
  </rv>
  <rv s="0">
    <fb>3074438</fb>
    <v>2</v>
  </rv>
  <rv s="0">
    <fb>3192497</fb>
    <v>2</v>
  </rv>
  <rv s="0">
    <fb>1.8149999999999999</fb>
    <v>1</v>
  </rv>
  <rv s="0">
    <fb>3429803</fb>
    <v>2</v>
  </rv>
  <rv s="0">
    <fb>2956314</fb>
    <v>2</v>
  </rv>
  <rv s="0">
    <fb>2627137</fb>
    <v>2</v>
  </rv>
  <rv s="0">
    <fb>3482032</fb>
    <v>2</v>
  </rv>
  <rv s="0">
    <fb>4085844</fb>
    <v>2</v>
  </rv>
  <rv s="0">
    <fb>2195620</fb>
    <v>2</v>
  </rv>
  <rv s="0">
    <fb>2072237</fb>
    <v>2</v>
  </rv>
  <rv s="0">
    <fb>1769230</fb>
    <v>2</v>
  </rv>
  <rv s="0">
    <fb>2596108</fb>
    <v>2</v>
  </rv>
  <rv s="0">
    <fb>2.1240000000000001</fb>
    <v>1</v>
  </rv>
  <rv s="0">
    <fb>2732069</fb>
    <v>2</v>
  </rv>
  <rv s="0">
    <fb>2147872</fb>
    <v>2</v>
  </rv>
  <rv s="0">
    <fb>5903989</fb>
    <v>2</v>
  </rv>
  <rv s="0">
    <fb>2.4350000000000001</fb>
    <v>1</v>
  </rv>
  <rv s="0">
    <fb>2683020</fb>
    <v>2</v>
  </rv>
  <rv s="0">
    <fb>2.4344000000000001</fb>
    <v>1</v>
  </rv>
  <rv s="0">
    <fb>3874946</fb>
    <v>2</v>
  </rv>
  <rv s="0">
    <fb>3819372</fb>
    <v>2</v>
  </rv>
  <rv s="0">
    <fb>3964623</fb>
    <v>2</v>
  </rv>
  <rv s="0">
    <fb>2.145</fb>
    <v>1</v>
  </rv>
  <rv s="0">
    <fb>3316773</fb>
    <v>2</v>
  </rv>
  <rv s="0">
    <fb>3024992</fb>
    <v>2</v>
  </rv>
  <rv s="0">
    <fb>2.2299000000000002</fb>
    <v>1</v>
  </rv>
  <rv s="0">
    <fb>2640385</fb>
    <v>2</v>
  </rv>
  <rv s="0">
    <fb>3291363</fb>
    <v>2</v>
  </rv>
  <rv s="0">
    <fb>2400814</fb>
    <v>2</v>
  </rv>
  <rv s="0">
    <fb>2.2008000000000001</fb>
    <v>1</v>
  </rv>
  <rv s="0">
    <fb>1804904</fb>
    <v>2</v>
  </rv>
  <rv s="0">
    <fb>2.2149999999999999</fb>
    <v>1</v>
  </rv>
  <rv s="0">
    <fb>3206098</fb>
    <v>2</v>
  </rv>
  <rv s="0">
    <fb>5658061</fb>
    <v>2</v>
  </rv>
  <rv s="0">
    <fb>2.2050000000000001</fb>
    <v>1</v>
  </rv>
  <rv s="0">
    <fb>7587324</fb>
    <v>2</v>
  </rv>
  <rv s="0">
    <fb>5348276</fb>
    <v>2</v>
  </rv>
  <rv s="0">
    <fb>2.165</fb>
    <v>1</v>
  </rv>
  <rv s="0">
    <fb>3065435</fb>
    <v>2</v>
  </rv>
  <rv s="0">
    <fb>2.415</fb>
    <v>1</v>
  </rv>
  <rv s="0">
    <fb>4188665</fb>
    <v>2</v>
  </rv>
  <rv s="0">
    <fb>2.1349999999999998</fb>
    <v>1</v>
  </rv>
  <rv s="0">
    <fb>8053613</fb>
    <v>2</v>
  </rv>
  <rv s="0">
    <fb>6076366</fb>
    <v>2</v>
  </rv>
  <rv s="0">
    <fb>4775068</fb>
    <v>2</v>
  </rv>
  <rv s="0">
    <fb>2.34</fb>
    <v>1</v>
  </rv>
  <rv s="0">
    <fb>7292464</fb>
    <v>2</v>
  </rv>
  <rv s="0">
    <fb>4427863</fb>
    <v>2</v>
  </rv>
  <rv s="0">
    <fb>2.5299999999999998</fb>
    <v>1</v>
  </rv>
  <rv s="0">
    <fb>4555086</fb>
    <v>2</v>
  </rv>
  <rv s="0">
    <fb>2.5350000000000001</fb>
    <v>1</v>
  </rv>
  <rv s="0">
    <fb>4380565</fb>
    <v>2</v>
  </rv>
  <rv s="0">
    <fb>2.4550000000000001</fb>
    <v>1</v>
  </rv>
  <rv s="0">
    <fb>5095094</fb>
    <v>2</v>
  </rv>
  <rv s="0">
    <fb>5917576</fb>
    <v>2</v>
  </rv>
  <rv s="0">
    <fb>2.4849999999999999</fb>
    <v>1</v>
  </rv>
  <rv s="0">
    <fb>3949639</fb>
    <v>2</v>
  </rv>
  <rv s="0">
    <fb>24284539</fb>
    <v>2</v>
  </rv>
  <rv s="0">
    <fb>18706289</fb>
    <v>2</v>
  </rv>
  <rv s="0">
    <fb>8955051</fb>
    <v>2</v>
  </rv>
  <rv s="0">
    <fb>9713303</fb>
    <v>2</v>
  </rv>
  <rv s="0">
    <fb>6439252</fb>
    <v>2</v>
  </rv>
  <rv s="0">
    <fb>8747003</fb>
    <v>2</v>
  </rv>
  <rv s="0">
    <fb>2.0099</fb>
    <v>1</v>
  </rv>
  <rv s="0">
    <fb>12721104</fb>
    <v>2</v>
  </rv>
  <rv s="0">
    <fb>7943956</fb>
    <v>2</v>
  </rv>
  <rv s="0">
    <fb>6325664</fb>
    <v>2</v>
  </rv>
  <rv s="0">
    <fb>11279440</fb>
    <v>2</v>
  </rv>
  <rv s="0">
    <fb>6719899</fb>
    <v>2</v>
  </rv>
  <rv s="0">
    <fb>14186949</fb>
    <v>2</v>
  </rv>
  <rv s="0">
    <fb>8359660</fb>
    <v>2</v>
  </rv>
  <rv s="0">
    <fb>6092568</fb>
    <v>2</v>
  </rv>
  <rv s="0">
    <fb>4695359</fb>
    <v>2</v>
  </rv>
  <rv s="0">
    <fb>3367697</fb>
    <v>2</v>
  </rv>
  <rv s="0">
    <fb>2.0350000000000001</fb>
    <v>1</v>
  </rv>
  <rv s="0">
    <fb>6145020</fb>
    <v>2</v>
  </rv>
  <rv s="0">
    <fb>2.0326</fb>
    <v>1</v>
  </rv>
  <rv s="0">
    <fb>4765498</fb>
    <v>2</v>
  </rv>
  <rv s="0">
    <fb>13951957</fb>
    <v>2</v>
  </rv>
  <rv s="0">
    <fb>8144677</fb>
    <v>2</v>
  </rv>
  <rv s="0">
    <fb>3355396</fb>
    <v>2</v>
  </rv>
  <rv s="0">
    <fb>4562981</fb>
    <v>2</v>
  </rv>
  <rv s="0">
    <fb>5426616</fb>
    <v>2</v>
  </rv>
  <rv s="0">
    <fb>4218619</fb>
    <v>2</v>
  </rv>
  <rv s="0">
    <fb>3247099</fb>
    <v>2</v>
  </rv>
  <rv s="0">
    <fb>4927534</fb>
    <v>2</v>
  </rv>
  <rv s="0">
    <fb>4498970</fb>
    <v>2</v>
  </rv>
  <rv s="0">
    <fb>2.4087999999999998</fb>
    <v>1</v>
  </rv>
  <rv s="0">
    <fb>3595159</fb>
    <v>2</v>
  </rv>
  <rv s="0">
    <fb>2.56</fb>
    <v>1</v>
  </rv>
  <rv s="0">
    <fb>2.3616999999999999</fb>
    <v>1</v>
  </rv>
  <rv s="0">
    <fb>7131024</fb>
    <v>2</v>
  </rv>
  <rv s="0">
    <fb>2.62</fb>
    <v>1</v>
  </rv>
  <rv s="0">
    <fb>3904235</fb>
    <v>2</v>
  </rv>
  <rv s="0">
    <fb>3720616</fb>
    <v>2</v>
  </rv>
  <rv s="0">
    <fb>2.5150000000000001</fb>
    <v>1</v>
  </rv>
  <rv s="0">
    <fb>5888658</fb>
    <v>2</v>
  </rv>
  <rv s="0">
    <fb>2.4249999999999998</fb>
    <v>1</v>
  </rv>
  <rv s="0">
    <fb>4492675</fb>
    <v>2</v>
  </rv>
  <rv s="0">
    <fb>2.5550000000000002</fb>
    <v>1</v>
  </rv>
  <rv s="0">
    <fb>3312312</fb>
    <v>2</v>
  </rv>
  <rv s="0">
    <fb>2614144</fb>
    <v>2</v>
  </rv>
  <rv s="0">
    <fb>3602077</fb>
    <v>2</v>
  </rv>
  <rv s="0">
    <fb>3047565</fb>
    <v>2</v>
  </rv>
  <rv s="0">
    <fb>2433179</fb>
    <v>2</v>
  </rv>
  <rv s="0">
    <fb>4649310</fb>
    <v>2</v>
  </rv>
  <rv s="0">
    <fb>4844229</fb>
    <v>2</v>
  </rv>
  <rv s="0">
    <fb>2.5499000000000001</fb>
    <v>1</v>
  </rv>
  <rv s="0">
    <fb>4788519</fb>
    <v>2</v>
  </rv>
  <rv s="0">
    <fb>3719606</fb>
    <v>2</v>
  </rv>
  <rv s="0">
    <fb>4278080</fb>
    <v>2</v>
  </rv>
  <rv s="0">
    <fb>2.71</fb>
    <v>1</v>
  </rv>
  <rv s="0">
    <fb>11112859</fb>
    <v>2</v>
  </rv>
  <rv s="0">
    <fb>6391390</fb>
    <v>2</v>
  </rv>
  <rv s="0">
    <fb>2.8650000000000002</fb>
    <v>1</v>
  </rv>
  <rv s="0">
    <fb>4463671</fb>
    <v>2</v>
  </rv>
  <rv s="0">
    <fb>5097301</fb>
    <v>2</v>
  </rv>
  <rv s="0">
    <fb>2.6749999999999998</fb>
    <v>1</v>
  </rv>
  <rv s="0">
    <fb>4699183</fb>
    <v>2</v>
  </rv>
  <rv s="0">
    <fb>4499672</fb>
    <v>2</v>
  </rv>
  <rv s="0">
    <fb>2.74</fb>
    <v>1</v>
  </rv>
  <rv s="0">
    <fb>3417339</fb>
    <v>2</v>
  </rv>
  <rv s="0">
    <fb>2.7549999999999999</fb>
    <v>1</v>
  </rv>
  <rv s="0">
    <fb>7596488</fb>
    <v>2</v>
  </rv>
  <rv s="0">
    <fb>2.835</fb>
    <v>1</v>
  </rv>
  <rv s="0">
    <fb>3561877</fb>
    <v>2</v>
  </rv>
  <rv s="0">
    <fb>3.0289000000000001</fb>
    <v>1</v>
  </rv>
  <rv s="0">
    <fb>4634883</fb>
    <v>2</v>
  </rv>
  <rv s="0">
    <fb>3.0497000000000001</fb>
    <v>1</v>
  </rv>
  <rv s="0">
    <fb>4787177</fb>
    <v>2</v>
  </rv>
  <rv s="0">
    <fb>3.0773999999999999</fb>
    <v>1</v>
  </rv>
  <rv s="0">
    <fb>4018786</fb>
    <v>2</v>
  </rv>
  <rv s="0">
    <fb>2.871</fb>
    <v>1</v>
  </rv>
  <rv s="0">
    <fb>2392671</fb>
    <v>2</v>
  </rv>
  <rv s="0">
    <fb>3.0249999999999999</fb>
    <v>1</v>
  </rv>
  <rv s="0">
    <fb>3086365</fb>
    <v>2</v>
  </rv>
  <rv s="0">
    <fb>6487956</fb>
    <v>2</v>
  </rv>
  <rv s="0">
    <fb>3.21</fb>
    <v>1</v>
  </rv>
  <rv s="0">
    <fb>12006074</fb>
    <v>2</v>
  </rv>
  <rv s="0">
    <fb>4.0899000000000001</fb>
    <v>1</v>
  </rv>
  <rv s="0">
    <fb>22005971</fb>
    <v>2</v>
  </rv>
  <rv s="0">
    <fb>3.82</fb>
    <v>1</v>
  </rv>
  <rv s="0">
    <fb>3.83</fb>
    <v>1</v>
  </rv>
  <rv s="0">
    <fb>14581768</fb>
    <v>2</v>
  </rv>
  <rv s="0">
    <fb>3.2549999999999999</fb>
    <v>1</v>
  </rv>
  <rv s="0">
    <fb>6005601</fb>
    <v>2</v>
  </rv>
  <rv s="0">
    <fb>3.4081999999999999</fb>
    <v>1</v>
  </rv>
  <rv s="0">
    <fb>4330459</fb>
    <v>2</v>
  </rv>
  <rv s="0">
    <fb>5602710</fb>
    <v>2</v>
  </rv>
  <rv s="0">
    <fb>7940624</fb>
    <v>2</v>
  </rv>
  <rv s="0">
    <fb>3.2044999999999999</fb>
    <v>1</v>
  </rv>
  <rv s="0">
    <fb>7247027</fb>
    <v>2</v>
  </rv>
  <rv s="0">
    <fb>6346237</fb>
    <v>2</v>
  </rv>
  <rv s="0">
    <fb>3.2149999999999999</fb>
    <v>1</v>
  </rv>
  <rv s="0">
    <fb>4954239</fb>
    <v>2</v>
  </rv>
  <rv s="0">
    <fb>3.145</fb>
    <v>1</v>
  </rv>
  <rv s="0">
    <fb>7609979</fb>
    <v>2</v>
  </rv>
  <rv s="0">
    <fb>7670732</fb>
    <v>2</v>
  </rv>
  <rv s="0">
    <fb>4334451</fb>
    <v>2</v>
  </rv>
  <rv s="0">
    <fb>3607482</fb>
    <v>2</v>
  </rv>
  <rv s="0">
    <fb>4777010</fb>
    <v>2</v>
  </rv>
  <rv s="0">
    <fb>7079022</fb>
    <v>2</v>
  </rv>
  <rv s="0">
    <fb>3.2565</fb>
    <v>1</v>
  </rv>
  <rv s="0">
    <fb>2.9950000000000001</fb>
    <v>1</v>
  </rv>
  <rv s="0">
    <fb>4713618</fb>
    <v>2</v>
  </rv>
  <rv s="0">
    <fb>3.2349999999999999</fb>
    <v>1</v>
  </rv>
  <rv s="0">
    <fb>4835659</fb>
    <v>2</v>
  </rv>
  <rv s="0">
    <fb>20449928</fb>
    <v>2</v>
  </rv>
  <rv s="0">
    <fb>3.7349999999999999</fb>
    <v>1</v>
  </rv>
  <rv s="0">
    <fb>8810083</fb>
    <v>2</v>
  </rv>
  <rv s="0">
    <fb>3.74</fb>
    <v>1</v>
  </rv>
  <rv s="0">
    <fb>3.6040999999999999</fb>
    <v>1</v>
  </rv>
  <rv s="0">
    <fb>5117834</fb>
    <v>2</v>
  </rv>
  <rv s="0">
    <fb>3.85</fb>
    <v>1</v>
  </rv>
  <rv s="0">
    <fb>3.665</fb>
    <v>1</v>
  </rv>
  <rv s="0">
    <fb>7086736</fb>
    <v>2</v>
  </rv>
  <rv s="0">
    <fb>3.645</fb>
    <v>1</v>
  </rv>
  <rv s="0">
    <fb>6115643</fb>
    <v>2</v>
  </rv>
  <rv s="0">
    <fb>3.7898000000000001</fb>
    <v>1</v>
  </rv>
  <rv s="0">
    <fb>5544435</fb>
    <v>2</v>
  </rv>
  <rv s="0">
    <fb>3.7949999999999999</fb>
    <v>1</v>
  </rv>
  <rv s="0">
    <fb>3.62</fb>
    <v>1</v>
  </rv>
  <rv s="0">
    <fb>5818276</fb>
    <v>2</v>
  </rv>
  <rv s="0">
    <fb>3.81</fb>
    <v>1</v>
  </rv>
  <rv s="0">
    <fb>3.6412</fb>
    <v>1</v>
  </rv>
  <rv s="0">
    <fb>6680842</fb>
    <v>2</v>
  </rv>
  <rv s="0">
    <fb>3.5539000000000001</fb>
    <v>1</v>
  </rv>
  <rv s="0">
    <fb>6099936</fb>
    <v>2</v>
  </rv>
  <rv s="0">
    <fb>3.68</fb>
    <v>1</v>
  </rv>
  <rv s="0">
    <fb>4413250</fb>
    <v>2</v>
  </rv>
  <rv s="0">
    <fb>5430014</fb>
    <v>2</v>
  </rv>
  <rv s="0">
    <fb>10814191</fb>
    <v>2</v>
  </rv>
  <rv s="0">
    <fb>3.835</fb>
    <v>1</v>
  </rv>
  <rv s="0">
    <fb>6775947</fb>
    <v>2</v>
  </rv>
  <rv s="0">
    <fb>3.6150000000000002</fb>
    <v>1</v>
  </rv>
  <rv s="0">
    <fb>5843074</fb>
    <v>2</v>
  </rv>
  <rv s="0">
    <fb>3.7050000000000001</fb>
    <v>1</v>
  </rv>
  <rv s="0">
    <fb>8482145</fb>
    <v>2</v>
  </rv>
  <rv s="0">
    <fb>3.6644999999999999</fb>
    <v>1</v>
  </rv>
  <rv s="0">
    <fb>13149103</fb>
    <v>2</v>
  </rv>
  <rv s="0">
    <fb>4.13</fb>
    <v>1</v>
  </rv>
  <rv s="0">
    <fb>3.9211999999999998</fb>
    <v>1</v>
  </rv>
  <rv s="0">
    <fb>10738581</fb>
    <v>2</v>
  </rv>
  <rv s="0">
    <fb>7824752</fb>
    <v>2</v>
  </rv>
  <rv s="0">
    <fb>9601941</fb>
    <v>2</v>
  </rv>
  <rv s="0">
    <fb>4.82</fb>
    <v>1</v>
  </rv>
  <rv s="0">
    <fb>8729747</fb>
    <v>2</v>
  </rv>
  <rv s="0">
    <fb>5.4450000000000003</fb>
    <v>1</v>
  </rv>
  <rv s="0">
    <fb>11414470</fb>
    <v>2</v>
  </rv>
  <rv s="0">
    <fb>18021429</fb>
    <v>2</v>
  </rv>
  <rv s="0">
    <fb>11450821</fb>
    <v>2</v>
  </rv>
  <rv s="0">
    <fb>5.3265000000000002</fb>
    <v>1</v>
  </rv>
  <rv s="0">
    <fb>6919097</fb>
    <v>2</v>
  </rv>
  <rv s="0">
    <fb>5.0999999999999996</fb>
    <v>1</v>
  </rv>
  <rv s="0">
    <fb>7443612</fb>
    <v>2</v>
  </rv>
  <rv s="0">
    <fb>4.83</fb>
    <v>1</v>
  </rv>
  <rv s="0">
    <fb>3.92</fb>
    <v>1</v>
  </rv>
  <rv s="0">
    <fb>21050538</fb>
    <v>2</v>
  </rv>
  <rv s="0">
    <fb>4.7</fb>
    <v>1</v>
  </rv>
  <rv s="0">
    <fb>4.9950000000000001</fb>
    <v>1</v>
  </rv>
  <rv s="0">
    <fb>6581033</fb>
    <v>2</v>
  </rv>
  <rv s="0">
    <fb>6222036</fb>
    <v>2</v>
  </rv>
  <rv s="0">
    <fb>4.7300000000000004</fb>
    <v>1</v>
  </rv>
  <rv s="0">
    <fb>4.8899999999999997</fb>
    <v>1</v>
  </rv>
  <rv s="0">
    <fb>6833028</fb>
    <v>2</v>
  </rv>
  <rv s="0">
    <fb>4.8099999999999996</fb>
    <v>1</v>
  </rv>
  <rv s="0">
    <fb>5425297</fb>
    <v>2</v>
  </rv>
  <rv s="0">
    <fb>4863077</fb>
    <v>2</v>
  </rv>
  <rv s="0">
    <fb>6539848</fb>
    <v>2</v>
  </rv>
  <rv s="0">
    <fb>4.9450000000000003</fb>
    <v>1</v>
  </rv>
  <rv s="0">
    <fb>4.66</fb>
    <v>1</v>
  </rv>
  <rv s="0">
    <fb>5770534</fb>
    <v>2</v>
  </rv>
  <rv s="0">
    <fb>11448466</fb>
    <v>2</v>
  </rv>
  <rv s="0">
    <fb>4.9124999999999996</fb>
    <v>1</v>
  </rv>
  <rv s="0">
    <fb>4.6150000000000002</fb>
    <v>1</v>
  </rv>
  <rv s="0">
    <fb>6985525</fb>
    <v>2</v>
  </rv>
  <rv s="0">
    <fb>4.6500000000000004</fb>
    <v>1</v>
  </rv>
  <rv s="0">
    <fb>5895769</fb>
    <v>2</v>
  </rv>
  <rv s="0">
    <fb>4.9400000000000004</fb>
    <v>1</v>
  </rv>
  <rv s="0">
    <fb>59110306</fb>
    <v>2</v>
  </rv>
  <rv s="0">
    <fb>7.1950000000000003</fb>
    <v>1</v>
  </rv>
  <rv s="0">
    <fb>20245471</fb>
    <v>2</v>
  </rv>
  <rv s="0">
    <fb>11224695</fb>
    <v>2</v>
  </rv>
  <rv s="0">
    <fb>7.4850000000000003</fb>
    <v>1</v>
  </rv>
  <rv s="0">
    <fb>9024381</fb>
    <v>2</v>
  </rv>
  <rv s="0">
    <fb>7724687</fb>
    <v>2</v>
  </rv>
  <rv s="0">
    <fb>6995751</fb>
    <v>2</v>
  </rv>
  <rv s="0">
    <fb>3191839</fb>
    <v>2</v>
  </rv>
  <rv s="0">
    <fb>8.0350999999999999</fb>
    <v>1</v>
  </rv>
  <rv s="0">
    <fb>5164026</fb>
    <v>2</v>
  </rv>
  <rv s="0">
    <fb>4788357</fb>
    <v>2</v>
  </rv>
  <rv s="0">
    <fb>8.3849999999999998</fb>
    <v>1</v>
  </rv>
  <rv s="0">
    <fb>8494176</fb>
    <v>2</v>
  </rv>
  <rv s="0">
    <fb>7244893</fb>
    <v>2</v>
  </rv>
  <rv s="0">
    <fb>6080102</fb>
    <v>2</v>
  </rv>
  <rv s="0">
    <fb>8.7650000000000006</fb>
    <v>1</v>
  </rv>
  <rv s="0">
    <fb>8.9522999999999993</fb>
    <v>1</v>
  </rv>
  <rv s="0">
    <fb>7571047</fb>
    <v>2</v>
  </rv>
  <rv s="0">
    <fb>5916518</fb>
    <v>2</v>
  </rv>
  <rv s="0">
    <fb>5995063</fb>
    <v>2</v>
  </rv>
  <rv s="1">
    <v>3</v>
    <v>CRGY</v>
    <v>Daily</v>
    <v>45658</v>
    <v>46001</v>
    <v>0</v>
    <v>1</v>
    <v>639009216000000000,639010159730497343,0</v>
    <v>0</v>
    <v>c4efr7</v>
    <v>XNYS:CRGY</v>
    <v>1</v>
    <v>2</v>
    <v>3</v>
  </rv>
  <rv s="2">
    <v>4</v>
    <v>VNET</v>
    <v>Daily</v>
    <v>45658</v>
    <v>46001</v>
    <v>0</v>
    <v>1</v>
    <v>639009216000000000,639010159731735142,0</v>
    <v>0</v>
    <v>a25fw7</v>
    <v>XNAS:VNET</v>
    <v>4</v>
  </rv>
  <rv s="1">
    <v>3</v>
    <v>ONDS</v>
    <v>Weekly</v>
    <v>45655</v>
    <v>46004</v>
    <v>0</v>
    <v>1</v>
    <v>639009216000000000,639010159731980587,0</v>
    <v>5</v>
    <v>bkgak2</v>
    <v>XNAS:ONDS</v>
    <v>6</v>
    <v>7</v>
    <v>8</v>
  </rv>
  <rv s="2">
    <v>4</v>
    <v>GBTG</v>
    <v>Daily</v>
    <v>45658</v>
    <v>46001</v>
    <v>0</v>
    <v>1</v>
    <v>639009216000000000,639010159731235539,0</v>
    <v>0</v>
    <v>bwvffr</v>
    <v>XNYS:GBTG</v>
    <v>9</v>
  </rv>
  <rv s="3">
    <v>5</v>
    <v>FOLD</v>
    <v>Daily</v>
    <v>45658</v>
    <v>46001</v>
    <v>0</v>
    <v>1</v>
    <v>639009216000000000,639010159730744307,0</v>
    <v>0</v>
    <v>a1t8c7</v>
    <v>XNAS:FOLD</v>
    <v>10</v>
    <v>11</v>
    <v>12</v>
    <v>13</v>
    <v>14</v>
  </rv>
  <rv s="1">
    <v>3</v>
    <v>NG</v>
    <v>Daily</v>
    <v>45658</v>
    <v>46001</v>
    <v>0</v>
    <v>1</v>
    <v>639009216000000000,639010159730243486,0</v>
    <v>0</v>
    <v>a1ygzr</v>
    <v>XNYS:NG</v>
    <v>15</v>
    <v>16</v>
    <v>17</v>
  </rv>
  <rv s="1">
    <v>3</v>
    <v>ONDS</v>
    <v>Daily</v>
    <v>45658</v>
    <v>46001</v>
    <v>0</v>
    <v>1</v>
    <v>639009216000000000,639010159731487275,0</v>
    <v>0</v>
    <v>bkgak2</v>
    <v>XNAS:ONDS</v>
    <v>18</v>
    <v>19</v>
    <v>20</v>
  </rv>
  <rv s="3">
    <v>5</v>
    <v>TMC</v>
    <v>Daily</v>
    <v>45658</v>
    <v>46001</v>
    <v>0</v>
    <v>1</v>
    <v>639009216000000000,639010159730998479,0</v>
    <v>0</v>
    <v>a24bh7</v>
    <v>XNYS:TM</v>
    <v>21</v>
    <v>22</v>
    <v>23</v>
    <v>24</v>
    <v>25</v>
  </rv>
  <rv s="3">
    <v>5</v>
    <v>NUVB</v>
    <v>Daily</v>
    <v>45658</v>
    <v>46001</v>
    <v>0</v>
    <v>1</v>
    <v>639009216000000000,639010159730000887,0</v>
    <v>0</v>
    <v>bvjp6h</v>
    <v>XNYS:NUVB</v>
    <v>26</v>
    <v>27</v>
    <v>28</v>
    <v>29</v>
    <v>30</v>
  </rv>
  <rv s="4">
    <v>6</v>
    <v>F</v>
    <v>Daily</v>
    <v>45658</v>
    <v>46001</v>
    <v>0</v>
    <v>1</v>
    <v>639009216000000000,639010157894771378,0</v>
    <v>0</v>
    <v>a1sjw7</v>
    <v>XNYS:F</v>
    <v>31</v>
    <v>32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High" t="a"/>
    <k n="Low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7">
    <spb s="0">
      <v>1</v>
    </spb>
    <spb s="0">
      <v>2</v>
    </spb>
    <spb s="0">
      <v>3</v>
    </spb>
    <spb s="1">
      <v>2</v>
      <v>1</v>
      <v>2</v>
      <v>2</v>
    </spb>
    <spb s="2">
      <v>1</v>
      <v>2</v>
    </spb>
    <spb s="3">
      <v>2</v>
      <v>1</v>
      <v>2</v>
      <v>2</v>
      <v>2</v>
      <v>3</v>
    </spb>
    <spb s="4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_Self" t="i"/>
  </s>
  <s>
    <k n="Low" t="i"/>
    <k n="Date" t="i"/>
    <k n="High" t="i"/>
    <k n="Close" t="i"/>
  </s>
  <s>
    <k n="Date" t="i"/>
    <k n="Close" t="i"/>
  </s>
  <s>
    <k n="Low" t="i"/>
    <k n="Date" t="i"/>
    <k n="High" t="i"/>
    <k n="Open" t="i"/>
    <k n="Close" t="i"/>
    <k n="Volume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7F83B08-5200-4877-B72D-06AACFB38DC7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17490DA3-473D-45C0-8006-0D21A505F181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F879B16-947D-4951-BFCC-53D4195FA864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9" sqref="A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 t="s">
        <v>19</v>
      </c>
    </row>
    <row r="3" spans="1:2" x14ac:dyDescent="0.25">
      <c r="A3" t="s">
        <v>12</v>
      </c>
      <c r="B3" t="s">
        <v>13</v>
      </c>
    </row>
    <row r="4" spans="1:2" x14ac:dyDescent="0.25">
      <c r="A4" t="s">
        <v>2</v>
      </c>
      <c r="B4" t="s">
        <v>3</v>
      </c>
    </row>
    <row r="5" spans="1:2" x14ac:dyDescent="0.25">
      <c r="A5" t="s">
        <v>26</v>
      </c>
      <c r="B5" t="s">
        <v>27</v>
      </c>
    </row>
    <row r="6" spans="1:2" x14ac:dyDescent="0.25">
      <c r="A6" t="s">
        <v>16</v>
      </c>
      <c r="B6" t="s">
        <v>17</v>
      </c>
    </row>
    <row r="7" spans="1:2" x14ac:dyDescent="0.25">
      <c r="A7" t="s">
        <v>8</v>
      </c>
      <c r="B7" t="s">
        <v>9</v>
      </c>
    </row>
    <row r="8" spans="1:2" x14ac:dyDescent="0.25">
      <c r="A8" t="s">
        <v>14</v>
      </c>
      <c r="B8" t="s">
        <v>15</v>
      </c>
    </row>
    <row r="9" spans="1:2" x14ac:dyDescent="0.25">
      <c r="A9" t="s">
        <v>4</v>
      </c>
      <c r="B9" t="s">
        <v>5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28</v>
      </c>
      <c r="B11" t="s">
        <v>29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10</v>
      </c>
      <c r="B13" t="s">
        <v>11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6</v>
      </c>
      <c r="B15" t="s">
        <v>7</v>
      </c>
    </row>
  </sheetData>
  <sortState xmlns:xlrd2="http://schemas.microsoft.com/office/spreadsheetml/2017/richdata2" ref="A2:B15">
    <sortCondition ref="A2:A1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8"/>
  <sheetViews>
    <sheetView zoomScale="85" zoomScaleNormal="85" workbookViewId="0">
      <selection activeCell="B2" activeCellId="1" sqref="A1:D1048576 A1:D1048576"/>
    </sheetView>
  </sheetViews>
  <sheetFormatPr defaultRowHeight="15" x14ac:dyDescent="0.25"/>
  <cols>
    <col min="1" max="1" width="10.85546875" bestFit="1" customWidth="1"/>
  </cols>
  <sheetData>
    <row r="1" spans="1:4" ht="21" x14ac:dyDescent="0.35">
      <c r="A1" s="2" t="s">
        <v>3</v>
      </c>
      <c r="B1" s="2"/>
      <c r="C1" s="2"/>
      <c r="D1" s="2"/>
    </row>
    <row r="2" spans="1:4" x14ac:dyDescent="0.25">
      <c r="A2" s="1" t="str" cm="1">
        <f t="array" aca="1" ref="A2:D238" ca="1">_xlfn.STOCKHISTORY("CRGY", DATE(YEAR(TODAY()),1,1), TODAY(), 0, 1,0,1,3,4)</f>
        <v>Date</v>
      </c>
      <c r="B2" s="1" t="str">
        <f ca="1"/>
        <v>Close</v>
      </c>
      <c r="C2" s="1" t="str">
        <f ca="1"/>
        <v>High</v>
      </c>
      <c r="D2" s="1" t="str">
        <f ca="1"/>
        <v>Low</v>
      </c>
    </row>
    <row r="3" spans="1:4" x14ac:dyDescent="0.25">
      <c r="A3" vm="1">
        <f ca="1"/>
        <v>45659</v>
      </c>
      <c r="B3" vm="2">
        <f ca="1"/>
        <v>14.88</v>
      </c>
      <c r="C3" vm="3">
        <f ca="1"/>
        <v>14.99</v>
      </c>
      <c r="D3" vm="4">
        <f ca="1"/>
        <v>14.7</v>
      </c>
    </row>
    <row r="4" spans="1:4" x14ac:dyDescent="0.25">
      <c r="A4" vm="5">
        <f ca="1"/>
        <v>45660</v>
      </c>
      <c r="B4" vm="6">
        <f ca="1"/>
        <v>15.05</v>
      </c>
      <c r="C4" vm="7">
        <f ca="1"/>
        <v>15.21</v>
      </c>
      <c r="D4" vm="8">
        <f ca="1"/>
        <v>14.872</v>
      </c>
    </row>
    <row r="5" spans="1:4" x14ac:dyDescent="0.25">
      <c r="A5" vm="9">
        <f ca="1"/>
        <v>45663</v>
      </c>
      <c r="B5" vm="10">
        <f ca="1"/>
        <v>15.37</v>
      </c>
      <c r="C5" vm="11">
        <f ca="1"/>
        <v>15.53</v>
      </c>
      <c r="D5" vm="12">
        <f ca="1"/>
        <v>15.11</v>
      </c>
    </row>
    <row r="6" spans="1:4" x14ac:dyDescent="0.25">
      <c r="A6" vm="13">
        <f ca="1"/>
        <v>45664</v>
      </c>
      <c r="B6" vm="14">
        <f ca="1"/>
        <v>15.72</v>
      </c>
      <c r="C6" vm="14">
        <f ca="1"/>
        <v>15.72</v>
      </c>
      <c r="D6" vm="7">
        <f ca="1"/>
        <v>15.21</v>
      </c>
    </row>
    <row r="7" spans="1:4" x14ac:dyDescent="0.25">
      <c r="A7" vm="15">
        <f ca="1"/>
        <v>45665</v>
      </c>
      <c r="B7" vm="16">
        <f ca="1"/>
        <v>15.73</v>
      </c>
      <c r="C7" vm="17">
        <f ca="1"/>
        <v>15.765000000000001</v>
      </c>
      <c r="D7" vm="18">
        <f ca="1"/>
        <v>15.43</v>
      </c>
    </row>
    <row r="8" spans="1:4" x14ac:dyDescent="0.25">
      <c r="A8" vm="19">
        <f ca="1"/>
        <v>45667</v>
      </c>
      <c r="B8" vm="20">
        <f ca="1"/>
        <v>15.86</v>
      </c>
      <c r="C8" vm="21">
        <f ca="1"/>
        <v>16.239999999999998</v>
      </c>
      <c r="D8" vm="22">
        <f ca="1"/>
        <v>15.835000000000001</v>
      </c>
    </row>
    <row r="9" spans="1:4" x14ac:dyDescent="0.25">
      <c r="A9" vm="23">
        <f ca="1"/>
        <v>45670</v>
      </c>
      <c r="B9" vm="24">
        <f ca="1"/>
        <v>16.41</v>
      </c>
      <c r="C9" vm="25">
        <f ca="1"/>
        <v>16.559999999999999</v>
      </c>
      <c r="D9" vm="26">
        <f ca="1"/>
        <v>15.89</v>
      </c>
    </row>
    <row r="10" spans="1:4" x14ac:dyDescent="0.25">
      <c r="A10" vm="27">
        <f ca="1"/>
        <v>45671</v>
      </c>
      <c r="B10" vm="28">
        <f ca="1"/>
        <v>16.59</v>
      </c>
      <c r="C10" vm="29">
        <f ca="1"/>
        <v>16.672499999999999</v>
      </c>
      <c r="D10" vm="30">
        <f ca="1"/>
        <v>16.29</v>
      </c>
    </row>
    <row r="11" spans="1:4" x14ac:dyDescent="0.25">
      <c r="A11" vm="31">
        <f ca="1"/>
        <v>45672</v>
      </c>
      <c r="B11" vm="32">
        <f ca="1"/>
        <v>16.68</v>
      </c>
      <c r="C11" vm="33">
        <f ca="1"/>
        <v>16.939800000000002</v>
      </c>
      <c r="D11" vm="34">
        <f ca="1"/>
        <v>16.63</v>
      </c>
    </row>
    <row r="12" spans="1:4" x14ac:dyDescent="0.25">
      <c r="A12" vm="35">
        <f ca="1"/>
        <v>45673</v>
      </c>
      <c r="B12" vm="36">
        <f ca="1"/>
        <v>16.739999999999998</v>
      </c>
      <c r="C12" vm="37">
        <f ca="1"/>
        <v>16.885000000000002</v>
      </c>
      <c r="D12" vm="38">
        <f ca="1"/>
        <v>16.55</v>
      </c>
    </row>
    <row r="13" spans="1:4" x14ac:dyDescent="0.25">
      <c r="A13" vm="39">
        <f ca="1"/>
        <v>45674</v>
      </c>
      <c r="B13" vm="40">
        <f ca="1"/>
        <v>16.62</v>
      </c>
      <c r="C13" vm="41">
        <f ca="1"/>
        <v>16.849399999999999</v>
      </c>
      <c r="D13" vm="42">
        <f ca="1"/>
        <v>16.38</v>
      </c>
    </row>
    <row r="14" spans="1:4" x14ac:dyDescent="0.25">
      <c r="A14" vm="43">
        <f ca="1"/>
        <v>45678</v>
      </c>
      <c r="B14" vm="44">
        <f ca="1"/>
        <v>16.260000000000002</v>
      </c>
      <c r="C14" vm="45">
        <f ca="1"/>
        <v>16.560099999999998</v>
      </c>
      <c r="D14" vm="46">
        <f ca="1"/>
        <v>16.055</v>
      </c>
    </row>
    <row r="15" spans="1:4" x14ac:dyDescent="0.25">
      <c r="A15" vm="47">
        <f ca="1"/>
        <v>45679</v>
      </c>
      <c r="B15" vm="48">
        <f ca="1"/>
        <v>16.16</v>
      </c>
      <c r="C15" vm="49">
        <f ca="1"/>
        <v>16.434999999999999</v>
      </c>
      <c r="D15" vm="50">
        <f ca="1"/>
        <v>16.010000000000002</v>
      </c>
    </row>
    <row r="16" spans="1:4" x14ac:dyDescent="0.25">
      <c r="A16" vm="51">
        <f ca="1"/>
        <v>45680</v>
      </c>
      <c r="B16" vm="52">
        <f ca="1"/>
        <v>16.34</v>
      </c>
      <c r="C16" vm="53">
        <f ca="1"/>
        <v>16.545000000000002</v>
      </c>
      <c r="D16" vm="54">
        <f ca="1"/>
        <v>16.11</v>
      </c>
    </row>
    <row r="17" spans="1:4" x14ac:dyDescent="0.25">
      <c r="A17" vm="55">
        <f ca="1"/>
        <v>45681</v>
      </c>
      <c r="B17" vm="56">
        <f ca="1"/>
        <v>15.99</v>
      </c>
      <c r="C17" vm="57">
        <f ca="1"/>
        <v>16.489999999999998</v>
      </c>
      <c r="D17" vm="58">
        <f ca="1"/>
        <v>15.93</v>
      </c>
    </row>
    <row r="18" spans="1:4" x14ac:dyDescent="0.25">
      <c r="A18" vm="59">
        <f ca="1"/>
        <v>45684</v>
      </c>
      <c r="B18" vm="60">
        <f ca="1"/>
        <v>15.82</v>
      </c>
      <c r="C18" vm="61">
        <f ca="1"/>
        <v>16.094999999999999</v>
      </c>
      <c r="D18" vm="62">
        <f ca="1"/>
        <v>15.48</v>
      </c>
    </row>
    <row r="19" spans="1:4" x14ac:dyDescent="0.25">
      <c r="A19" vm="63">
        <f ca="1"/>
        <v>45685</v>
      </c>
      <c r="B19" vm="64">
        <f ca="1"/>
        <v>15.63</v>
      </c>
      <c r="C19" vm="65">
        <f ca="1"/>
        <v>16.02</v>
      </c>
      <c r="D19" vm="66">
        <f ca="1"/>
        <v>15.31</v>
      </c>
    </row>
    <row r="20" spans="1:4" x14ac:dyDescent="0.25">
      <c r="A20" vm="67">
        <f ca="1"/>
        <v>45686</v>
      </c>
      <c r="B20" vm="68">
        <f ca="1"/>
        <v>15.64</v>
      </c>
      <c r="C20" vm="69">
        <f ca="1"/>
        <v>15.79</v>
      </c>
      <c r="D20" vm="70">
        <f ca="1"/>
        <v>15.44</v>
      </c>
    </row>
    <row r="21" spans="1:4" x14ac:dyDescent="0.25">
      <c r="A21" vm="71">
        <f ca="1"/>
        <v>45687</v>
      </c>
      <c r="B21" vm="72">
        <f ca="1"/>
        <v>15.45</v>
      </c>
      <c r="C21" vm="73">
        <f ca="1"/>
        <v>15.734999999999999</v>
      </c>
      <c r="D21" vm="74">
        <f ca="1"/>
        <v>15.38</v>
      </c>
    </row>
    <row r="22" spans="1:4" x14ac:dyDescent="0.25">
      <c r="A22" vm="75">
        <f ca="1"/>
        <v>45688</v>
      </c>
      <c r="B22" vm="76">
        <f ca="1"/>
        <v>15.06</v>
      </c>
      <c r="C22" vm="11">
        <f ca="1"/>
        <v>15.53</v>
      </c>
      <c r="D22" vm="77">
        <f ca="1"/>
        <v>14.82</v>
      </c>
    </row>
    <row r="23" spans="1:4" x14ac:dyDescent="0.25">
      <c r="A23" vm="78">
        <f ca="1"/>
        <v>45691</v>
      </c>
      <c r="B23" vm="79">
        <f ca="1"/>
        <v>15.03</v>
      </c>
      <c r="C23" vm="80">
        <f ca="1"/>
        <v>15.24</v>
      </c>
      <c r="D23" vm="81">
        <f ca="1"/>
        <v>14.73</v>
      </c>
    </row>
    <row r="24" spans="1:4" x14ac:dyDescent="0.25">
      <c r="A24" vm="82">
        <f ca="1"/>
        <v>45692</v>
      </c>
      <c r="B24" vm="80">
        <f ca="1"/>
        <v>15.24</v>
      </c>
      <c r="C24" vm="83">
        <f ca="1"/>
        <v>15.33</v>
      </c>
      <c r="D24" vm="84">
        <f ca="1"/>
        <v>14.8</v>
      </c>
    </row>
    <row r="25" spans="1:4" x14ac:dyDescent="0.25">
      <c r="A25" vm="85">
        <f ca="1"/>
        <v>45693</v>
      </c>
      <c r="B25" vm="86">
        <f ca="1"/>
        <v>15.09</v>
      </c>
      <c r="C25" vm="87">
        <f ca="1"/>
        <v>15.324999999999999</v>
      </c>
      <c r="D25" vm="6">
        <f ca="1"/>
        <v>15.05</v>
      </c>
    </row>
    <row r="26" spans="1:4" x14ac:dyDescent="0.25">
      <c r="A26" vm="88">
        <f ca="1"/>
        <v>45694</v>
      </c>
      <c r="B26" vm="89">
        <f ca="1"/>
        <v>14.63</v>
      </c>
      <c r="C26" vm="90">
        <f ca="1"/>
        <v>15.179</v>
      </c>
      <c r="D26" vm="91">
        <f ca="1"/>
        <v>14.494999999999999</v>
      </c>
    </row>
    <row r="27" spans="1:4" x14ac:dyDescent="0.25">
      <c r="A27" vm="92">
        <f ca="1"/>
        <v>45695</v>
      </c>
      <c r="B27" vm="93">
        <f ca="1"/>
        <v>14.66</v>
      </c>
      <c r="C27" vm="94">
        <f ca="1"/>
        <v>14.87</v>
      </c>
      <c r="D27" vm="93">
        <f ca="1"/>
        <v>14.66</v>
      </c>
    </row>
    <row r="28" spans="1:4" x14ac:dyDescent="0.25">
      <c r="A28" vm="95">
        <f ca="1"/>
        <v>45698</v>
      </c>
      <c r="B28" vm="96">
        <f ca="1"/>
        <v>15.02</v>
      </c>
      <c r="C28" vm="12">
        <f ca="1"/>
        <v>15.11</v>
      </c>
      <c r="D28" vm="97">
        <f ca="1"/>
        <v>14.78</v>
      </c>
    </row>
    <row r="29" spans="1:4" x14ac:dyDescent="0.25">
      <c r="A29" vm="98">
        <f ca="1"/>
        <v>45699</v>
      </c>
      <c r="B29" vm="96">
        <f ca="1"/>
        <v>15.02</v>
      </c>
      <c r="C29" vm="99">
        <f ca="1"/>
        <v>15.51</v>
      </c>
      <c r="D29" vm="100">
        <f ca="1"/>
        <v>15.005000000000001</v>
      </c>
    </row>
    <row r="30" spans="1:4" x14ac:dyDescent="0.25">
      <c r="A30" vm="101">
        <f ca="1"/>
        <v>45700</v>
      </c>
      <c r="B30" vm="102">
        <f ca="1"/>
        <v>14.48</v>
      </c>
      <c r="C30" vm="103">
        <f ca="1"/>
        <v>15.04</v>
      </c>
      <c r="D30" vm="104">
        <f ca="1"/>
        <v>14.42</v>
      </c>
    </row>
    <row r="31" spans="1:4" x14ac:dyDescent="0.25">
      <c r="A31" vm="105">
        <f ca="1"/>
        <v>45701</v>
      </c>
      <c r="B31" vm="106">
        <f ca="1"/>
        <v>14.52</v>
      </c>
      <c r="C31" vm="107">
        <f ca="1"/>
        <v>14.57</v>
      </c>
      <c r="D31" vm="108">
        <f ca="1"/>
        <v>14.29</v>
      </c>
    </row>
    <row r="32" spans="1:4" x14ac:dyDescent="0.25">
      <c r="A32" vm="109">
        <f ca="1"/>
        <v>45702</v>
      </c>
      <c r="B32" vm="94">
        <f ca="1"/>
        <v>14.87</v>
      </c>
      <c r="C32" vm="110">
        <f ca="1"/>
        <v>15</v>
      </c>
      <c r="D32" vm="107">
        <f ca="1"/>
        <v>14.57</v>
      </c>
    </row>
    <row r="33" spans="1:4" x14ac:dyDescent="0.25">
      <c r="A33" vm="111">
        <f ca="1"/>
        <v>45706</v>
      </c>
      <c r="B33" vm="112">
        <f ca="1"/>
        <v>15.15</v>
      </c>
      <c r="C33" vm="113">
        <f ca="1"/>
        <v>15.49</v>
      </c>
      <c r="D33" vm="114">
        <f ca="1"/>
        <v>14.61</v>
      </c>
    </row>
    <row r="34" spans="1:4" x14ac:dyDescent="0.25">
      <c r="A34" vm="115">
        <f ca="1"/>
        <v>45707</v>
      </c>
      <c r="B34" vm="116">
        <f ca="1"/>
        <v>15.18</v>
      </c>
      <c r="C34" vm="117">
        <f ca="1"/>
        <v>15.58</v>
      </c>
      <c r="D34" vm="118">
        <f ca="1"/>
        <v>15.1</v>
      </c>
    </row>
    <row r="35" spans="1:4" x14ac:dyDescent="0.25">
      <c r="A35" vm="119">
        <f ca="1"/>
        <v>45708</v>
      </c>
      <c r="B35" vm="120">
        <f ca="1"/>
        <v>15.01</v>
      </c>
      <c r="C35" vm="121">
        <f ca="1"/>
        <v>15.244999999999999</v>
      </c>
      <c r="D35" vm="122">
        <f ca="1"/>
        <v>14.845000000000001</v>
      </c>
    </row>
    <row r="36" spans="1:4" x14ac:dyDescent="0.25">
      <c r="A36" vm="123">
        <f ca="1"/>
        <v>45709</v>
      </c>
      <c r="B36" vm="124">
        <f ca="1"/>
        <v>14.26</v>
      </c>
      <c r="C36" vm="125">
        <f ca="1"/>
        <v>15.13</v>
      </c>
      <c r="D36" vm="126">
        <f ca="1"/>
        <v>14.1701</v>
      </c>
    </row>
    <row r="37" spans="1:4" x14ac:dyDescent="0.25">
      <c r="A37" vm="127">
        <f ca="1"/>
        <v>45712</v>
      </c>
      <c r="B37" vm="128">
        <f ca="1"/>
        <v>14.2</v>
      </c>
      <c r="C37" vm="129">
        <f ca="1"/>
        <v>14.435</v>
      </c>
      <c r="D37" vm="130">
        <f ca="1"/>
        <v>14.12</v>
      </c>
    </row>
    <row r="38" spans="1:4" x14ac:dyDescent="0.25">
      <c r="A38" vm="131">
        <f ca="1"/>
        <v>45713</v>
      </c>
      <c r="B38" vm="132">
        <f ca="1"/>
        <v>13.69</v>
      </c>
      <c r="C38" vm="133">
        <f ca="1"/>
        <v>14.21</v>
      </c>
      <c r="D38" vm="134">
        <f ca="1"/>
        <v>13.664999999999999</v>
      </c>
    </row>
    <row r="39" spans="1:4" x14ac:dyDescent="0.25">
      <c r="A39" vm="135">
        <f ca="1"/>
        <v>45714</v>
      </c>
      <c r="B39" vm="136">
        <f ca="1"/>
        <v>13.47</v>
      </c>
      <c r="C39" vm="137">
        <f ca="1"/>
        <v>13.775</v>
      </c>
      <c r="D39" vm="138">
        <f ca="1"/>
        <v>13.26</v>
      </c>
    </row>
    <row r="40" spans="1:4" x14ac:dyDescent="0.25">
      <c r="A40" vm="139">
        <f ca="1"/>
        <v>45715</v>
      </c>
      <c r="B40" vm="140">
        <f ca="1"/>
        <v>12.78</v>
      </c>
      <c r="C40" vm="141">
        <f ca="1"/>
        <v>13.39</v>
      </c>
      <c r="D40" vm="142">
        <f ca="1"/>
        <v>12.643000000000001</v>
      </c>
    </row>
    <row r="41" spans="1:4" x14ac:dyDescent="0.25">
      <c r="A41" vm="143">
        <f ca="1"/>
        <v>45716</v>
      </c>
      <c r="B41" vm="144">
        <f ca="1"/>
        <v>12.62</v>
      </c>
      <c r="C41" vm="145">
        <f ca="1"/>
        <v>12.845000000000001</v>
      </c>
      <c r="D41" vm="146">
        <f ca="1"/>
        <v>12.42</v>
      </c>
    </row>
    <row r="42" spans="1:4" x14ac:dyDescent="0.25">
      <c r="A42" vm="147">
        <f ca="1"/>
        <v>45719</v>
      </c>
      <c r="B42" vm="148">
        <f ca="1"/>
        <v>11.55</v>
      </c>
      <c r="C42" vm="149">
        <f ca="1"/>
        <v>12.71</v>
      </c>
      <c r="D42" vm="150">
        <f ca="1"/>
        <v>11.47</v>
      </c>
    </row>
    <row r="43" spans="1:4" x14ac:dyDescent="0.25">
      <c r="A43" vm="151">
        <f ca="1"/>
        <v>45720</v>
      </c>
      <c r="B43" vm="152">
        <f ca="1"/>
        <v>11.29</v>
      </c>
      <c r="C43" vm="153">
        <f ca="1"/>
        <v>11.62</v>
      </c>
      <c r="D43" vm="154">
        <f ca="1"/>
        <v>10.96</v>
      </c>
    </row>
    <row r="44" spans="1:4" x14ac:dyDescent="0.25">
      <c r="A44" vm="155">
        <f ca="1"/>
        <v>45721</v>
      </c>
      <c r="B44" vm="156">
        <f ca="1"/>
        <v>11.04</v>
      </c>
      <c r="C44" vm="157">
        <f ca="1"/>
        <v>11.1</v>
      </c>
      <c r="D44" vm="158">
        <f ca="1"/>
        <v>10.350099999999999</v>
      </c>
    </row>
    <row r="45" spans="1:4" x14ac:dyDescent="0.25">
      <c r="A45" vm="159">
        <f ca="1"/>
        <v>45722</v>
      </c>
      <c r="B45" vm="160">
        <f ca="1"/>
        <v>10.82</v>
      </c>
      <c r="C45" vm="156">
        <f ca="1"/>
        <v>11.04</v>
      </c>
      <c r="D45" vm="161">
        <f ca="1"/>
        <v>10.58</v>
      </c>
    </row>
    <row r="46" spans="1:4" x14ac:dyDescent="0.25">
      <c r="A46" vm="162">
        <f ca="1"/>
        <v>45723</v>
      </c>
      <c r="B46" vm="163">
        <f ca="1"/>
        <v>10.64</v>
      </c>
      <c r="C46" vm="164">
        <f ca="1"/>
        <v>11.18</v>
      </c>
      <c r="D46" vm="163">
        <f ca="1"/>
        <v>10.64</v>
      </c>
    </row>
    <row r="47" spans="1:4" x14ac:dyDescent="0.25">
      <c r="A47" vm="165">
        <f ca="1"/>
        <v>45726</v>
      </c>
      <c r="B47" vm="166">
        <f ca="1"/>
        <v>10.3</v>
      </c>
      <c r="C47" vm="167">
        <f ca="1"/>
        <v>10.89</v>
      </c>
      <c r="D47" vm="168">
        <f ca="1"/>
        <v>10.26</v>
      </c>
    </row>
    <row r="48" spans="1:4" x14ac:dyDescent="0.25">
      <c r="A48" vm="169">
        <f ca="1"/>
        <v>45727</v>
      </c>
      <c r="B48" vm="170">
        <f ca="1"/>
        <v>10.51</v>
      </c>
      <c r="C48" vm="171">
        <f ca="1"/>
        <v>10.6</v>
      </c>
      <c r="D48" vm="168">
        <f ca="1"/>
        <v>10.26</v>
      </c>
    </row>
    <row r="49" spans="1:4" x14ac:dyDescent="0.25">
      <c r="A49" vm="172">
        <f ca="1"/>
        <v>45728</v>
      </c>
      <c r="B49" vm="173">
        <f ca="1"/>
        <v>10.72</v>
      </c>
      <c r="C49" vm="174">
        <f ca="1"/>
        <v>10.95</v>
      </c>
      <c r="D49" vm="175">
        <f ca="1"/>
        <v>10.45</v>
      </c>
    </row>
    <row r="50" spans="1:4" x14ac:dyDescent="0.25">
      <c r="A50" vm="176">
        <f ca="1"/>
        <v>45729</v>
      </c>
      <c r="B50" vm="177">
        <f ca="1"/>
        <v>10.49</v>
      </c>
      <c r="C50" vm="173">
        <f ca="1"/>
        <v>10.72</v>
      </c>
      <c r="D50" vm="168">
        <f ca="1"/>
        <v>10.26</v>
      </c>
    </row>
    <row r="51" spans="1:4" x14ac:dyDescent="0.25">
      <c r="A51" vm="178">
        <f ca="1"/>
        <v>45730</v>
      </c>
      <c r="B51" vm="179">
        <f ca="1"/>
        <v>10.91</v>
      </c>
      <c r="C51" vm="180">
        <f ca="1"/>
        <v>11.13</v>
      </c>
      <c r="D51" vm="181">
        <f ca="1"/>
        <v>10.7</v>
      </c>
    </row>
    <row r="52" spans="1:4" x14ac:dyDescent="0.25">
      <c r="A52" vm="182">
        <f ca="1"/>
        <v>45733</v>
      </c>
      <c r="B52" vm="156">
        <f ca="1"/>
        <v>11.04</v>
      </c>
      <c r="C52" vm="183">
        <f ca="1"/>
        <v>11.275</v>
      </c>
      <c r="D52" vm="184">
        <f ca="1"/>
        <v>10.88</v>
      </c>
    </row>
    <row r="53" spans="1:4" x14ac:dyDescent="0.25">
      <c r="A53" vm="185">
        <f ca="1"/>
        <v>45734</v>
      </c>
      <c r="B53" vm="186">
        <f ca="1"/>
        <v>11.2</v>
      </c>
      <c r="C53" vm="187">
        <f ca="1"/>
        <v>11.26</v>
      </c>
      <c r="D53" vm="188">
        <f ca="1"/>
        <v>11.01</v>
      </c>
    </row>
    <row r="54" spans="1:4" x14ac:dyDescent="0.25">
      <c r="A54" vm="189">
        <f ca="1"/>
        <v>45735</v>
      </c>
      <c r="B54" vm="190">
        <f ca="1"/>
        <v>11.72</v>
      </c>
      <c r="C54" vm="191">
        <f ca="1"/>
        <v>11.82</v>
      </c>
      <c r="D54" vm="192">
        <f ca="1"/>
        <v>11.22</v>
      </c>
    </row>
    <row r="55" spans="1:4" x14ac:dyDescent="0.25">
      <c r="A55" vm="193">
        <f ca="1"/>
        <v>45736</v>
      </c>
      <c r="B55" vm="194">
        <f ca="1"/>
        <v>11.65</v>
      </c>
      <c r="C55" vm="195">
        <f ca="1"/>
        <v>11.87</v>
      </c>
      <c r="D55" vm="196">
        <f ca="1"/>
        <v>11.565</v>
      </c>
    </row>
    <row r="56" spans="1:4" x14ac:dyDescent="0.25">
      <c r="A56" vm="197">
        <f ca="1"/>
        <v>45737</v>
      </c>
      <c r="B56" vm="198">
        <f ca="1"/>
        <v>11.46</v>
      </c>
      <c r="C56" vm="194">
        <f ca="1"/>
        <v>11.65</v>
      </c>
      <c r="D56" vm="152">
        <f ca="1"/>
        <v>11.29</v>
      </c>
    </row>
    <row r="57" spans="1:4" x14ac:dyDescent="0.25">
      <c r="A57" vm="199">
        <f ca="1"/>
        <v>45740</v>
      </c>
      <c r="B57" vm="200">
        <f ca="1"/>
        <v>11.66</v>
      </c>
      <c r="C57" vm="201">
        <f ca="1"/>
        <v>11.685</v>
      </c>
      <c r="D57" vm="202">
        <f ca="1"/>
        <v>11.440099999999999</v>
      </c>
    </row>
    <row r="58" spans="1:4" x14ac:dyDescent="0.25">
      <c r="A58" vm="203">
        <f ca="1"/>
        <v>45741</v>
      </c>
      <c r="B58" vm="204">
        <f ca="1"/>
        <v>11.56</v>
      </c>
      <c r="C58" vm="205">
        <f ca="1"/>
        <v>11.77</v>
      </c>
      <c r="D58" vm="206">
        <f ca="1"/>
        <v>11.38</v>
      </c>
    </row>
    <row r="59" spans="1:4" x14ac:dyDescent="0.25">
      <c r="A59" vm="207">
        <f ca="1"/>
        <v>45742</v>
      </c>
      <c r="B59" vm="150">
        <f ca="1"/>
        <v>11.47</v>
      </c>
      <c r="C59" vm="208">
        <f ca="1"/>
        <v>11.765000000000001</v>
      </c>
      <c r="D59" vm="198">
        <f ca="1"/>
        <v>11.46</v>
      </c>
    </row>
    <row r="60" spans="1:4" x14ac:dyDescent="0.25">
      <c r="A60" vm="209">
        <f ca="1"/>
        <v>45743</v>
      </c>
      <c r="B60" vm="210">
        <f ca="1"/>
        <v>11.27</v>
      </c>
      <c r="C60" vm="148">
        <f ca="1"/>
        <v>11.55</v>
      </c>
      <c r="D60" vm="211">
        <f ca="1"/>
        <v>11.175000000000001</v>
      </c>
    </row>
    <row r="61" spans="1:4" x14ac:dyDescent="0.25">
      <c r="A61" vm="212">
        <f ca="1"/>
        <v>45744</v>
      </c>
      <c r="B61" vm="213">
        <f ca="1"/>
        <v>11.14</v>
      </c>
      <c r="C61" vm="214">
        <f ca="1"/>
        <v>11.3</v>
      </c>
      <c r="D61" vm="215">
        <f ca="1"/>
        <v>11</v>
      </c>
    </row>
    <row r="62" spans="1:4" x14ac:dyDescent="0.25">
      <c r="A62" vm="216">
        <f ca="1"/>
        <v>45747</v>
      </c>
      <c r="B62" vm="217">
        <f ca="1"/>
        <v>11.24</v>
      </c>
      <c r="C62" vm="218">
        <f ca="1"/>
        <v>11.42</v>
      </c>
      <c r="D62" vm="219">
        <f ca="1"/>
        <v>10.87</v>
      </c>
    </row>
    <row r="63" spans="1:4" x14ac:dyDescent="0.25">
      <c r="A63" vm="220">
        <f ca="1"/>
        <v>45748</v>
      </c>
      <c r="B63" vm="221">
        <f ca="1"/>
        <v>11.08</v>
      </c>
      <c r="C63" vm="192">
        <f ca="1"/>
        <v>11.22</v>
      </c>
      <c r="D63" vm="222">
        <f ca="1"/>
        <v>10.77</v>
      </c>
    </row>
    <row r="64" spans="1:4" x14ac:dyDescent="0.25">
      <c r="A64" vm="223">
        <f ca="1"/>
        <v>45749</v>
      </c>
      <c r="B64" vm="164">
        <f ca="1"/>
        <v>11.18</v>
      </c>
      <c r="C64" vm="192">
        <f ca="1"/>
        <v>11.22</v>
      </c>
      <c r="D64" vm="219">
        <f ca="1"/>
        <v>10.87</v>
      </c>
    </row>
    <row r="65" spans="1:4" x14ac:dyDescent="0.25">
      <c r="A65" vm="224">
        <f ca="1"/>
        <v>45750</v>
      </c>
      <c r="B65" vm="225">
        <f ca="1"/>
        <v>9.26</v>
      </c>
      <c r="C65" vm="170">
        <f ca="1"/>
        <v>10.51</v>
      </c>
      <c r="D65" vm="226">
        <f ca="1"/>
        <v>9.2100000000000009</v>
      </c>
    </row>
    <row r="66" spans="1:4" x14ac:dyDescent="0.25">
      <c r="A66" vm="227">
        <f ca="1"/>
        <v>45751</v>
      </c>
      <c r="B66" vm="228">
        <f ca="1"/>
        <v>7.82</v>
      </c>
      <c r="C66" vm="229">
        <f ca="1"/>
        <v>8.61</v>
      </c>
      <c r="D66" vm="230">
        <f ca="1"/>
        <v>7.6550000000000002</v>
      </c>
    </row>
    <row r="67" spans="1:4" x14ac:dyDescent="0.25">
      <c r="A67" vm="231">
        <f ca="1"/>
        <v>45754</v>
      </c>
      <c r="B67" vm="232">
        <f ca="1"/>
        <v>7.88</v>
      </c>
      <c r="C67" vm="233">
        <f ca="1"/>
        <v>8.1850000000000005</v>
      </c>
      <c r="D67" vm="234">
        <f ca="1"/>
        <v>7.14</v>
      </c>
    </row>
    <row r="68" spans="1:4" x14ac:dyDescent="0.25">
      <c r="A68" vm="235">
        <f ca="1"/>
        <v>45755</v>
      </c>
      <c r="B68" vm="236">
        <f ca="1"/>
        <v>7.29</v>
      </c>
      <c r="C68" vm="237">
        <f ca="1"/>
        <v>8.43</v>
      </c>
      <c r="D68" vm="238">
        <f ca="1"/>
        <v>7.13</v>
      </c>
    </row>
    <row r="69" spans="1:4" x14ac:dyDescent="0.25">
      <c r="A69" vm="239">
        <f ca="1"/>
        <v>45756</v>
      </c>
      <c r="B69" vm="240">
        <f ca="1"/>
        <v>8.57</v>
      </c>
      <c r="C69" vm="241">
        <f ca="1"/>
        <v>8.6649999999999991</v>
      </c>
      <c r="D69" vm="242">
        <f ca="1"/>
        <v>6.83</v>
      </c>
    </row>
    <row r="70" spans="1:4" x14ac:dyDescent="0.25">
      <c r="A70" vm="243">
        <f ca="1"/>
        <v>45757</v>
      </c>
      <c r="B70" vm="244">
        <f ca="1"/>
        <v>7.43</v>
      </c>
      <c r="C70" vm="245">
        <f ca="1"/>
        <v>8.1374999999999993</v>
      </c>
      <c r="D70" vm="246">
        <f ca="1"/>
        <v>7.2</v>
      </c>
    </row>
    <row r="71" spans="1:4" x14ac:dyDescent="0.25">
      <c r="A71" vm="247">
        <f ca="1"/>
        <v>45758</v>
      </c>
      <c r="B71" vm="248">
        <f ca="1"/>
        <v>7.71</v>
      </c>
      <c r="C71" vm="249">
        <f ca="1"/>
        <v>7.7949999999999999</v>
      </c>
      <c r="D71" vm="250">
        <f ca="1"/>
        <v>7.2750000000000004</v>
      </c>
    </row>
    <row r="72" spans="1:4" x14ac:dyDescent="0.25">
      <c r="A72" vm="251">
        <f ca="1"/>
        <v>45761</v>
      </c>
      <c r="B72" vm="252">
        <f ca="1"/>
        <v>7.89</v>
      </c>
      <c r="C72" vm="253">
        <f ca="1"/>
        <v>8.0850000000000009</v>
      </c>
      <c r="D72" vm="254">
        <f ca="1"/>
        <v>7.68</v>
      </c>
    </row>
    <row r="73" spans="1:4" x14ac:dyDescent="0.25">
      <c r="A73" vm="255">
        <f ca="1"/>
        <v>45762</v>
      </c>
      <c r="B73" vm="256">
        <f ca="1"/>
        <v>7.76</v>
      </c>
      <c r="C73" vm="257">
        <f ca="1"/>
        <v>8.0350000000000001</v>
      </c>
      <c r="D73" vm="258">
        <f ca="1"/>
        <v>7.73</v>
      </c>
    </row>
    <row r="74" spans="1:4" x14ac:dyDescent="0.25">
      <c r="A74" vm="259">
        <f ca="1"/>
        <v>45763</v>
      </c>
      <c r="B74" vm="260">
        <f ca="1"/>
        <v>8.1300000000000008</v>
      </c>
      <c r="C74" vm="261">
        <f ca="1"/>
        <v>8.2899999999999991</v>
      </c>
      <c r="D74" vm="262">
        <f ca="1"/>
        <v>7.77</v>
      </c>
    </row>
    <row r="75" spans="1:4" x14ac:dyDescent="0.25">
      <c r="A75" vm="263">
        <f ca="1"/>
        <v>45764</v>
      </c>
      <c r="B75" vm="264">
        <f ca="1"/>
        <v>8.3800000000000008</v>
      </c>
      <c r="C75" vm="265">
        <f ca="1"/>
        <v>8.59</v>
      </c>
      <c r="D75" vm="266">
        <f ca="1"/>
        <v>8.1750000000000007</v>
      </c>
    </row>
    <row r="76" spans="1:4" x14ac:dyDescent="0.25">
      <c r="A76" vm="267">
        <f ca="1"/>
        <v>45768</v>
      </c>
      <c r="B76" vm="268">
        <f ca="1"/>
        <v>8.1</v>
      </c>
      <c r="C76" vm="269">
        <f ca="1"/>
        <v>8.19</v>
      </c>
      <c r="D76" vm="270">
        <f ca="1"/>
        <v>7.952</v>
      </c>
    </row>
    <row r="77" spans="1:4" x14ac:dyDescent="0.25">
      <c r="A77" vm="271">
        <f ca="1"/>
        <v>45769</v>
      </c>
      <c r="B77" vm="272">
        <f ca="1"/>
        <v>8.3000000000000007</v>
      </c>
      <c r="C77" vm="237">
        <f ca="1"/>
        <v>8.43</v>
      </c>
      <c r="D77" vm="273">
        <f ca="1"/>
        <v>8.1549999999999994</v>
      </c>
    </row>
    <row r="78" spans="1:4" x14ac:dyDescent="0.25">
      <c r="A78" vm="274">
        <f ca="1"/>
        <v>45770</v>
      </c>
      <c r="B78" vm="275">
        <f ca="1"/>
        <v>8.27</v>
      </c>
      <c r="C78" vm="276">
        <f ca="1"/>
        <v>8.56</v>
      </c>
      <c r="D78" vm="277">
        <f ca="1"/>
        <v>8.16</v>
      </c>
    </row>
    <row r="79" spans="1:4" x14ac:dyDescent="0.25">
      <c r="A79" vm="278">
        <f ca="1"/>
        <v>45771</v>
      </c>
      <c r="B79" vm="279">
        <f ca="1"/>
        <v>8.5</v>
      </c>
      <c r="C79" vm="280">
        <f ca="1"/>
        <v>8.5250000000000004</v>
      </c>
      <c r="D79" vm="281">
        <f ca="1"/>
        <v>8.23</v>
      </c>
    </row>
    <row r="80" spans="1:4" x14ac:dyDescent="0.25">
      <c r="A80" vm="282">
        <f ca="1"/>
        <v>45772</v>
      </c>
      <c r="B80" vm="283">
        <f ca="1"/>
        <v>8.7200000000000006</v>
      </c>
      <c r="C80" vm="284">
        <f ca="1"/>
        <v>8.75</v>
      </c>
      <c r="D80" vm="285">
        <f ca="1"/>
        <v>8.34</v>
      </c>
    </row>
    <row r="81" spans="1:4" x14ac:dyDescent="0.25">
      <c r="A81" vm="286">
        <f ca="1"/>
        <v>45775</v>
      </c>
      <c r="B81" vm="287">
        <f ca="1"/>
        <v>8.69</v>
      </c>
      <c r="C81" vm="288">
        <f ca="1"/>
        <v>8.8450000000000006</v>
      </c>
      <c r="D81" vm="289">
        <f ca="1"/>
        <v>8.6</v>
      </c>
    </row>
    <row r="82" spans="1:4" x14ac:dyDescent="0.25">
      <c r="A82" vm="290">
        <f ca="1"/>
        <v>45776</v>
      </c>
      <c r="B82" vm="276">
        <f ca="1"/>
        <v>8.56</v>
      </c>
      <c r="C82" vm="287">
        <f ca="1"/>
        <v>8.69</v>
      </c>
      <c r="D82" vm="291">
        <f ca="1"/>
        <v>8.4600000000000009</v>
      </c>
    </row>
    <row r="83" spans="1:4" x14ac:dyDescent="0.25">
      <c r="A83" vm="292">
        <f ca="1"/>
        <v>45777</v>
      </c>
      <c r="B83" vm="293">
        <f ca="1"/>
        <v>8.2799999999999994</v>
      </c>
      <c r="C83" vm="294">
        <f ca="1"/>
        <v>8.4849999999999994</v>
      </c>
      <c r="D83" vm="260">
        <f ca="1"/>
        <v>8.1300000000000008</v>
      </c>
    </row>
    <row r="84" spans="1:4" x14ac:dyDescent="0.25">
      <c r="A84" vm="295">
        <f ca="1"/>
        <v>45778</v>
      </c>
      <c r="B84" vm="296">
        <f ca="1"/>
        <v>8.49</v>
      </c>
      <c r="C84" vm="284">
        <f ca="1"/>
        <v>8.75</v>
      </c>
      <c r="D84" vm="297">
        <f ca="1"/>
        <v>8.24</v>
      </c>
    </row>
    <row r="85" spans="1:4" x14ac:dyDescent="0.25">
      <c r="A85" vm="298">
        <f ca="1"/>
        <v>45779</v>
      </c>
      <c r="B85" vm="299">
        <f ca="1"/>
        <v>8.6199999999999992</v>
      </c>
      <c r="C85" vm="300">
        <f ca="1"/>
        <v>8.7100000000000009</v>
      </c>
      <c r="D85" vm="301">
        <f ca="1"/>
        <v>8.4550000000000001</v>
      </c>
    </row>
    <row r="86" spans="1:4" x14ac:dyDescent="0.25">
      <c r="A86" vm="302">
        <f ca="1"/>
        <v>45782</v>
      </c>
      <c r="B86" vm="281">
        <f ca="1"/>
        <v>8.23</v>
      </c>
      <c r="C86" vm="296">
        <f ca="1"/>
        <v>8.49</v>
      </c>
      <c r="D86" vm="303">
        <f ca="1"/>
        <v>8.17</v>
      </c>
    </row>
    <row r="87" spans="1:4" x14ac:dyDescent="0.25">
      <c r="A87" vm="304">
        <f ca="1"/>
        <v>45783</v>
      </c>
      <c r="B87" vm="305">
        <f ca="1"/>
        <v>7.95</v>
      </c>
      <c r="C87" vm="277">
        <f ca="1"/>
        <v>8.16</v>
      </c>
      <c r="D87" vm="306">
        <f ca="1"/>
        <v>7.7050000000000001</v>
      </c>
    </row>
    <row r="88" spans="1:4" x14ac:dyDescent="0.25">
      <c r="A88" vm="307">
        <f ca="1"/>
        <v>45784</v>
      </c>
      <c r="B88" vm="308">
        <f ca="1"/>
        <v>7.94</v>
      </c>
      <c r="C88" vm="309">
        <f ca="1"/>
        <v>8.11</v>
      </c>
      <c r="D88" vm="262">
        <f ca="1"/>
        <v>7.77</v>
      </c>
    </row>
    <row r="89" spans="1:4" x14ac:dyDescent="0.25">
      <c r="A89" vm="310">
        <f ca="1"/>
        <v>45785</v>
      </c>
      <c r="B89" vm="311">
        <f ca="1"/>
        <v>8.3699999999999992</v>
      </c>
      <c r="C89" vm="312">
        <f ca="1"/>
        <v>8.44</v>
      </c>
      <c r="D89" vm="313">
        <f ca="1"/>
        <v>8.0299999999999994</v>
      </c>
    </row>
    <row r="90" spans="1:4" x14ac:dyDescent="0.25">
      <c r="A90" vm="314">
        <f ca="1"/>
        <v>45786</v>
      </c>
      <c r="B90" vm="276">
        <f ca="1"/>
        <v>8.56</v>
      </c>
      <c r="C90" vm="289">
        <f ca="1"/>
        <v>8.6</v>
      </c>
      <c r="D90" vm="315">
        <f ca="1"/>
        <v>8.3450000000000006</v>
      </c>
    </row>
    <row r="91" spans="1:4" x14ac:dyDescent="0.25">
      <c r="A91" vm="316">
        <f ca="1"/>
        <v>45789</v>
      </c>
      <c r="B91" vm="317">
        <f ca="1"/>
        <v>9.1</v>
      </c>
      <c r="C91" vm="318">
        <f ca="1"/>
        <v>9.41</v>
      </c>
      <c r="D91" vm="319">
        <f ca="1"/>
        <v>9.0050000000000008</v>
      </c>
    </row>
    <row r="92" spans="1:4" x14ac:dyDescent="0.25">
      <c r="A92" vm="320">
        <f ca="1"/>
        <v>45790</v>
      </c>
      <c r="B92" vm="321">
        <f ca="1"/>
        <v>9.5</v>
      </c>
      <c r="C92" vm="322">
        <f ca="1"/>
        <v>9.64</v>
      </c>
      <c r="D92" vm="323">
        <f ca="1"/>
        <v>9.1199999999999992</v>
      </c>
    </row>
    <row r="93" spans="1:4" x14ac:dyDescent="0.25">
      <c r="A93" vm="324">
        <f ca="1"/>
        <v>45791</v>
      </c>
      <c r="B93" vm="325">
        <f ca="1"/>
        <v>9.4700000000000006</v>
      </c>
      <c r="C93" vm="326">
        <f ca="1"/>
        <v>9.5399999999999991</v>
      </c>
      <c r="D93" vm="327">
        <f ca="1"/>
        <v>9.34</v>
      </c>
    </row>
    <row r="94" spans="1:4" x14ac:dyDescent="0.25">
      <c r="A94" vm="328">
        <f ca="1"/>
        <v>45792</v>
      </c>
      <c r="B94" vm="329">
        <f ca="1"/>
        <v>9.19</v>
      </c>
      <c r="C94" vm="330">
        <f ca="1"/>
        <v>9.32</v>
      </c>
      <c r="D94" vm="331">
        <f ca="1"/>
        <v>9</v>
      </c>
    </row>
    <row r="95" spans="1:4" x14ac:dyDescent="0.25">
      <c r="A95" vm="332">
        <f ca="1"/>
        <v>45793</v>
      </c>
      <c r="B95" vm="333">
        <f ca="1"/>
        <v>9.1300000000000008</v>
      </c>
      <c r="C95" vm="334">
        <f ca="1"/>
        <v>9.2899999999999991</v>
      </c>
      <c r="D95" vm="335">
        <f ca="1"/>
        <v>8.9499999999999993</v>
      </c>
    </row>
    <row r="96" spans="1:4" x14ac:dyDescent="0.25">
      <c r="A96" vm="336">
        <f ca="1"/>
        <v>45796</v>
      </c>
      <c r="B96" vm="337">
        <f ca="1"/>
        <v>8.9700000000000006</v>
      </c>
      <c r="C96" vm="338">
        <f ca="1"/>
        <v>8.99</v>
      </c>
      <c r="D96" vm="339">
        <f ca="1"/>
        <v>8.74</v>
      </c>
    </row>
    <row r="97" spans="1:4" x14ac:dyDescent="0.25">
      <c r="A97" vm="340">
        <f ca="1"/>
        <v>45797</v>
      </c>
      <c r="B97" vm="341">
        <f ca="1"/>
        <v>9.0399999999999991</v>
      </c>
      <c r="C97" vm="342">
        <f ca="1"/>
        <v>9.1649999999999991</v>
      </c>
      <c r="D97" vm="343">
        <f ca="1"/>
        <v>8.8949999999999996</v>
      </c>
    </row>
    <row r="98" spans="1:4" x14ac:dyDescent="0.25">
      <c r="A98" vm="344">
        <f ca="1"/>
        <v>45798</v>
      </c>
      <c r="B98" vm="287">
        <f ca="1"/>
        <v>8.69</v>
      </c>
      <c r="C98" vm="345">
        <f ca="1"/>
        <v>8.9600000000000009</v>
      </c>
      <c r="D98" vm="287">
        <f ca="1"/>
        <v>8.69</v>
      </c>
    </row>
    <row r="99" spans="1:4" x14ac:dyDescent="0.25">
      <c r="A99" vm="346">
        <f ca="1"/>
        <v>45799</v>
      </c>
      <c r="B99" vm="299">
        <f ca="1"/>
        <v>8.6199999999999992</v>
      </c>
      <c r="C99" vm="347">
        <f ca="1"/>
        <v>8.65</v>
      </c>
      <c r="D99" vm="348">
        <f ca="1"/>
        <v>8.36</v>
      </c>
    </row>
    <row r="100" spans="1:4" x14ac:dyDescent="0.25">
      <c r="A100" vm="349">
        <f ca="1"/>
        <v>45800</v>
      </c>
      <c r="B100" vm="350">
        <f ca="1"/>
        <v>8.5399999999999991</v>
      </c>
      <c r="C100" vm="351">
        <f ca="1"/>
        <v>8.58</v>
      </c>
      <c r="D100" vm="352">
        <f ca="1"/>
        <v>8.33</v>
      </c>
    </row>
    <row r="101" spans="1:4" x14ac:dyDescent="0.25">
      <c r="A101" vm="353">
        <f ca="1"/>
        <v>45804</v>
      </c>
      <c r="B101" vm="354">
        <f ca="1"/>
        <v>8.68</v>
      </c>
      <c r="C101" vm="355">
        <f ca="1"/>
        <v>8.7050000000000001</v>
      </c>
      <c r="D101" vm="356">
        <f ca="1"/>
        <v>8.41</v>
      </c>
    </row>
    <row r="102" spans="1:4" x14ac:dyDescent="0.25">
      <c r="A102" vm="357">
        <f ca="1"/>
        <v>45805</v>
      </c>
      <c r="B102" vm="358">
        <f ca="1"/>
        <v>8.6300000000000008</v>
      </c>
      <c r="C102" vm="359">
        <f ca="1"/>
        <v>8.8282000000000007</v>
      </c>
      <c r="D102" vm="360">
        <f ca="1"/>
        <v>8.5749999999999993</v>
      </c>
    </row>
    <row r="103" spans="1:4" x14ac:dyDescent="0.25">
      <c r="A103" vm="361">
        <f ca="1"/>
        <v>45806</v>
      </c>
      <c r="B103" vm="362">
        <f ca="1"/>
        <v>8.6999999999999993</v>
      </c>
      <c r="C103" vm="363">
        <f ca="1"/>
        <v>8.7646999999999995</v>
      </c>
      <c r="D103" vm="364">
        <f ca="1"/>
        <v>8.5500000000000007</v>
      </c>
    </row>
    <row r="104" spans="1:4" x14ac:dyDescent="0.25">
      <c r="A104" vm="365">
        <f ca="1"/>
        <v>45807</v>
      </c>
      <c r="B104" vm="366">
        <f ca="1"/>
        <v>8.39</v>
      </c>
      <c r="C104" vm="367">
        <f ca="1"/>
        <v>8.6449999999999996</v>
      </c>
      <c r="D104" vm="368">
        <f ca="1"/>
        <v>8.35</v>
      </c>
    </row>
    <row r="105" spans="1:4" x14ac:dyDescent="0.25">
      <c r="A105" vm="369">
        <f ca="1"/>
        <v>45810</v>
      </c>
      <c r="B105" vm="351">
        <f ca="1"/>
        <v>8.58</v>
      </c>
      <c r="C105" vm="370">
        <f ca="1"/>
        <v>8.73</v>
      </c>
      <c r="D105" vm="371">
        <f ca="1"/>
        <v>8.4749999999999996</v>
      </c>
    </row>
    <row r="106" spans="1:4" x14ac:dyDescent="0.25">
      <c r="A106" vm="372">
        <f ca="1"/>
        <v>45811</v>
      </c>
      <c r="B106" vm="373">
        <f ca="1"/>
        <v>9.09</v>
      </c>
      <c r="C106" vm="374">
        <f ca="1"/>
        <v>9.1549999999999994</v>
      </c>
      <c r="D106" vm="264">
        <f ca="1"/>
        <v>8.3800000000000008</v>
      </c>
    </row>
    <row r="107" spans="1:4" x14ac:dyDescent="0.25">
      <c r="A107" vm="375">
        <f ca="1"/>
        <v>45812</v>
      </c>
      <c r="B107" vm="376">
        <f ca="1"/>
        <v>8.7799999999999994</v>
      </c>
      <c r="C107" vm="377">
        <f ca="1"/>
        <v>9.27</v>
      </c>
      <c r="D107" vm="362">
        <f ca="1"/>
        <v>8.6999999999999993</v>
      </c>
    </row>
    <row r="108" spans="1:4" x14ac:dyDescent="0.25">
      <c r="A108" vm="378">
        <f ca="1"/>
        <v>45813</v>
      </c>
      <c r="B108" vm="379">
        <f ca="1"/>
        <v>8.67</v>
      </c>
      <c r="C108" vm="380">
        <f ca="1"/>
        <v>8.89</v>
      </c>
      <c r="D108" vm="381">
        <f ca="1"/>
        <v>8.6150000000000002</v>
      </c>
    </row>
    <row r="109" spans="1:4" x14ac:dyDescent="0.25">
      <c r="A109" vm="382">
        <f ca="1"/>
        <v>45814</v>
      </c>
      <c r="B109" vm="383">
        <f ca="1"/>
        <v>9.0299999999999994</v>
      </c>
      <c r="C109" vm="384">
        <f ca="1"/>
        <v>9.15</v>
      </c>
      <c r="D109" vm="385">
        <f ca="1"/>
        <v>8.82</v>
      </c>
    </row>
    <row r="110" spans="1:4" x14ac:dyDescent="0.25">
      <c r="A110" vm="386">
        <f ca="1"/>
        <v>45817</v>
      </c>
      <c r="B110" vm="387">
        <f ca="1"/>
        <v>9.08</v>
      </c>
      <c r="C110" vm="388">
        <f ca="1"/>
        <v>9.2550000000000008</v>
      </c>
      <c r="D110" vm="341">
        <f ca="1"/>
        <v>9.0399999999999991</v>
      </c>
    </row>
    <row r="111" spans="1:4" x14ac:dyDescent="0.25">
      <c r="A111" vm="389">
        <f ca="1"/>
        <v>45818</v>
      </c>
      <c r="B111" vm="390">
        <f ca="1"/>
        <v>9.17</v>
      </c>
      <c r="C111" vm="325">
        <f ca="1"/>
        <v>9.4700000000000006</v>
      </c>
      <c r="D111" vm="333">
        <f ca="1"/>
        <v>9.1300000000000008</v>
      </c>
    </row>
    <row r="112" spans="1:4" x14ac:dyDescent="0.25">
      <c r="A112" vm="391">
        <f ca="1"/>
        <v>45819</v>
      </c>
      <c r="B112" vm="392">
        <f ca="1"/>
        <v>9.4600000000000009</v>
      </c>
      <c r="C112" vm="393">
        <f ca="1"/>
        <v>9.6</v>
      </c>
      <c r="D112" vm="394">
        <f ca="1"/>
        <v>9.16</v>
      </c>
    </row>
    <row r="113" spans="1:4" x14ac:dyDescent="0.25">
      <c r="A113" vm="395">
        <f ca="1"/>
        <v>45820</v>
      </c>
      <c r="B113" vm="396">
        <f ca="1"/>
        <v>9.52</v>
      </c>
      <c r="C113" vm="397">
        <f ca="1"/>
        <v>9.5350000000000001</v>
      </c>
      <c r="D113" vm="398">
        <f ca="1"/>
        <v>9.2091999999999992</v>
      </c>
    </row>
    <row r="114" spans="1:4" x14ac:dyDescent="0.25">
      <c r="A114" vm="399">
        <f ca="1"/>
        <v>45821</v>
      </c>
      <c r="B114" vm="400">
        <f ca="1"/>
        <v>9.7799999999999994</v>
      </c>
      <c r="C114" vm="401">
        <f ca="1"/>
        <v>10</v>
      </c>
      <c r="D114" vm="402">
        <f ca="1"/>
        <v>9.5299999999999994</v>
      </c>
    </row>
    <row r="115" spans="1:4" x14ac:dyDescent="0.25">
      <c r="A115" vm="403">
        <f ca="1"/>
        <v>45824</v>
      </c>
      <c r="B115" vm="404">
        <f ca="1"/>
        <v>9.56</v>
      </c>
      <c r="C115" vm="405">
        <f ca="1"/>
        <v>9.7899999999999991</v>
      </c>
      <c r="D115" vm="406">
        <f ca="1"/>
        <v>9.4049999999999994</v>
      </c>
    </row>
    <row r="116" spans="1:4" x14ac:dyDescent="0.25">
      <c r="A116" vm="407">
        <f ca="1"/>
        <v>45825</v>
      </c>
      <c r="B116" vm="408">
        <f ca="1"/>
        <v>9.58</v>
      </c>
      <c r="C116" vm="409">
        <f ca="1"/>
        <v>9.8800000000000008</v>
      </c>
      <c r="D116" vm="325">
        <f ca="1"/>
        <v>9.4700000000000006</v>
      </c>
    </row>
    <row r="117" spans="1:4" x14ac:dyDescent="0.25">
      <c r="A117" vm="410">
        <f ca="1"/>
        <v>45826</v>
      </c>
      <c r="B117" vm="396">
        <f ca="1"/>
        <v>9.52</v>
      </c>
      <c r="C117" vm="405">
        <f ca="1"/>
        <v>9.7899999999999991</v>
      </c>
      <c r="D117" vm="411">
        <f ca="1"/>
        <v>9.4849999999999994</v>
      </c>
    </row>
    <row r="118" spans="1:4" x14ac:dyDescent="0.25">
      <c r="A118" vm="412">
        <f ca="1"/>
        <v>45828</v>
      </c>
      <c r="B118" vm="325">
        <f ca="1"/>
        <v>9.4700000000000006</v>
      </c>
      <c r="C118" vm="393">
        <f ca="1"/>
        <v>9.6</v>
      </c>
      <c r="D118" vm="413">
        <f ca="1"/>
        <v>9.3949999999999996</v>
      </c>
    </row>
    <row r="119" spans="1:4" x14ac:dyDescent="0.25">
      <c r="A119" vm="414">
        <f ca="1"/>
        <v>45831</v>
      </c>
      <c r="B119" vm="337">
        <f ca="1"/>
        <v>8.9700000000000006</v>
      </c>
      <c r="C119" vm="415">
        <f ca="1"/>
        <v>9.6050000000000004</v>
      </c>
      <c r="D119" vm="416">
        <f ca="1"/>
        <v>8.93</v>
      </c>
    </row>
    <row r="120" spans="1:4" x14ac:dyDescent="0.25">
      <c r="A120" vm="417">
        <f ca="1"/>
        <v>45832</v>
      </c>
      <c r="B120" vm="418">
        <f ca="1"/>
        <v>8.77</v>
      </c>
      <c r="C120" vm="419">
        <f ca="1"/>
        <v>8.9749999999999996</v>
      </c>
      <c r="D120" vm="420">
        <f ca="1"/>
        <v>8.7149999999999999</v>
      </c>
    </row>
    <row r="121" spans="1:4" x14ac:dyDescent="0.25">
      <c r="A121" vm="421">
        <f ca="1"/>
        <v>45833</v>
      </c>
      <c r="B121" vm="289">
        <f ca="1"/>
        <v>8.6</v>
      </c>
      <c r="C121" vm="284">
        <f ca="1"/>
        <v>8.75</v>
      </c>
      <c r="D121" vm="371">
        <f ca="1"/>
        <v>8.4749999999999996</v>
      </c>
    </row>
    <row r="122" spans="1:4" x14ac:dyDescent="0.25">
      <c r="A122" vm="422">
        <f ca="1"/>
        <v>45834</v>
      </c>
      <c r="B122" vm="335">
        <f ca="1"/>
        <v>8.9499999999999993</v>
      </c>
      <c r="C122" vm="337">
        <f ca="1"/>
        <v>8.9700000000000006</v>
      </c>
      <c r="D122" vm="229">
        <f ca="1"/>
        <v>8.61</v>
      </c>
    </row>
    <row r="123" spans="1:4" x14ac:dyDescent="0.25">
      <c r="A123" vm="423">
        <f ca="1"/>
        <v>45835</v>
      </c>
      <c r="B123" vm="335">
        <f ca="1"/>
        <v>8.9499999999999993</v>
      </c>
      <c r="C123" vm="333">
        <f ca="1"/>
        <v>9.1300000000000008</v>
      </c>
      <c r="D123" vm="424">
        <f ca="1"/>
        <v>8.8849999999999998</v>
      </c>
    </row>
    <row r="124" spans="1:4" x14ac:dyDescent="0.25">
      <c r="A124" vm="425">
        <f ca="1"/>
        <v>45838</v>
      </c>
      <c r="B124" vm="289">
        <f ca="1"/>
        <v>8.6</v>
      </c>
      <c r="C124" vm="416">
        <f ca="1"/>
        <v>8.93</v>
      </c>
      <c r="D124" vm="426">
        <f ca="1"/>
        <v>8.5950000000000006</v>
      </c>
    </row>
    <row r="125" spans="1:4" x14ac:dyDescent="0.25">
      <c r="A125" vm="427">
        <f ca="1"/>
        <v>45839</v>
      </c>
      <c r="B125" vm="428">
        <f ca="1"/>
        <v>8.8800000000000008</v>
      </c>
      <c r="C125" vm="429">
        <f ca="1"/>
        <v>9.01</v>
      </c>
      <c r="D125" vm="296">
        <f ca="1"/>
        <v>8.49</v>
      </c>
    </row>
    <row r="126" spans="1:4" x14ac:dyDescent="0.25">
      <c r="A126" vm="430">
        <f ca="1"/>
        <v>45840</v>
      </c>
      <c r="B126" vm="323">
        <f ca="1"/>
        <v>9.1199999999999992</v>
      </c>
      <c r="C126" vm="390">
        <f ca="1"/>
        <v>9.17</v>
      </c>
      <c r="D126" vm="431">
        <f ca="1"/>
        <v>8.8249999999999993</v>
      </c>
    </row>
    <row r="127" spans="1:4" x14ac:dyDescent="0.25">
      <c r="A127" vm="432">
        <f ca="1"/>
        <v>45841</v>
      </c>
      <c r="B127" vm="333">
        <f ca="1"/>
        <v>9.1300000000000008</v>
      </c>
      <c r="C127" vm="377">
        <f ca="1"/>
        <v>9.27</v>
      </c>
      <c r="D127" vm="433">
        <f ca="1"/>
        <v>9.0850000000000009</v>
      </c>
    </row>
    <row r="128" spans="1:4" x14ac:dyDescent="0.25">
      <c r="A128" vm="434">
        <f ca="1"/>
        <v>45845</v>
      </c>
      <c r="B128" vm="435">
        <f ca="1"/>
        <v>8.83</v>
      </c>
      <c r="C128" vm="436">
        <f ca="1"/>
        <v>9.1750000000000007</v>
      </c>
      <c r="D128" vm="354">
        <f ca="1"/>
        <v>8.68</v>
      </c>
    </row>
    <row r="129" spans="1:4" x14ac:dyDescent="0.25">
      <c r="A129" vm="437">
        <f ca="1"/>
        <v>45846</v>
      </c>
      <c r="B129" vm="438">
        <f ca="1"/>
        <v>9.3800000000000008</v>
      </c>
      <c r="C129" vm="439">
        <f ca="1"/>
        <v>9.5549999999999997</v>
      </c>
      <c r="D129" vm="440">
        <f ca="1"/>
        <v>8.8524999999999991</v>
      </c>
    </row>
    <row r="130" spans="1:4" x14ac:dyDescent="0.25">
      <c r="A130" vm="441">
        <f ca="1"/>
        <v>45847</v>
      </c>
      <c r="B130" vm="394">
        <f ca="1"/>
        <v>9.16</v>
      </c>
      <c r="C130" vm="442">
        <f ca="1"/>
        <v>9.4499999999999993</v>
      </c>
      <c r="D130" vm="443">
        <f ca="1"/>
        <v>9.11</v>
      </c>
    </row>
    <row r="131" spans="1:4" x14ac:dyDescent="0.25">
      <c r="A131" vm="444">
        <f ca="1"/>
        <v>45848</v>
      </c>
      <c r="B131" vm="334">
        <f ca="1"/>
        <v>9.2899999999999991</v>
      </c>
      <c r="C131" vm="445">
        <f ca="1"/>
        <v>9.3450000000000006</v>
      </c>
      <c r="D131" vm="345">
        <f ca="1"/>
        <v>8.9600000000000009</v>
      </c>
    </row>
    <row r="132" spans="1:4" x14ac:dyDescent="0.25">
      <c r="A132" vm="446">
        <f ca="1"/>
        <v>45849</v>
      </c>
      <c r="B132" vm="447">
        <f ca="1"/>
        <v>9.25</v>
      </c>
      <c r="C132" vm="330">
        <f ca="1"/>
        <v>9.32</v>
      </c>
      <c r="D132" vm="448">
        <f ca="1"/>
        <v>9.1349999999999998</v>
      </c>
    </row>
    <row r="133" spans="1:4" x14ac:dyDescent="0.25">
      <c r="A133" vm="449">
        <f ca="1"/>
        <v>45852</v>
      </c>
      <c r="B133" vm="450">
        <f ca="1"/>
        <v>8.76</v>
      </c>
      <c r="C133" vm="451">
        <f ca="1"/>
        <v>9.24</v>
      </c>
      <c r="D133" vm="339">
        <f ca="1"/>
        <v>8.74</v>
      </c>
    </row>
    <row r="134" spans="1:4" x14ac:dyDescent="0.25">
      <c r="A134" vm="452">
        <f ca="1"/>
        <v>45853</v>
      </c>
      <c r="B134" vm="261">
        <f ca="1"/>
        <v>8.2899999999999991</v>
      </c>
      <c r="C134" vm="453">
        <f ca="1"/>
        <v>8.8752999999999993</v>
      </c>
      <c r="D134" vm="293">
        <f ca="1"/>
        <v>8.2799999999999994</v>
      </c>
    </row>
    <row r="135" spans="1:4" x14ac:dyDescent="0.25">
      <c r="A135" vm="454">
        <f ca="1"/>
        <v>45854</v>
      </c>
      <c r="B135" vm="281">
        <f ca="1"/>
        <v>8.23</v>
      </c>
      <c r="C135" vm="455">
        <f ca="1"/>
        <v>8.3650000000000002</v>
      </c>
      <c r="D135" vm="456">
        <f ca="1"/>
        <v>8.0399999999999991</v>
      </c>
    </row>
    <row r="136" spans="1:4" x14ac:dyDescent="0.25">
      <c r="A136" vm="457">
        <f ca="1"/>
        <v>45855</v>
      </c>
      <c r="B136" vm="237">
        <f ca="1"/>
        <v>8.43</v>
      </c>
      <c r="C136" vm="458">
        <f ca="1"/>
        <v>8.5649999999999995</v>
      </c>
      <c r="D136" vm="459">
        <f ca="1"/>
        <v>8.2750000000000004</v>
      </c>
    </row>
    <row r="137" spans="1:4" x14ac:dyDescent="0.25">
      <c r="A137" vm="460">
        <f ca="1"/>
        <v>45856</v>
      </c>
      <c r="B137" vm="370">
        <f ca="1"/>
        <v>8.73</v>
      </c>
      <c r="C137" vm="461">
        <f ca="1"/>
        <v>8.98</v>
      </c>
      <c r="D137" vm="350">
        <f ca="1"/>
        <v>8.5399999999999991</v>
      </c>
    </row>
    <row r="138" spans="1:4" x14ac:dyDescent="0.25">
      <c r="A138" vm="462">
        <f ca="1"/>
        <v>45859</v>
      </c>
      <c r="B138" vm="463">
        <f ca="1"/>
        <v>8.4499999999999993</v>
      </c>
      <c r="C138" vm="464">
        <f ca="1"/>
        <v>8.7788000000000004</v>
      </c>
      <c r="D138" vm="465">
        <f ca="1"/>
        <v>8.42</v>
      </c>
    </row>
    <row r="139" spans="1:4" x14ac:dyDescent="0.25">
      <c r="A139" vm="466">
        <f ca="1"/>
        <v>45860</v>
      </c>
      <c r="B139" vm="467">
        <f ca="1"/>
        <v>8.64</v>
      </c>
      <c r="C139" vm="287">
        <f ca="1"/>
        <v>8.69</v>
      </c>
      <c r="D139" vm="468">
        <f ca="1"/>
        <v>8.48</v>
      </c>
    </row>
    <row r="140" spans="1:4" x14ac:dyDescent="0.25">
      <c r="A140" vm="469">
        <f ca="1"/>
        <v>45861</v>
      </c>
      <c r="B140" vm="470">
        <f ca="1"/>
        <v>8.92</v>
      </c>
      <c r="C140" vm="471">
        <f ca="1"/>
        <v>8.9649999999999999</v>
      </c>
      <c r="D140" vm="472">
        <f ca="1"/>
        <v>8.5815999999999999</v>
      </c>
    </row>
    <row r="141" spans="1:4" x14ac:dyDescent="0.25">
      <c r="A141" vm="473">
        <f ca="1"/>
        <v>45862</v>
      </c>
      <c r="B141" vm="474">
        <f ca="1"/>
        <v>9.2799999999999994</v>
      </c>
      <c r="C141" vm="475">
        <f ca="1"/>
        <v>9.33</v>
      </c>
      <c r="D141" vm="476">
        <f ca="1"/>
        <v>8.86</v>
      </c>
    </row>
    <row r="142" spans="1:4" x14ac:dyDescent="0.25">
      <c r="A142" vm="477">
        <f ca="1"/>
        <v>45863</v>
      </c>
      <c r="B142" vm="478">
        <f ca="1"/>
        <v>9.1999999999999993</v>
      </c>
      <c r="C142" vm="479">
        <f ca="1"/>
        <v>9.3255999999999997</v>
      </c>
      <c r="D142" vm="480">
        <f ca="1"/>
        <v>9.125</v>
      </c>
    </row>
    <row r="143" spans="1:4" x14ac:dyDescent="0.25">
      <c r="A143" vm="481">
        <f ca="1"/>
        <v>45866</v>
      </c>
      <c r="B143" vm="402">
        <f ca="1"/>
        <v>9.5299999999999994</v>
      </c>
      <c r="C143" vm="404">
        <f ca="1"/>
        <v>9.56</v>
      </c>
      <c r="D143" vm="482">
        <f ca="1"/>
        <v>9.3000000000000007</v>
      </c>
    </row>
    <row r="144" spans="1:4" x14ac:dyDescent="0.25">
      <c r="A144" vm="483">
        <f ca="1"/>
        <v>45867</v>
      </c>
      <c r="B144" vm="484">
        <f ca="1"/>
        <v>9.65</v>
      </c>
      <c r="C144" vm="485">
        <f ca="1"/>
        <v>9.69</v>
      </c>
      <c r="D144" vm="475">
        <f ca="1"/>
        <v>9.33</v>
      </c>
    </row>
    <row r="145" spans="1:4" x14ac:dyDescent="0.25">
      <c r="A145" vm="486">
        <f ca="1"/>
        <v>45868</v>
      </c>
      <c r="B145" vm="442">
        <f ca="1"/>
        <v>9.4499999999999993</v>
      </c>
      <c r="C145" vm="487">
        <f ca="1"/>
        <v>9.66</v>
      </c>
      <c r="D145" vm="488">
        <f ca="1"/>
        <v>9.375</v>
      </c>
    </row>
    <row r="146" spans="1:4" x14ac:dyDescent="0.25">
      <c r="A146" vm="489">
        <f ca="1"/>
        <v>45869</v>
      </c>
      <c r="B146" vm="451">
        <f ca="1"/>
        <v>9.24</v>
      </c>
      <c r="C146" vm="392">
        <f ca="1"/>
        <v>9.4600000000000009</v>
      </c>
      <c r="D146" vm="323">
        <f ca="1"/>
        <v>9.1199999999999992</v>
      </c>
    </row>
    <row r="147" spans="1:4" x14ac:dyDescent="0.25">
      <c r="A147" vm="490">
        <f ca="1"/>
        <v>45870</v>
      </c>
      <c r="B147" vm="345">
        <f ca="1"/>
        <v>8.9600000000000009</v>
      </c>
      <c r="C147" vm="333">
        <f ca="1"/>
        <v>9.1300000000000008</v>
      </c>
      <c r="D147" vm="370">
        <f ca="1"/>
        <v>8.73</v>
      </c>
    </row>
    <row r="148" spans="1:4" x14ac:dyDescent="0.25">
      <c r="A148" vm="491">
        <f ca="1"/>
        <v>45873</v>
      </c>
      <c r="B148" vm="428">
        <f ca="1"/>
        <v>8.8800000000000008</v>
      </c>
      <c r="C148" vm="461">
        <f ca="1"/>
        <v>8.98</v>
      </c>
      <c r="D148" vm="450">
        <f ca="1"/>
        <v>8.76</v>
      </c>
    </row>
    <row r="149" spans="1:4" x14ac:dyDescent="0.25">
      <c r="A149" vm="492">
        <f ca="1"/>
        <v>45874</v>
      </c>
      <c r="B149" vm="493">
        <f ca="1"/>
        <v>9.36</v>
      </c>
      <c r="C149" vm="494">
        <f ca="1"/>
        <v>9.5150000000000006</v>
      </c>
      <c r="D149" vm="429">
        <f ca="1"/>
        <v>9.01</v>
      </c>
    </row>
    <row r="150" spans="1:4" x14ac:dyDescent="0.25">
      <c r="A150" vm="495">
        <f ca="1"/>
        <v>45875</v>
      </c>
      <c r="B150" vm="496">
        <f ca="1"/>
        <v>9.23</v>
      </c>
      <c r="C150" vm="497">
        <f ca="1"/>
        <v>9.76</v>
      </c>
      <c r="D150" vm="498">
        <f ca="1"/>
        <v>9.2149999999999999</v>
      </c>
    </row>
    <row r="151" spans="1:4" x14ac:dyDescent="0.25">
      <c r="A151" vm="499">
        <f ca="1"/>
        <v>45876</v>
      </c>
      <c r="B151" vm="478">
        <f ca="1"/>
        <v>9.1999999999999993</v>
      </c>
      <c r="C151" vm="500">
        <f ca="1"/>
        <v>9.57</v>
      </c>
      <c r="D151" vm="384">
        <f ca="1"/>
        <v>9.15</v>
      </c>
    </row>
    <row r="152" spans="1:4" x14ac:dyDescent="0.25">
      <c r="A152" vm="501">
        <f ca="1"/>
        <v>45877</v>
      </c>
      <c r="B152" vm="496">
        <f ca="1"/>
        <v>9.23</v>
      </c>
      <c r="C152" vm="502">
        <f ca="1"/>
        <v>9.4450000000000003</v>
      </c>
      <c r="D152" vm="503">
        <f ca="1"/>
        <v>9.0749999999999993</v>
      </c>
    </row>
    <row r="153" spans="1:4" x14ac:dyDescent="0.25">
      <c r="A153" vm="504">
        <f ca="1"/>
        <v>45880</v>
      </c>
      <c r="B153" vm="338">
        <f ca="1"/>
        <v>8.99</v>
      </c>
      <c r="C153" vm="392">
        <f ca="1"/>
        <v>9.4600000000000009</v>
      </c>
      <c r="D153" vm="470">
        <f ca="1"/>
        <v>8.92</v>
      </c>
    </row>
    <row r="154" spans="1:4" x14ac:dyDescent="0.25">
      <c r="A154" vm="505">
        <f ca="1"/>
        <v>45881</v>
      </c>
      <c r="B154" vm="327">
        <f ca="1"/>
        <v>9.34</v>
      </c>
      <c r="C154" vm="506">
        <f ca="1"/>
        <v>9.3699999999999992</v>
      </c>
      <c r="D154" vm="429">
        <f ca="1"/>
        <v>9.01</v>
      </c>
    </row>
    <row r="155" spans="1:4" x14ac:dyDescent="0.25">
      <c r="A155" vm="507">
        <f ca="1"/>
        <v>45882</v>
      </c>
      <c r="B155" vm="404">
        <f ca="1"/>
        <v>9.56</v>
      </c>
      <c r="C155" vm="508">
        <f ca="1"/>
        <v>9.5749999999999993</v>
      </c>
      <c r="D155" vm="225">
        <f ca="1"/>
        <v>9.26</v>
      </c>
    </row>
    <row r="156" spans="1:4" x14ac:dyDescent="0.25">
      <c r="A156" vm="509">
        <f ca="1"/>
        <v>45883</v>
      </c>
      <c r="B156" vm="484">
        <f ca="1"/>
        <v>9.65</v>
      </c>
      <c r="C156" vm="487">
        <f ca="1"/>
        <v>9.66</v>
      </c>
      <c r="D156" vm="482">
        <f ca="1"/>
        <v>9.3000000000000007</v>
      </c>
    </row>
    <row r="157" spans="1:4" x14ac:dyDescent="0.25">
      <c r="A157" vm="510">
        <f ca="1"/>
        <v>45884</v>
      </c>
      <c r="B157" vm="511">
        <f ca="1"/>
        <v>9.42</v>
      </c>
      <c r="C157" vm="512">
        <f ca="1"/>
        <v>9.6988000000000003</v>
      </c>
      <c r="D157" vm="513">
        <f ca="1"/>
        <v>9.3847000000000005</v>
      </c>
    </row>
    <row r="158" spans="1:4" x14ac:dyDescent="0.25">
      <c r="A158" vm="514">
        <f ca="1"/>
        <v>45887</v>
      </c>
      <c r="B158" vm="330">
        <f ca="1"/>
        <v>9.32</v>
      </c>
      <c r="C158" vm="515">
        <f ca="1"/>
        <v>9.4149999999999991</v>
      </c>
      <c r="D158" vm="516">
        <f ca="1"/>
        <v>9.14</v>
      </c>
    </row>
    <row r="159" spans="1:4" x14ac:dyDescent="0.25">
      <c r="A159" vm="517">
        <f ca="1"/>
        <v>45888</v>
      </c>
      <c r="B159" vm="518">
        <f ca="1"/>
        <v>9.2200000000000006</v>
      </c>
      <c r="C159" vm="519">
        <f ca="1"/>
        <v>9.48</v>
      </c>
      <c r="D159" vm="342">
        <f ca="1"/>
        <v>9.1649999999999991</v>
      </c>
    </row>
    <row r="160" spans="1:4" x14ac:dyDescent="0.25">
      <c r="A160" vm="520">
        <f ca="1"/>
        <v>45889</v>
      </c>
      <c r="B160" vm="474">
        <f ca="1"/>
        <v>9.2799999999999994</v>
      </c>
      <c r="C160" vm="521">
        <f ca="1"/>
        <v>9.39</v>
      </c>
      <c r="D160" vm="480">
        <f ca="1"/>
        <v>9.125</v>
      </c>
    </row>
    <row r="161" spans="1:4" x14ac:dyDescent="0.25">
      <c r="A161" vm="522">
        <f ca="1"/>
        <v>45890</v>
      </c>
      <c r="B161" vm="438">
        <f ca="1"/>
        <v>9.3800000000000008</v>
      </c>
      <c r="C161" vm="523">
        <f ca="1"/>
        <v>9.5050000000000008</v>
      </c>
      <c r="D161" vm="516">
        <f ca="1"/>
        <v>9.14</v>
      </c>
    </row>
    <row r="162" spans="1:4" x14ac:dyDescent="0.25">
      <c r="A162" vm="524">
        <f ca="1"/>
        <v>45891</v>
      </c>
      <c r="B162" vm="525">
        <f ca="1"/>
        <v>9.94</v>
      </c>
      <c r="C162" vm="526">
        <f ca="1"/>
        <v>9.99</v>
      </c>
      <c r="D162" vm="493">
        <f ca="1"/>
        <v>9.36</v>
      </c>
    </row>
    <row r="163" spans="1:4" x14ac:dyDescent="0.25">
      <c r="A163" vm="527">
        <f ca="1"/>
        <v>45894</v>
      </c>
      <c r="B163" vm="326">
        <f ca="1"/>
        <v>9.5399999999999991</v>
      </c>
      <c r="C163" vm="528">
        <f ca="1"/>
        <v>9.61</v>
      </c>
      <c r="D163" vm="385">
        <f ca="1"/>
        <v>8.82</v>
      </c>
    </row>
    <row r="164" spans="1:4" x14ac:dyDescent="0.25">
      <c r="A164" vm="529">
        <f ca="1"/>
        <v>45895</v>
      </c>
      <c r="B164" vm="530">
        <f ca="1"/>
        <v>9.02</v>
      </c>
      <c r="C164" vm="494">
        <f ca="1"/>
        <v>9.5150000000000006</v>
      </c>
      <c r="D164" vm="429">
        <f ca="1"/>
        <v>9.01</v>
      </c>
    </row>
    <row r="165" spans="1:4" x14ac:dyDescent="0.25">
      <c r="A165" vm="531">
        <f ca="1"/>
        <v>45896</v>
      </c>
      <c r="B165" vm="482">
        <f ca="1"/>
        <v>9.3000000000000007</v>
      </c>
      <c r="C165" vm="532">
        <f ca="1"/>
        <v>9.625</v>
      </c>
      <c r="D165" vm="533">
        <f ca="1"/>
        <v>8.9949999999999992</v>
      </c>
    </row>
    <row r="166" spans="1:4" x14ac:dyDescent="0.25">
      <c r="A166" vm="534">
        <f ca="1"/>
        <v>45897</v>
      </c>
      <c r="B166" vm="528">
        <f ca="1"/>
        <v>9.61</v>
      </c>
      <c r="C166" vm="535">
        <f ca="1"/>
        <v>9.6199999999999992</v>
      </c>
      <c r="D166" vm="516">
        <f ca="1"/>
        <v>9.14</v>
      </c>
    </row>
    <row r="167" spans="1:4" x14ac:dyDescent="0.25">
      <c r="A167" vm="536">
        <f ca="1"/>
        <v>45898</v>
      </c>
      <c r="B167" vm="326">
        <f ca="1"/>
        <v>9.5399999999999991</v>
      </c>
      <c r="C167" vm="484">
        <f ca="1"/>
        <v>9.65</v>
      </c>
      <c r="D167" vm="537">
        <f ca="1"/>
        <v>9.4747000000000003</v>
      </c>
    </row>
    <row r="168" spans="1:4" x14ac:dyDescent="0.25">
      <c r="A168" vm="538">
        <f ca="1"/>
        <v>45902</v>
      </c>
      <c r="B168" vm="539">
        <f ca="1"/>
        <v>9.9</v>
      </c>
      <c r="C168" vm="540">
        <f ca="1"/>
        <v>9.91</v>
      </c>
      <c r="D168" vm="511">
        <f ca="1"/>
        <v>9.42</v>
      </c>
    </row>
    <row r="169" spans="1:4" x14ac:dyDescent="0.25">
      <c r="A169" vm="541">
        <f ca="1"/>
        <v>45903</v>
      </c>
      <c r="B169" vm="542">
        <f ca="1"/>
        <v>9.43</v>
      </c>
      <c r="C169" vm="525">
        <f ca="1"/>
        <v>9.94</v>
      </c>
      <c r="D169" vm="438">
        <f ca="1"/>
        <v>9.3800000000000008</v>
      </c>
    </row>
    <row r="170" spans="1:4" x14ac:dyDescent="0.25">
      <c r="A170" vm="543">
        <f ca="1"/>
        <v>45904</v>
      </c>
      <c r="B170" vm="451">
        <f ca="1"/>
        <v>9.24</v>
      </c>
      <c r="C170" vm="544">
        <f ca="1"/>
        <v>9.49</v>
      </c>
      <c r="D170" vm="496">
        <f ca="1"/>
        <v>9.23</v>
      </c>
    </row>
    <row r="171" spans="1:4" x14ac:dyDescent="0.25">
      <c r="A171" vm="545">
        <f ca="1"/>
        <v>45905</v>
      </c>
      <c r="B171" vm="450">
        <f ca="1"/>
        <v>8.76</v>
      </c>
      <c r="C171" vm="226">
        <f ca="1"/>
        <v>9.2100000000000009</v>
      </c>
      <c r="D171" vm="358">
        <f ca="1"/>
        <v>8.6300000000000008</v>
      </c>
    </row>
    <row r="172" spans="1:4" x14ac:dyDescent="0.25">
      <c r="A172" vm="546">
        <f ca="1"/>
        <v>45908</v>
      </c>
      <c r="B172" vm="285">
        <f ca="1"/>
        <v>8.34</v>
      </c>
      <c r="C172" vm="547">
        <f ca="1"/>
        <v>8.84</v>
      </c>
      <c r="D172" vm="352">
        <f ca="1"/>
        <v>8.33</v>
      </c>
    </row>
    <row r="173" spans="1:4" x14ac:dyDescent="0.25">
      <c r="A173" vm="548">
        <f ca="1"/>
        <v>45909</v>
      </c>
      <c r="B173" vm="549">
        <f ca="1"/>
        <v>8.2200000000000006</v>
      </c>
      <c r="C173" vm="289">
        <f ca="1"/>
        <v>8.6</v>
      </c>
      <c r="D173" vm="549">
        <f ca="1"/>
        <v>8.2200000000000006</v>
      </c>
    </row>
    <row r="174" spans="1:4" x14ac:dyDescent="0.25">
      <c r="A174" vm="550">
        <f ca="1"/>
        <v>45910</v>
      </c>
      <c r="B174" vm="362">
        <f ca="1"/>
        <v>8.6999999999999993</v>
      </c>
      <c r="C174" vm="370">
        <f ca="1"/>
        <v>8.73</v>
      </c>
      <c r="D174" vm="297">
        <f ca="1"/>
        <v>8.24</v>
      </c>
    </row>
    <row r="175" spans="1:4" x14ac:dyDescent="0.25">
      <c r="A175" vm="551">
        <f ca="1"/>
        <v>45911</v>
      </c>
      <c r="B175" vm="552">
        <f ca="1"/>
        <v>8.8000000000000007</v>
      </c>
      <c r="C175" vm="553">
        <f ca="1"/>
        <v>8.81</v>
      </c>
      <c r="D175" vm="468">
        <f ca="1"/>
        <v>8.48</v>
      </c>
    </row>
    <row r="176" spans="1:4" x14ac:dyDescent="0.25">
      <c r="A176" vm="554">
        <f ca="1"/>
        <v>45912</v>
      </c>
      <c r="B176" vm="379">
        <f ca="1"/>
        <v>8.67</v>
      </c>
      <c r="C176" vm="416">
        <f ca="1"/>
        <v>8.93</v>
      </c>
      <c r="D176" vm="299">
        <f ca="1"/>
        <v>8.6199999999999992</v>
      </c>
    </row>
    <row r="177" spans="1:4" x14ac:dyDescent="0.25">
      <c r="A177" vm="555">
        <f ca="1"/>
        <v>45915</v>
      </c>
      <c r="B177" vm="465">
        <f ca="1"/>
        <v>8.42</v>
      </c>
      <c r="C177" vm="339">
        <f ca="1"/>
        <v>8.74</v>
      </c>
      <c r="D177" vm="465">
        <f ca="1"/>
        <v>8.42</v>
      </c>
    </row>
    <row r="178" spans="1:4" x14ac:dyDescent="0.25">
      <c r="A178" vm="556">
        <f ca="1"/>
        <v>45916</v>
      </c>
      <c r="B178" vm="450">
        <f ca="1"/>
        <v>8.76</v>
      </c>
      <c r="C178" vm="557">
        <f ca="1"/>
        <v>8.8055000000000003</v>
      </c>
      <c r="D178" vm="558">
        <f ca="1"/>
        <v>8.51</v>
      </c>
    </row>
    <row r="179" spans="1:4" x14ac:dyDescent="0.25">
      <c r="A179" vm="559">
        <f ca="1"/>
        <v>45917</v>
      </c>
      <c r="B179" vm="450">
        <f ca="1"/>
        <v>8.76</v>
      </c>
      <c r="C179" vm="317">
        <f ca="1"/>
        <v>9.1</v>
      </c>
      <c r="D179" vm="241">
        <f ca="1"/>
        <v>8.6649999999999991</v>
      </c>
    </row>
    <row r="180" spans="1:4" x14ac:dyDescent="0.25">
      <c r="A180" vm="560">
        <f ca="1"/>
        <v>45918</v>
      </c>
      <c r="B180" vm="376">
        <f ca="1"/>
        <v>8.7799999999999994</v>
      </c>
      <c r="C180" vm="547">
        <f ca="1"/>
        <v>8.84</v>
      </c>
      <c r="D180" vm="358">
        <f ca="1"/>
        <v>8.6300000000000008</v>
      </c>
    </row>
    <row r="181" spans="1:4" x14ac:dyDescent="0.25">
      <c r="A181" vm="561">
        <f ca="1"/>
        <v>45919</v>
      </c>
      <c r="B181" vm="356">
        <f ca="1"/>
        <v>8.41</v>
      </c>
      <c r="C181" vm="339">
        <f ca="1"/>
        <v>8.74</v>
      </c>
      <c r="D181" vm="368">
        <f ca="1"/>
        <v>8.35</v>
      </c>
    </row>
    <row r="182" spans="1:4" x14ac:dyDescent="0.25">
      <c r="A182" vm="562">
        <f ca="1"/>
        <v>45922</v>
      </c>
      <c r="B182" vm="279">
        <f ca="1"/>
        <v>8.5</v>
      </c>
      <c r="C182" vm="276">
        <f ca="1"/>
        <v>8.56</v>
      </c>
      <c r="D182" vm="293">
        <f ca="1"/>
        <v>8.2799999999999994</v>
      </c>
    </row>
    <row r="183" spans="1:4" x14ac:dyDescent="0.25">
      <c r="A183" vm="563">
        <f ca="1"/>
        <v>45923</v>
      </c>
      <c r="B183" vm="373">
        <f ca="1"/>
        <v>9.09</v>
      </c>
      <c r="C183" vm="451">
        <f ca="1"/>
        <v>9.24</v>
      </c>
      <c r="D183" vm="289">
        <f ca="1"/>
        <v>8.6</v>
      </c>
    </row>
    <row r="184" spans="1:4" x14ac:dyDescent="0.25">
      <c r="A184" vm="564">
        <f ca="1"/>
        <v>45924</v>
      </c>
      <c r="B184" vm="408">
        <f ca="1"/>
        <v>9.58</v>
      </c>
      <c r="C184" vm="565">
        <f ca="1"/>
        <v>9.7750000000000004</v>
      </c>
      <c r="D184" vm="496">
        <f ca="1"/>
        <v>9.23</v>
      </c>
    </row>
    <row r="185" spans="1:4" x14ac:dyDescent="0.25">
      <c r="A185" vm="566">
        <f ca="1"/>
        <v>45925</v>
      </c>
      <c r="B185" vm="392">
        <f ca="1"/>
        <v>9.4600000000000009</v>
      </c>
      <c r="C185" vm="485">
        <f ca="1"/>
        <v>9.69</v>
      </c>
      <c r="D185" vm="567">
        <f ca="1"/>
        <v>9.31</v>
      </c>
    </row>
    <row r="186" spans="1:4" x14ac:dyDescent="0.25">
      <c r="A186" vm="568">
        <f ca="1"/>
        <v>45926</v>
      </c>
      <c r="B186" vm="569">
        <f ca="1"/>
        <v>9.77</v>
      </c>
      <c r="C186" vm="570">
        <f ca="1"/>
        <v>9.9700000000000006</v>
      </c>
      <c r="D186" vm="442">
        <f ca="1"/>
        <v>9.4499999999999993</v>
      </c>
    </row>
    <row r="187" spans="1:4" x14ac:dyDescent="0.25">
      <c r="A187" vm="571">
        <f ca="1"/>
        <v>45929</v>
      </c>
      <c r="B187" vm="572">
        <f ca="1"/>
        <v>9.06</v>
      </c>
      <c r="C187" vm="484">
        <f ca="1"/>
        <v>9.65</v>
      </c>
      <c r="D187" vm="572">
        <f ca="1"/>
        <v>9.06</v>
      </c>
    </row>
    <row r="188" spans="1:4" x14ac:dyDescent="0.25">
      <c r="A188" vm="573">
        <f ca="1"/>
        <v>45930</v>
      </c>
      <c r="B188" vm="470">
        <f ca="1"/>
        <v>8.92</v>
      </c>
      <c r="C188" vm="345">
        <f ca="1"/>
        <v>8.9600000000000009</v>
      </c>
      <c r="D188" vm="574">
        <f ca="1"/>
        <v>8.6850000000000005</v>
      </c>
    </row>
    <row r="189" spans="1:4" x14ac:dyDescent="0.25">
      <c r="A189" vm="575">
        <f ca="1"/>
        <v>45931</v>
      </c>
      <c r="B189" vm="429">
        <f ca="1"/>
        <v>9.01</v>
      </c>
      <c r="C189" vm="373">
        <f ca="1"/>
        <v>9.09</v>
      </c>
      <c r="D189" vm="552">
        <f ca="1"/>
        <v>8.8000000000000007</v>
      </c>
    </row>
    <row r="190" spans="1:4" x14ac:dyDescent="0.25">
      <c r="A190" vm="576">
        <f ca="1"/>
        <v>45932</v>
      </c>
      <c r="B190" vm="354">
        <f ca="1"/>
        <v>8.68</v>
      </c>
      <c r="C190" vm="530">
        <f ca="1"/>
        <v>9.02</v>
      </c>
      <c r="D190" vm="577">
        <f ca="1"/>
        <v>8.6349999999999998</v>
      </c>
    </row>
    <row r="191" spans="1:4" x14ac:dyDescent="0.25">
      <c r="A191" vm="578">
        <f ca="1"/>
        <v>45933</v>
      </c>
      <c r="B191" vm="341">
        <f ca="1"/>
        <v>9.0399999999999991</v>
      </c>
      <c r="C191" vm="394">
        <f ca="1"/>
        <v>9.16</v>
      </c>
      <c r="D191" vm="579">
        <f ca="1"/>
        <v>8.7249999999999996</v>
      </c>
    </row>
    <row r="192" spans="1:4" x14ac:dyDescent="0.25">
      <c r="A192" vm="580">
        <f ca="1"/>
        <v>45936</v>
      </c>
      <c r="B192" vm="390">
        <f ca="1"/>
        <v>9.17</v>
      </c>
      <c r="C192" vm="581">
        <f ca="1"/>
        <v>9.4</v>
      </c>
      <c r="D192" vm="443">
        <f ca="1"/>
        <v>9.11</v>
      </c>
    </row>
    <row r="193" spans="1:4" x14ac:dyDescent="0.25">
      <c r="A193" vm="582">
        <f ca="1"/>
        <v>45937</v>
      </c>
      <c r="B193" vm="323">
        <f ca="1"/>
        <v>9.1199999999999992</v>
      </c>
      <c r="C193" vm="583">
        <f ca="1"/>
        <v>9.1598000000000006</v>
      </c>
      <c r="D193" vm="424">
        <f ca="1"/>
        <v>8.8849999999999998</v>
      </c>
    </row>
    <row r="194" spans="1:4" x14ac:dyDescent="0.25">
      <c r="A194" vm="584">
        <f ca="1"/>
        <v>45938</v>
      </c>
      <c r="B194" vm="394">
        <f ca="1"/>
        <v>9.16</v>
      </c>
      <c r="C194" vm="329">
        <f ca="1"/>
        <v>9.19</v>
      </c>
      <c r="D194" vm="337">
        <f ca="1"/>
        <v>8.9700000000000006</v>
      </c>
    </row>
    <row r="195" spans="1:4" x14ac:dyDescent="0.25">
      <c r="A195" vm="585">
        <f ca="1"/>
        <v>45939</v>
      </c>
      <c r="B195" vm="345">
        <f ca="1"/>
        <v>8.9600000000000009</v>
      </c>
      <c r="C195" vm="511">
        <f ca="1"/>
        <v>9.42</v>
      </c>
      <c r="D195" vm="586">
        <f ca="1"/>
        <v>8.94</v>
      </c>
    </row>
    <row r="196" spans="1:4" x14ac:dyDescent="0.25">
      <c r="A196" vm="587">
        <f ca="1"/>
        <v>45940</v>
      </c>
      <c r="B196" vm="588">
        <f ca="1"/>
        <v>8.08</v>
      </c>
      <c r="C196" vm="547">
        <f ca="1"/>
        <v>8.84</v>
      </c>
      <c r="D196" vm="589">
        <f ca="1"/>
        <v>8.06</v>
      </c>
    </row>
    <row r="197" spans="1:4" x14ac:dyDescent="0.25">
      <c r="A197" vm="590">
        <f ca="1"/>
        <v>45943</v>
      </c>
      <c r="B197" vm="289">
        <f ca="1"/>
        <v>8.6</v>
      </c>
      <c r="C197" vm="299">
        <f ca="1"/>
        <v>8.6199999999999992</v>
      </c>
      <c r="D197" vm="591">
        <f ca="1"/>
        <v>8.1201000000000008</v>
      </c>
    </row>
    <row r="198" spans="1:4" x14ac:dyDescent="0.25">
      <c r="A198" vm="592">
        <f ca="1"/>
        <v>45944</v>
      </c>
      <c r="B198" vm="348">
        <f ca="1"/>
        <v>8.36</v>
      </c>
      <c r="C198" vm="276">
        <f ca="1"/>
        <v>8.56</v>
      </c>
      <c r="D198" vm="593">
        <f ca="1"/>
        <v>8.3049999999999997</v>
      </c>
    </row>
    <row r="199" spans="1:4" x14ac:dyDescent="0.25">
      <c r="A199" vm="594">
        <f ca="1"/>
        <v>45945</v>
      </c>
      <c r="B199" vm="311">
        <f ca="1"/>
        <v>8.3699999999999992</v>
      </c>
      <c r="C199" vm="300">
        <f ca="1"/>
        <v>8.7100000000000009</v>
      </c>
      <c r="D199" vm="595">
        <f ca="1"/>
        <v>8.32</v>
      </c>
    </row>
    <row r="200" spans="1:4" x14ac:dyDescent="0.25">
      <c r="A200" vm="596">
        <f ca="1"/>
        <v>45946</v>
      </c>
      <c r="B200" vm="356">
        <f ca="1"/>
        <v>8.41</v>
      </c>
      <c r="C200" vm="552">
        <f ca="1"/>
        <v>8.8000000000000007</v>
      </c>
      <c r="D200" vm="272">
        <f ca="1"/>
        <v>8.3000000000000007</v>
      </c>
    </row>
    <row r="201" spans="1:4" x14ac:dyDescent="0.25">
      <c r="A201" vm="597">
        <f ca="1"/>
        <v>45947</v>
      </c>
      <c r="B201" vm="598">
        <f ca="1"/>
        <v>8.25</v>
      </c>
      <c r="C201" vm="296">
        <f ca="1"/>
        <v>8.49</v>
      </c>
      <c r="D201" vm="599">
        <f ca="1"/>
        <v>8.09</v>
      </c>
    </row>
    <row r="202" spans="1:4" x14ac:dyDescent="0.25">
      <c r="A202" vm="600">
        <f ca="1"/>
        <v>45950</v>
      </c>
      <c r="B202" vm="268">
        <f ca="1"/>
        <v>8.1</v>
      </c>
      <c r="C202" vm="463">
        <f ca="1"/>
        <v>8.4499999999999993</v>
      </c>
      <c r="D202" vm="599">
        <f ca="1"/>
        <v>8.09</v>
      </c>
    </row>
    <row r="203" spans="1:4" x14ac:dyDescent="0.25">
      <c r="A203" vm="601">
        <f ca="1"/>
        <v>45951</v>
      </c>
      <c r="B203" vm="602">
        <f ca="1"/>
        <v>7.99</v>
      </c>
      <c r="C203" vm="603">
        <f ca="1"/>
        <v>8.1999999999999993</v>
      </c>
      <c r="D203" vm="602">
        <f ca="1"/>
        <v>7.99</v>
      </c>
    </row>
    <row r="204" spans="1:4" x14ac:dyDescent="0.25">
      <c r="A204" vm="604">
        <f ca="1"/>
        <v>45952</v>
      </c>
      <c r="B204" vm="589">
        <f ca="1"/>
        <v>8.06</v>
      </c>
      <c r="C204" vm="549">
        <f ca="1"/>
        <v>8.2200000000000006</v>
      </c>
      <c r="D204" vm="605">
        <f ca="1"/>
        <v>7.9301000000000004</v>
      </c>
    </row>
    <row r="205" spans="1:4" x14ac:dyDescent="0.25">
      <c r="A205" vm="606">
        <f ca="1"/>
        <v>45953</v>
      </c>
      <c r="B205" vm="607">
        <f ca="1"/>
        <v>8.5299999999999994</v>
      </c>
      <c r="C205" vm="467">
        <f ca="1"/>
        <v>8.64</v>
      </c>
      <c r="D205" vm="366">
        <f ca="1"/>
        <v>8.39</v>
      </c>
    </row>
    <row r="206" spans="1:4" x14ac:dyDescent="0.25">
      <c r="A206" vm="608">
        <f ca="1"/>
        <v>45954</v>
      </c>
      <c r="B206" vm="264">
        <f ca="1"/>
        <v>8.3800000000000008</v>
      </c>
      <c r="C206" vm="354">
        <f ca="1"/>
        <v>8.68</v>
      </c>
      <c r="D206" vm="609">
        <f ca="1"/>
        <v>8.375</v>
      </c>
    </row>
    <row r="207" spans="1:4" x14ac:dyDescent="0.25">
      <c r="A207" vm="610">
        <f ca="1"/>
        <v>45957</v>
      </c>
      <c r="B207" vm="465">
        <f ca="1"/>
        <v>8.42</v>
      </c>
      <c r="C207" vm="358">
        <f ca="1"/>
        <v>8.6300000000000008</v>
      </c>
      <c r="D207" vm="356">
        <f ca="1"/>
        <v>8.41</v>
      </c>
    </row>
    <row r="208" spans="1:4" x14ac:dyDescent="0.25">
      <c r="A208" vm="611">
        <f ca="1"/>
        <v>45958</v>
      </c>
      <c r="B208" vm="599">
        <f ca="1"/>
        <v>8.09</v>
      </c>
      <c r="C208" vm="612">
        <f ca="1"/>
        <v>8.4</v>
      </c>
      <c r="D208" vm="613">
        <f ca="1"/>
        <v>8.0549999999999997</v>
      </c>
    </row>
    <row r="209" spans="1:4" x14ac:dyDescent="0.25">
      <c r="A209" vm="614">
        <f ca="1"/>
        <v>45959</v>
      </c>
      <c r="B209" vm="615">
        <f ca="1"/>
        <v>8.14</v>
      </c>
      <c r="C209" vm="616">
        <f ca="1"/>
        <v>8.2881999999999998</v>
      </c>
      <c r="D209" vm="617">
        <f ca="1"/>
        <v>8</v>
      </c>
    </row>
    <row r="210" spans="1:4" x14ac:dyDescent="0.25">
      <c r="A210" vm="618">
        <f ca="1"/>
        <v>45960</v>
      </c>
      <c r="B210" vm="619">
        <f ca="1"/>
        <v>8.15</v>
      </c>
      <c r="C210" vm="264">
        <f ca="1"/>
        <v>8.3800000000000008</v>
      </c>
      <c r="D210" vm="620">
        <f ca="1"/>
        <v>7.97</v>
      </c>
    </row>
    <row r="211" spans="1:4" x14ac:dyDescent="0.25">
      <c r="A211" vm="621">
        <f ca="1"/>
        <v>45961</v>
      </c>
      <c r="B211" vm="237">
        <f ca="1"/>
        <v>8.43</v>
      </c>
      <c r="C211" vm="468">
        <f ca="1"/>
        <v>8.48</v>
      </c>
      <c r="D211" vm="268">
        <f ca="1"/>
        <v>8.1</v>
      </c>
    </row>
    <row r="212" spans="1:4" x14ac:dyDescent="0.25">
      <c r="A212" vm="622">
        <f ca="1"/>
        <v>45964</v>
      </c>
      <c r="B212" vm="350">
        <f ca="1"/>
        <v>8.5399999999999991</v>
      </c>
      <c r="C212" vm="300">
        <f ca="1"/>
        <v>8.7100000000000009</v>
      </c>
      <c r="D212" vm="260">
        <f ca="1"/>
        <v>8.1300000000000008</v>
      </c>
    </row>
    <row r="213" spans="1:4" x14ac:dyDescent="0.25">
      <c r="A213" vm="623">
        <f ca="1"/>
        <v>45965</v>
      </c>
      <c r="B213" vm="624">
        <f ca="1"/>
        <v>8.0500000000000007</v>
      </c>
      <c r="C213" vm="625">
        <f ca="1"/>
        <v>8.52</v>
      </c>
      <c r="D213" vm="602">
        <f ca="1"/>
        <v>7.99</v>
      </c>
    </row>
    <row r="214" spans="1:4" x14ac:dyDescent="0.25">
      <c r="A214" vm="626">
        <f ca="1"/>
        <v>45966</v>
      </c>
      <c r="B214" vm="588">
        <f ca="1"/>
        <v>8.08</v>
      </c>
      <c r="C214" vm="455">
        <f ca="1"/>
        <v>8.3650000000000002</v>
      </c>
      <c r="D214" vm="313">
        <f ca="1"/>
        <v>8.0299999999999994</v>
      </c>
    </row>
    <row r="215" spans="1:4" x14ac:dyDescent="0.25">
      <c r="A215" vm="627">
        <f ca="1"/>
        <v>45967</v>
      </c>
      <c r="B215" vm="468">
        <f ca="1"/>
        <v>8.48</v>
      </c>
      <c r="C215" vm="628">
        <f ca="1"/>
        <v>8.5982000000000003</v>
      </c>
      <c r="D215" vm="619">
        <f ca="1"/>
        <v>8.15</v>
      </c>
    </row>
    <row r="216" spans="1:4" x14ac:dyDescent="0.25">
      <c r="A216" vm="629">
        <f ca="1"/>
        <v>45968</v>
      </c>
      <c r="B216" vm="476">
        <f ca="1"/>
        <v>8.86</v>
      </c>
      <c r="C216" vm="630">
        <f ca="1"/>
        <v>8.9</v>
      </c>
      <c r="D216" vm="264">
        <f ca="1"/>
        <v>8.3800000000000008</v>
      </c>
    </row>
    <row r="217" spans="1:4" x14ac:dyDescent="0.25">
      <c r="A217" vm="631">
        <f ca="1"/>
        <v>45971</v>
      </c>
      <c r="B217" vm="345">
        <f ca="1"/>
        <v>8.9600000000000009</v>
      </c>
      <c r="C217" vm="387">
        <f ca="1"/>
        <v>9.08</v>
      </c>
      <c r="D217" vm="300">
        <f ca="1"/>
        <v>8.7100000000000009</v>
      </c>
    </row>
    <row r="218" spans="1:4" x14ac:dyDescent="0.25">
      <c r="A218" vm="632">
        <f ca="1"/>
        <v>45972</v>
      </c>
      <c r="B218" vm="485">
        <f ca="1"/>
        <v>9.69</v>
      </c>
      <c r="C218" vm="633">
        <f ca="1"/>
        <v>9.8149999999999995</v>
      </c>
      <c r="D218" vm="337">
        <f ca="1"/>
        <v>8.9700000000000006</v>
      </c>
    </row>
    <row r="219" spans="1:4" x14ac:dyDescent="0.25">
      <c r="A219" vm="634">
        <f ca="1"/>
        <v>45973</v>
      </c>
      <c r="B219" vm="323">
        <f ca="1"/>
        <v>9.1199999999999992</v>
      </c>
      <c r="C219" vm="635">
        <f ca="1"/>
        <v>9.6999999999999993</v>
      </c>
      <c r="D219" vm="373">
        <f ca="1"/>
        <v>9.09</v>
      </c>
    </row>
    <row r="220" spans="1:4" x14ac:dyDescent="0.25">
      <c r="A220" vm="636">
        <f ca="1"/>
        <v>45974</v>
      </c>
      <c r="B220" vm="394">
        <f ca="1"/>
        <v>9.16</v>
      </c>
      <c r="C220" vm="488">
        <f ca="1"/>
        <v>9.375</v>
      </c>
      <c r="D220" vm="572">
        <f ca="1"/>
        <v>9.06</v>
      </c>
    </row>
    <row r="221" spans="1:4" x14ac:dyDescent="0.25">
      <c r="A221" vm="637">
        <f ca="1"/>
        <v>45975</v>
      </c>
      <c r="B221" vm="475">
        <f ca="1"/>
        <v>9.33</v>
      </c>
      <c r="C221" vm="638">
        <f ca="1"/>
        <v>9.44</v>
      </c>
      <c r="D221" vm="630">
        <f ca="1"/>
        <v>8.9</v>
      </c>
    </row>
    <row r="222" spans="1:4" x14ac:dyDescent="0.25">
      <c r="A222" vm="639">
        <f ca="1"/>
        <v>45978</v>
      </c>
      <c r="B222" vm="640">
        <f ca="1"/>
        <v>8.8699999999999992</v>
      </c>
      <c r="C222" vm="641">
        <f ca="1"/>
        <v>9.3249999999999993</v>
      </c>
      <c r="D222" vm="642">
        <f ca="1"/>
        <v>8.7550000000000008</v>
      </c>
    </row>
    <row r="223" spans="1:4" x14ac:dyDescent="0.25">
      <c r="A223" vm="643">
        <f ca="1"/>
        <v>45979</v>
      </c>
      <c r="B223" vm="461">
        <f ca="1"/>
        <v>8.98</v>
      </c>
      <c r="C223" vm="516">
        <f ca="1"/>
        <v>9.14</v>
      </c>
      <c r="D223" vm="467">
        <f ca="1"/>
        <v>8.64</v>
      </c>
    </row>
    <row r="224" spans="1:4" x14ac:dyDescent="0.25">
      <c r="A224" vm="644">
        <f ca="1"/>
        <v>45980</v>
      </c>
      <c r="B224" vm="429">
        <f ca="1"/>
        <v>9.01</v>
      </c>
      <c r="C224" vm="645">
        <f ca="1"/>
        <v>9.0500000000000007</v>
      </c>
      <c r="D224" vm="646">
        <f ca="1"/>
        <v>8.66</v>
      </c>
    </row>
    <row r="225" spans="1:4" x14ac:dyDescent="0.25">
      <c r="A225" vm="647">
        <f ca="1"/>
        <v>45981</v>
      </c>
      <c r="B225" vm="339">
        <f ca="1"/>
        <v>8.74</v>
      </c>
      <c r="C225" vm="581">
        <f ca="1"/>
        <v>9.4</v>
      </c>
      <c r="D225" vm="420">
        <f ca="1"/>
        <v>8.7149999999999999</v>
      </c>
    </row>
    <row r="226" spans="1:4" x14ac:dyDescent="0.25">
      <c r="A226" vm="648">
        <f ca="1"/>
        <v>45982</v>
      </c>
      <c r="B226" vm="435">
        <f ca="1"/>
        <v>8.83</v>
      </c>
      <c r="C226" vm="476">
        <f ca="1"/>
        <v>8.86</v>
      </c>
      <c r="D226" vm="649">
        <f ca="1"/>
        <v>8.2149999999999999</v>
      </c>
    </row>
    <row r="227" spans="1:4" x14ac:dyDescent="0.25">
      <c r="A227" vm="650">
        <f ca="1"/>
        <v>45985</v>
      </c>
      <c r="B227" vm="394">
        <f ca="1"/>
        <v>9.16</v>
      </c>
      <c r="C227" vm="496">
        <f ca="1"/>
        <v>9.23</v>
      </c>
      <c r="D227" vm="358">
        <f ca="1"/>
        <v>8.6300000000000008</v>
      </c>
    </row>
    <row r="228" spans="1:4" x14ac:dyDescent="0.25">
      <c r="A228" vm="651">
        <f ca="1"/>
        <v>45986</v>
      </c>
      <c r="B228" vm="329">
        <f ca="1"/>
        <v>9.19</v>
      </c>
      <c r="C228" vm="226">
        <f ca="1"/>
        <v>9.2100000000000009</v>
      </c>
      <c r="D228" vm="652">
        <f ca="1"/>
        <v>8.9049999999999994</v>
      </c>
    </row>
    <row r="229" spans="1:4" x14ac:dyDescent="0.25">
      <c r="A229" vm="653">
        <f ca="1"/>
        <v>45987</v>
      </c>
      <c r="B229" vm="447">
        <f ca="1"/>
        <v>9.25</v>
      </c>
      <c r="C229" vm="392">
        <f ca="1"/>
        <v>9.4600000000000009</v>
      </c>
      <c r="D229" vm="654">
        <f ca="1"/>
        <v>9.18</v>
      </c>
    </row>
    <row r="230" spans="1:4" x14ac:dyDescent="0.25">
      <c r="A230" vm="655">
        <f ca="1"/>
        <v>45989</v>
      </c>
      <c r="B230" vm="542">
        <f ca="1"/>
        <v>9.43</v>
      </c>
      <c r="C230" vm="325">
        <f ca="1"/>
        <v>9.4700000000000006</v>
      </c>
      <c r="D230" vm="496">
        <f ca="1"/>
        <v>9.23</v>
      </c>
    </row>
    <row r="231" spans="1:4" x14ac:dyDescent="0.25">
      <c r="A231" vm="656">
        <f ca="1"/>
        <v>45992</v>
      </c>
      <c r="B231" vm="657">
        <f ca="1"/>
        <v>9.35</v>
      </c>
      <c r="C231" vm="658">
        <f ca="1"/>
        <v>9.6300000000000008</v>
      </c>
      <c r="D231" vm="475">
        <f ca="1"/>
        <v>9.33</v>
      </c>
    </row>
    <row r="232" spans="1:4" x14ac:dyDescent="0.25">
      <c r="A232" vm="659">
        <f ca="1"/>
        <v>45993</v>
      </c>
      <c r="B232" vm="657">
        <f ca="1"/>
        <v>9.35</v>
      </c>
      <c r="C232" vm="542">
        <f ca="1"/>
        <v>9.43</v>
      </c>
      <c r="D232" vm="329">
        <f ca="1"/>
        <v>9.19</v>
      </c>
    </row>
    <row r="233" spans="1:4" x14ac:dyDescent="0.25">
      <c r="A233" vm="660">
        <f ca="1"/>
        <v>45994</v>
      </c>
      <c r="B233" vm="635">
        <f ca="1"/>
        <v>9.6999999999999993</v>
      </c>
      <c r="C233" vm="661">
        <f ca="1"/>
        <v>9.8000000000000007</v>
      </c>
      <c r="D233" vm="638">
        <f ca="1"/>
        <v>9.44</v>
      </c>
    </row>
    <row r="234" spans="1:4" x14ac:dyDescent="0.25">
      <c r="A234" vm="662">
        <f ca="1"/>
        <v>45995</v>
      </c>
      <c r="B234" vm="569">
        <f ca="1"/>
        <v>9.77</v>
      </c>
      <c r="C234" vm="663">
        <f ca="1"/>
        <v>9.89</v>
      </c>
      <c r="D234" vm="664">
        <f ca="1"/>
        <v>9.7449999999999992</v>
      </c>
    </row>
    <row r="235" spans="1:4" x14ac:dyDescent="0.25">
      <c r="A235" vm="665">
        <f ca="1"/>
        <v>45996</v>
      </c>
      <c r="B235" vm="666">
        <f ca="1"/>
        <v>9.98</v>
      </c>
      <c r="C235" vm="667">
        <f ca="1"/>
        <v>10.225</v>
      </c>
      <c r="D235" vm="569">
        <f ca="1"/>
        <v>9.77</v>
      </c>
    </row>
    <row r="236" spans="1:4" x14ac:dyDescent="0.25">
      <c r="A236" vm="668">
        <f ca="1"/>
        <v>45999</v>
      </c>
      <c r="B236" vm="540">
        <f ca="1"/>
        <v>9.91</v>
      </c>
      <c r="C236" vm="669">
        <f ca="1"/>
        <v>10.050000000000001</v>
      </c>
      <c r="D236" vm="670">
        <f ca="1"/>
        <v>9.81</v>
      </c>
    </row>
    <row r="237" spans="1:4" x14ac:dyDescent="0.25">
      <c r="A237" vm="671">
        <f ca="1"/>
        <v>46000</v>
      </c>
      <c r="B237" vm="672">
        <f ca="1"/>
        <v>9.86</v>
      </c>
      <c r="C237" vm="673">
        <f ca="1"/>
        <v>10.005000000000001</v>
      </c>
      <c r="D237" vm="674">
        <f ca="1"/>
        <v>9.7100000000000009</v>
      </c>
    </row>
    <row r="238" spans="1:4" x14ac:dyDescent="0.25">
      <c r="A238" vm="675">
        <f ca="1"/>
        <v>46001</v>
      </c>
      <c r="B238" vm="497">
        <f ca="1"/>
        <v>9.76</v>
      </c>
      <c r="C238" vm="676">
        <f ca="1"/>
        <v>9.82</v>
      </c>
      <c r="D238" vm="406">
        <f ca="1"/>
        <v>9.4049999999999994</v>
      </c>
    </row>
  </sheetData>
  <mergeCells count="1">
    <mergeCell ref="A1:D1"/>
  </mergeCells>
  <pageMargins left="0.75" right="0.75" top="1" bottom="1" header="0.5" footer="0.5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17490DA3-473D-45C0-8006-0D21A505F181}">
          <xm:f>CRGY!1:1048576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7"/>
  <sheetViews>
    <sheetView tabSelected="1" workbookViewId="0">
      <selection activeCell="K2" sqref="K2"/>
    </sheetView>
  </sheetViews>
  <sheetFormatPr defaultRowHeight="15" x14ac:dyDescent="0.25"/>
  <cols>
    <col min="1" max="1" width="9.7109375" bestFit="1" customWidth="1"/>
    <col min="2" max="2" width="9.7109375" customWidth="1"/>
    <col min="3" max="3" width="11.140625" bestFit="1" customWidth="1"/>
    <col min="4" max="4" width="12" bestFit="1" customWidth="1"/>
  </cols>
  <sheetData>
    <row r="1" spans="1:9" x14ac:dyDescent="0.25">
      <c r="A1" s="1" t="str" cm="1">
        <f t="array" aca="1" ref="A1:C237" ca="1">_xlfn.STOCKHISTORY("F", DATE(YEAR(TODAY()),1,1), TODAY(), 0, 1,0,1,5)</f>
        <v>Date</v>
      </c>
      <c r="B1" s="1" t="str">
        <f ca="1"/>
        <v>Close</v>
      </c>
      <c r="C1" s="1" t="str">
        <f ca="1"/>
        <v>Volume</v>
      </c>
      <c r="D1" s="1" t="s">
        <v>32</v>
      </c>
      <c r="E1" s="1" t="s">
        <v>33</v>
      </c>
      <c r="F1" s="1" t="s">
        <v>37</v>
      </c>
      <c r="G1" s="1" t="s">
        <v>34</v>
      </c>
      <c r="H1" s="1" t="s">
        <v>35</v>
      </c>
      <c r="I1" s="1" t="s">
        <v>36</v>
      </c>
    </row>
    <row r="2" spans="1:9" x14ac:dyDescent="0.25">
      <c r="A2" vm="1">
        <f ca="1"/>
        <v>45659</v>
      </c>
      <c r="B2" vm="677">
        <f ca="1"/>
        <v>9.4972999999999992</v>
      </c>
      <c r="C2" vm="678">
        <f ca="1"/>
        <v>68235708</v>
      </c>
      <c r="D2">
        <f ca="1">B2*C2</f>
        <v>648054989.58839989</v>
      </c>
      <c r="E2">
        <f ca="1">SUM($D$2:D2)/SUM($C$2:C2)</f>
        <v>9.4972999999999992</v>
      </c>
      <c r="F2">
        <f ca="1">_xlfn.STDEV.P($B$2:B2)</f>
        <v>0</v>
      </c>
      <c r="G2">
        <f ca="1">IF(E2="","", E2 + (F2*2))</f>
        <v>9.4972999999999992</v>
      </c>
      <c r="H2">
        <f ca="1">IF(E2="","", E2 - (F2*2))</f>
        <v>9.4972999999999992</v>
      </c>
    </row>
    <row r="3" spans="1:9" x14ac:dyDescent="0.25">
      <c r="A3" vm="5">
        <f ca="1"/>
        <v>45660</v>
      </c>
      <c r="B3" vm="679">
        <f ca="1"/>
        <v>9.7236999999999991</v>
      </c>
      <c r="C3" vm="680">
        <f ca="1"/>
        <v>78487552</v>
      </c>
      <c r="D3">
        <f t="shared" ref="D3:D66" ca="1" si="0">B3*C3</f>
        <v>763189409.38239992</v>
      </c>
      <c r="E3">
        <f ca="1">SUM($D$2:D3)/SUM($C$2:C3)</f>
        <v>9.618409507604996</v>
      </c>
      <c r="F3">
        <f ca="1">_xlfn.STDEV.P($B$2:B3)</f>
        <v>0.11319999999999997</v>
      </c>
      <c r="G3">
        <f t="shared" ref="G3:G66" ca="1" si="1">IF(E3="","", E3 + (F3*2))</f>
        <v>9.844809507604996</v>
      </c>
      <c r="H3">
        <f t="shared" ref="H3:H66" ca="1" si="2">IF(E3="","", E3 - (F3*2))</f>
        <v>9.3920095076049961</v>
      </c>
    </row>
    <row r="4" spans="1:9" x14ac:dyDescent="0.25">
      <c r="A4" vm="9">
        <f ca="1"/>
        <v>45663</v>
      </c>
      <c r="B4" vm="681">
        <f ca="1"/>
        <v>9.7630999999999997</v>
      </c>
      <c r="C4" vm="682">
        <f ca="1"/>
        <v>64867023</v>
      </c>
      <c r="D4">
        <f t="shared" ca="1" si="0"/>
        <v>633303232.25129998</v>
      </c>
      <c r="E4">
        <f ca="1">SUM($D$2:D4)/SUM($C$2:C4)</f>
        <v>9.6627671282149556</v>
      </c>
      <c r="F4">
        <f ca="1">_xlfn.STDEV.P($B$2:B4)</f>
        <v>0.11712242407934637</v>
      </c>
      <c r="G4">
        <f t="shared" ca="1" si="1"/>
        <v>9.8970119763736477</v>
      </c>
      <c r="H4">
        <f t="shared" ca="1" si="2"/>
        <v>9.4285222800562636</v>
      </c>
    </row>
    <row r="5" spans="1:9" x14ac:dyDescent="0.25">
      <c r="A5" vm="13">
        <f ca="1"/>
        <v>45664</v>
      </c>
      <c r="B5" vm="683">
        <f ca="1"/>
        <v>9.6056000000000008</v>
      </c>
      <c r="C5" vm="684">
        <f ca="1"/>
        <v>63407119</v>
      </c>
      <c r="D5">
        <f t="shared" ca="1" si="0"/>
        <v>609063422.2664001</v>
      </c>
      <c r="E5">
        <f ca="1">SUM($D$2:D5)/SUM($C$2:C5)</f>
        <v>9.6495859022279049</v>
      </c>
      <c r="F5">
        <f ca="1">_xlfn.STDEV.P($B$2:B5)</f>
        <v>0.10426579916252496</v>
      </c>
      <c r="G5">
        <f t="shared" ca="1" si="1"/>
        <v>9.8581175005529555</v>
      </c>
      <c r="H5">
        <f t="shared" ca="1" si="2"/>
        <v>9.4410543039028543</v>
      </c>
    </row>
    <row r="6" spans="1:9" x14ac:dyDescent="0.25">
      <c r="A6" vm="15">
        <f ca="1"/>
        <v>45665</v>
      </c>
      <c r="B6" vm="685">
        <f ca="1"/>
        <v>9.5859000000000005</v>
      </c>
      <c r="C6" vm="686">
        <f ca="1"/>
        <v>62670278</v>
      </c>
      <c r="D6">
        <f t="shared" ca="1" si="0"/>
        <v>600751017.88020003</v>
      </c>
      <c r="E6">
        <f ca="1">SUM($D$2:D6)/SUM($C$2:C6)</f>
        <v>9.6377659578455948</v>
      </c>
      <c r="F6">
        <f ca="1">_xlfn.STDEV.P($B$2:B6)</f>
        <v>9.6450700360339398E-2</v>
      </c>
      <c r="G6">
        <f t="shared" ca="1" si="1"/>
        <v>9.8306673585662736</v>
      </c>
      <c r="H6">
        <f t="shared" ca="1" si="2"/>
        <v>9.4448645571249159</v>
      </c>
      <c r="I6">
        <f ca="1">AVERAGE(B2:B6)</f>
        <v>9.6351200000000006</v>
      </c>
    </row>
    <row r="7" spans="1:9" x14ac:dyDescent="0.25">
      <c r="A7" vm="19">
        <f ca="1"/>
        <v>45667</v>
      </c>
      <c r="B7" vm="677">
        <f ca="1"/>
        <v>9.4972999999999992</v>
      </c>
      <c r="C7" vm="687">
        <f ca="1"/>
        <v>74552875</v>
      </c>
      <c r="D7">
        <f t="shared" ca="1" si="0"/>
        <v>708051019.73749995</v>
      </c>
      <c r="E7">
        <f ca="1">SUM($D$2:D7)/SUM($C$2:C7)</f>
        <v>9.6123617394726946</v>
      </c>
      <c r="F7">
        <f ca="1">_xlfn.STDEV.P($B$2:B7)</f>
        <v>0.10193324204268861</v>
      </c>
      <c r="G7">
        <f t="shared" ca="1" si="1"/>
        <v>9.8162282235580722</v>
      </c>
      <c r="H7">
        <f t="shared" ca="1" si="2"/>
        <v>9.4084952553873169</v>
      </c>
      <c r="I7">
        <f t="shared" ref="I7:I70" ca="1" si="3">AVERAGE(B3:B7)</f>
        <v>9.6351200000000006</v>
      </c>
    </row>
    <row r="8" spans="1:9" x14ac:dyDescent="0.25">
      <c r="A8" vm="23">
        <f ca="1"/>
        <v>45670</v>
      </c>
      <c r="B8" vm="688">
        <f ca="1"/>
        <v>9.5564</v>
      </c>
      <c r="C8" vm="689">
        <f ca="1"/>
        <v>67084313</v>
      </c>
      <c r="D8">
        <f t="shared" ca="1" si="0"/>
        <v>641084528.75320005</v>
      </c>
      <c r="E8">
        <f ca="1">SUM($D$2:D8)/SUM($C$2:C8)</f>
        <v>9.6045292405822167</v>
      </c>
      <c r="F8">
        <f ca="1">_xlfn.STDEV.P($B$2:B8)</f>
        <v>9.6367131749537163E-2</v>
      </c>
      <c r="G8">
        <f t="shared" ca="1" si="1"/>
        <v>9.7972635040812914</v>
      </c>
      <c r="H8">
        <f t="shared" ca="1" si="2"/>
        <v>9.4117949770831419</v>
      </c>
      <c r="I8">
        <f t="shared" ca="1" si="3"/>
        <v>9.601659999999999</v>
      </c>
    </row>
    <row r="9" spans="1:9" x14ac:dyDescent="0.25">
      <c r="A9" vm="27">
        <f ca="1"/>
        <v>45671</v>
      </c>
      <c r="B9" vm="690">
        <f ca="1"/>
        <v>9.6252999999999993</v>
      </c>
      <c r="C9" vm="691">
        <f ca="1"/>
        <v>46150035</v>
      </c>
      <c r="D9">
        <f t="shared" ca="1" si="0"/>
        <v>444207931.88549995</v>
      </c>
      <c r="E9">
        <f ca="1">SUM($D$2:D9)/SUM($C$2:C9)</f>
        <v>9.6063535099317541</v>
      </c>
      <c r="F9">
        <f ca="1">_xlfn.STDEV.P($B$2:B9)</f>
        <v>9.0413256080068255E-2</v>
      </c>
      <c r="G9">
        <f t="shared" ca="1" si="1"/>
        <v>9.7871800220918903</v>
      </c>
      <c r="H9">
        <f t="shared" ca="1" si="2"/>
        <v>9.4255269977716178</v>
      </c>
      <c r="I9">
        <f t="shared" ca="1" si="3"/>
        <v>9.5740999999999978</v>
      </c>
    </row>
    <row r="10" spans="1:9" x14ac:dyDescent="0.25">
      <c r="A10" vm="31">
        <f ca="1"/>
        <v>45672</v>
      </c>
      <c r="B10" vm="692">
        <f ca="1"/>
        <v>9.7926000000000002</v>
      </c>
      <c r="C10" vm="693">
        <f ca="1"/>
        <v>69778271</v>
      </c>
      <c r="D10">
        <f t="shared" ca="1" si="0"/>
        <v>683310696.59459996</v>
      </c>
      <c r="E10">
        <f ca="1">SUM($D$2:D10)/SUM($C$2:C10)</f>
        <v>9.628186899978628</v>
      </c>
      <c r="F10">
        <f ca="1">_xlfn.STDEV.P($B$2:B10)</f>
        <v>0.10331940766380737</v>
      </c>
      <c r="G10">
        <f t="shared" ca="1" si="1"/>
        <v>9.8348257153062431</v>
      </c>
      <c r="H10">
        <f t="shared" ca="1" si="2"/>
        <v>9.4215480846510129</v>
      </c>
      <c r="I10">
        <f t="shared" ca="1" si="3"/>
        <v>9.6114999999999995</v>
      </c>
    </row>
    <row r="11" spans="1:9" x14ac:dyDescent="0.25">
      <c r="A11" vm="35">
        <f ca="1"/>
        <v>45673</v>
      </c>
      <c r="B11" vm="694">
        <f ca="1"/>
        <v>9.8515999999999995</v>
      </c>
      <c r="C11" vm="695">
        <f ca="1"/>
        <v>46505753</v>
      </c>
      <c r="D11">
        <f t="shared" ca="1" si="0"/>
        <v>458156076.25479996</v>
      </c>
      <c r="E11">
        <f ca="1">SUM($D$2:D11)/SUM($C$2:C11)</f>
        <v>9.644377275861121</v>
      </c>
      <c r="F11">
        <f ca="1">_xlfn.STDEV.P($B$2:B11)</f>
        <v>0.11886390368820975</v>
      </c>
      <c r="G11">
        <f t="shared" ca="1" si="1"/>
        <v>9.8821050832375406</v>
      </c>
      <c r="H11">
        <f t="shared" ca="1" si="2"/>
        <v>9.4066494684847015</v>
      </c>
      <c r="I11">
        <f t="shared" ca="1" si="3"/>
        <v>9.6646399999999986</v>
      </c>
    </row>
    <row r="12" spans="1:9" x14ac:dyDescent="0.25">
      <c r="A12" vm="39">
        <f ca="1"/>
        <v>45674</v>
      </c>
      <c r="B12" vm="696">
        <f ca="1"/>
        <v>10.019</v>
      </c>
      <c r="C12" vm="697">
        <f ca="1"/>
        <v>61780110</v>
      </c>
      <c r="D12">
        <f t="shared" ca="1" si="0"/>
        <v>618974922.09000003</v>
      </c>
      <c r="E12">
        <f ca="1">SUM($D$2:D12)/SUM($C$2:C12)</f>
        <v>9.6772750823007225</v>
      </c>
      <c r="F12">
        <f ca="1">_xlfn.STDEV.P($B$2:B12)</f>
        <v>0.15525624726254855</v>
      </c>
      <c r="G12">
        <f t="shared" ca="1" si="1"/>
        <v>9.98778757682582</v>
      </c>
      <c r="H12">
        <f t="shared" ca="1" si="2"/>
        <v>9.3667625877756251</v>
      </c>
      <c r="I12">
        <f t="shared" ca="1" si="3"/>
        <v>9.7689799999999991</v>
      </c>
    </row>
    <row r="13" spans="1:9" x14ac:dyDescent="0.25">
      <c r="A13" vm="43">
        <f ca="1"/>
        <v>45678</v>
      </c>
      <c r="B13" vm="698">
        <f ca="1"/>
        <v>10.265000000000001</v>
      </c>
      <c r="C13" vm="699">
        <f ca="1"/>
        <v>66726387</v>
      </c>
      <c r="D13">
        <f t="shared" ca="1" si="0"/>
        <v>684946362.55500007</v>
      </c>
      <c r="E13">
        <f ca="1">SUM($D$2:D13)/SUM($C$2:C13)</f>
        <v>9.7281897116980467</v>
      </c>
      <c r="F13">
        <f ca="1">_xlfn.STDEV.P($B$2:B13)</f>
        <v>0.21893322802474144</v>
      </c>
      <c r="G13">
        <f t="shared" ca="1" si="1"/>
        <v>10.166056167747529</v>
      </c>
      <c r="H13">
        <f t="shared" ca="1" si="2"/>
        <v>9.2903232556485644</v>
      </c>
      <c r="I13">
        <f t="shared" ca="1" si="3"/>
        <v>9.9107000000000003</v>
      </c>
    </row>
    <row r="14" spans="1:9" x14ac:dyDescent="0.25">
      <c r="A14" vm="47">
        <f ca="1"/>
        <v>45679</v>
      </c>
      <c r="B14" vm="700">
        <f ca="1"/>
        <v>9.8712999999999997</v>
      </c>
      <c r="C14" vm="701">
        <f ca="1"/>
        <v>65993172</v>
      </c>
      <c r="D14">
        <f t="shared" ca="1" si="0"/>
        <v>651438398.76359999</v>
      </c>
      <c r="E14">
        <f ca="1">SUM($D$2:D14)/SUM($C$2:C14)</f>
        <v>9.7394835002364566</v>
      </c>
      <c r="F14">
        <f ca="1">_xlfn.STDEV.P($B$2:B14)</f>
        <v>0.21359895258258826</v>
      </c>
      <c r="G14">
        <f t="shared" ca="1" si="1"/>
        <v>10.166681405401633</v>
      </c>
      <c r="H14">
        <f t="shared" ca="1" si="2"/>
        <v>9.3122855950712804</v>
      </c>
      <c r="I14">
        <f t="shared" ca="1" si="3"/>
        <v>9.9598999999999993</v>
      </c>
    </row>
    <row r="15" spans="1:9" x14ac:dyDescent="0.25">
      <c r="A15" vm="51">
        <f ca="1"/>
        <v>45680</v>
      </c>
      <c r="B15" vm="702">
        <f ca="1"/>
        <v>9.9992999999999999</v>
      </c>
      <c r="C15" vm="703">
        <f ca="1"/>
        <v>57145140</v>
      </c>
      <c r="D15">
        <f t="shared" ca="1" si="0"/>
        <v>571411398.40199995</v>
      </c>
      <c r="E15">
        <f ca="1">SUM($D$2:D15)/SUM($C$2:C15)</f>
        <v>9.7561026188245936</v>
      </c>
      <c r="F15">
        <f ca="1">_xlfn.STDEV.P($B$2:B15)</f>
        <v>0.21618374695841422</v>
      </c>
      <c r="G15">
        <f t="shared" ca="1" si="1"/>
        <v>10.188470112741422</v>
      </c>
      <c r="H15">
        <f t="shared" ca="1" si="2"/>
        <v>9.3237351249077651</v>
      </c>
      <c r="I15">
        <f t="shared" ca="1" si="3"/>
        <v>10.001239999999999</v>
      </c>
    </row>
    <row r="16" spans="1:9" x14ac:dyDescent="0.25">
      <c r="A16" vm="55">
        <f ca="1"/>
        <v>45681</v>
      </c>
      <c r="B16" vm="704">
        <f ca="1"/>
        <v>9.9598999999999993</v>
      </c>
      <c r="C16" vm="705">
        <f ca="1"/>
        <v>43598838</v>
      </c>
      <c r="D16">
        <f t="shared" ca="1" si="0"/>
        <v>434240066.59619999</v>
      </c>
      <c r="E16">
        <f ca="1">SUM($D$2:D16)/SUM($C$2:C16)</f>
        <v>9.7655855369206677</v>
      </c>
      <c r="F16">
        <f ca="1">_xlfn.STDEV.P($B$2:B16)</f>
        <v>0.21466803581343932</v>
      </c>
      <c r="G16">
        <f t="shared" ca="1" si="1"/>
        <v>10.194921608547546</v>
      </c>
      <c r="H16">
        <f t="shared" ca="1" si="2"/>
        <v>9.3362494652937897</v>
      </c>
      <c r="I16">
        <f t="shared" ca="1" si="3"/>
        <v>10.022899999999998</v>
      </c>
    </row>
    <row r="17" spans="1:9" x14ac:dyDescent="0.25">
      <c r="A17" vm="59">
        <f ca="1"/>
        <v>45684</v>
      </c>
      <c r="B17" vm="706">
        <f ca="1"/>
        <v>10.2158</v>
      </c>
      <c r="C17" vm="707">
        <f ca="1"/>
        <v>74257329</v>
      </c>
      <c r="D17">
        <f t="shared" ca="1" si="0"/>
        <v>758598021.59819996</v>
      </c>
      <c r="E17">
        <f ca="1">SUM($D$2:D17)/SUM($C$2:C17)</f>
        <v>9.7986456677622797</v>
      </c>
      <c r="F17">
        <f ca="1">_xlfn.STDEV.P($B$2:B17)</f>
        <v>0.23372544314523727</v>
      </c>
      <c r="G17">
        <f t="shared" ca="1" si="1"/>
        <v>10.266096554052755</v>
      </c>
      <c r="H17">
        <f t="shared" ca="1" si="2"/>
        <v>9.3311947814718046</v>
      </c>
      <c r="I17">
        <f t="shared" ca="1" si="3"/>
        <v>10.062259999999998</v>
      </c>
    </row>
    <row r="18" spans="1:9" x14ac:dyDescent="0.25">
      <c r="A18" vm="63">
        <f ca="1"/>
        <v>45685</v>
      </c>
      <c r="B18" vm="708">
        <f ca="1"/>
        <v>9.9205000000000005</v>
      </c>
      <c r="C18" vm="709">
        <f ca="1"/>
        <v>93659287</v>
      </c>
      <c r="D18">
        <f t="shared" ca="1" si="0"/>
        <v>929146956.68350005</v>
      </c>
      <c r="E18">
        <f ca="1">SUM($D$2:D18)/SUM($C$2:C18)</f>
        <v>9.8089749267377044</v>
      </c>
      <c r="F18">
        <f ca="1">_xlfn.STDEV.P($B$2:B18)</f>
        <v>0.2284600647300763</v>
      </c>
      <c r="G18">
        <f t="shared" ca="1" si="1"/>
        <v>10.265895056197857</v>
      </c>
      <c r="H18">
        <f t="shared" ca="1" si="2"/>
        <v>9.3520547972775514</v>
      </c>
      <c r="I18">
        <f t="shared" ca="1" si="3"/>
        <v>9.9933600000000009</v>
      </c>
    </row>
    <row r="19" spans="1:9" x14ac:dyDescent="0.25">
      <c r="A19" vm="67">
        <f ca="1"/>
        <v>45686</v>
      </c>
      <c r="B19" vm="710">
        <f ca="1"/>
        <v>10.048500000000001</v>
      </c>
      <c r="C19" vm="711">
        <f ca="1"/>
        <v>71111881</v>
      </c>
      <c r="D19">
        <f t="shared" ca="1" si="0"/>
        <v>714567736.22850001</v>
      </c>
      <c r="E19">
        <f ca="1">SUM($D$2:D19)/SUM($C$2:C19)</f>
        <v>9.8234587006802929</v>
      </c>
      <c r="F19">
        <f ca="1">_xlfn.STDEV.P($B$2:B19)</f>
        <v>0.22871162155284852</v>
      </c>
      <c r="G19">
        <f t="shared" ca="1" si="1"/>
        <v>10.280881943785991</v>
      </c>
      <c r="H19">
        <f t="shared" ca="1" si="2"/>
        <v>9.3660354575745952</v>
      </c>
      <c r="I19">
        <f t="shared" ca="1" si="3"/>
        <v>10.0288</v>
      </c>
    </row>
    <row r="20" spans="1:9" x14ac:dyDescent="0.25">
      <c r="A20" vm="71">
        <f ca="1"/>
        <v>45687</v>
      </c>
      <c r="B20" vm="702">
        <f ca="1"/>
        <v>9.9992999999999999</v>
      </c>
      <c r="C20" vm="712">
        <f ca="1"/>
        <v>70782906</v>
      </c>
      <c r="D20">
        <f t="shared" ca="1" si="0"/>
        <v>707779511.96580005</v>
      </c>
      <c r="E20">
        <f ca="1">SUM($D$2:D20)/SUM($C$2:C20)</f>
        <v>9.833441551408054</v>
      </c>
      <c r="F20">
        <f ca="1">_xlfn.STDEV.P($B$2:B20)</f>
        <v>0.22610008569981277</v>
      </c>
      <c r="G20">
        <f t="shared" ca="1" si="1"/>
        <v>10.285641722807679</v>
      </c>
      <c r="H20">
        <f t="shared" ca="1" si="2"/>
        <v>9.3812413800084293</v>
      </c>
      <c r="I20">
        <f t="shared" ca="1" si="3"/>
        <v>10.0288</v>
      </c>
    </row>
    <row r="21" spans="1:9" x14ac:dyDescent="0.25">
      <c r="A21" vm="75">
        <f ca="1"/>
        <v>45688</v>
      </c>
      <c r="B21" vm="708">
        <f ca="1"/>
        <v>9.9205000000000005</v>
      </c>
      <c r="C21" vm="713">
        <f ca="1"/>
        <v>105393560</v>
      </c>
      <c r="D21">
        <f t="shared" ca="1" si="0"/>
        <v>1045556811.98</v>
      </c>
      <c r="E21">
        <f ca="1">SUM($D$2:D21)/SUM($C$2:C21)</f>
        <v>9.8402271485046953</v>
      </c>
      <c r="F21">
        <f ca="1">_xlfn.STDEV.P($B$2:B21)</f>
        <v>0.22122821582022506</v>
      </c>
      <c r="G21">
        <f t="shared" ca="1" si="1"/>
        <v>10.282683580145145</v>
      </c>
      <c r="H21">
        <f t="shared" ca="1" si="2"/>
        <v>9.3977707168642457</v>
      </c>
      <c r="I21">
        <f t="shared" ca="1" si="3"/>
        <v>10.02092</v>
      </c>
    </row>
    <row r="22" spans="1:9" x14ac:dyDescent="0.25">
      <c r="A22" vm="78">
        <f ca="1"/>
        <v>45691</v>
      </c>
      <c r="B22" vm="714">
        <f ca="1"/>
        <v>9.7334999999999994</v>
      </c>
      <c r="C22" vm="715">
        <f ca="1"/>
        <v>133542924</v>
      </c>
      <c r="D22">
        <f t="shared" ca="1" si="0"/>
        <v>1299840050.7539999</v>
      </c>
      <c r="E22">
        <f ca="1">SUM($D$2:D22)/SUM($C$2:C22)</f>
        <v>9.8306341194488702</v>
      </c>
      <c r="F22">
        <f ca="1">_xlfn.STDEV.P($B$2:B22)</f>
        <v>0.21699505506555344</v>
      </c>
      <c r="G22">
        <f t="shared" ca="1" si="1"/>
        <v>10.264624229579978</v>
      </c>
      <c r="H22">
        <f t="shared" ca="1" si="2"/>
        <v>9.3966440093177628</v>
      </c>
      <c r="I22">
        <f t="shared" ca="1" si="3"/>
        <v>9.9244599999999998</v>
      </c>
    </row>
    <row r="23" spans="1:9" x14ac:dyDescent="0.25">
      <c r="A23" vm="82">
        <f ca="1"/>
        <v>45692</v>
      </c>
      <c r="B23" vm="702">
        <f ca="1"/>
        <v>9.9992999999999999</v>
      </c>
      <c r="C23" vm="716">
        <f ca="1"/>
        <v>69821048</v>
      </c>
      <c r="D23">
        <f t="shared" ca="1" si="0"/>
        <v>698161605.26639998</v>
      </c>
      <c r="E23">
        <f ca="1">SUM($D$2:D23)/SUM($C$2:C23)</f>
        <v>9.8382047003481752</v>
      </c>
      <c r="F23">
        <f ca="1">_xlfn.STDEV.P($B$2:B23)</f>
        <v>0.21488424026641906</v>
      </c>
      <c r="G23">
        <f t="shared" ca="1" si="1"/>
        <v>10.267973180881013</v>
      </c>
      <c r="H23">
        <f t="shared" ca="1" si="2"/>
        <v>9.4084362198153375</v>
      </c>
      <c r="I23">
        <f t="shared" ca="1" si="3"/>
        <v>9.9402200000000001</v>
      </c>
    </row>
    <row r="24" spans="1:9" x14ac:dyDescent="0.25">
      <c r="A24" vm="85">
        <f ca="1"/>
        <v>45693</v>
      </c>
      <c r="B24" vm="694">
        <f ca="1"/>
        <v>9.8515999999999995</v>
      </c>
      <c r="C24" vm="717">
        <f ca="1"/>
        <v>126184045</v>
      </c>
      <c r="D24">
        <f t="shared" ca="1" si="0"/>
        <v>1243114737.7219999</v>
      </c>
      <c r="E24">
        <f ca="1">SUM($D$2:D24)/SUM($C$2:C24)</f>
        <v>9.8392097769727584</v>
      </c>
      <c r="F24">
        <f ca="1">_xlfn.STDEV.P($B$2:B24)</f>
        <v>0.2101774786983252</v>
      </c>
      <c r="G24">
        <f t="shared" ca="1" si="1"/>
        <v>10.259564734369409</v>
      </c>
      <c r="H24">
        <f t="shared" ca="1" si="2"/>
        <v>9.4188548195761079</v>
      </c>
      <c r="I24">
        <f t="shared" ca="1" si="3"/>
        <v>9.9008399999999988</v>
      </c>
    </row>
    <row r="25" spans="1:9" x14ac:dyDescent="0.25">
      <c r="A25" vm="88">
        <f ca="1"/>
        <v>45694</v>
      </c>
      <c r="B25" vm="718">
        <f ca="1"/>
        <v>9.1135000000000002</v>
      </c>
      <c r="C25" vm="719">
        <f ca="1"/>
        <v>226339032</v>
      </c>
      <c r="D25">
        <f t="shared" ca="1" si="0"/>
        <v>2062740768.132</v>
      </c>
      <c r="E25">
        <f ca="1">SUM($D$2:D25)/SUM($C$2:C25)</f>
        <v>9.7531248567929403</v>
      </c>
      <c r="F25">
        <f ca="1">_xlfn.STDEV.P($B$2:B25)</f>
        <v>0.25172361152109324</v>
      </c>
      <c r="G25">
        <f t="shared" ca="1" si="1"/>
        <v>10.256572079835127</v>
      </c>
      <c r="H25">
        <f t="shared" ca="1" si="2"/>
        <v>9.2496776337507534</v>
      </c>
      <c r="I25">
        <f t="shared" ca="1" si="3"/>
        <v>9.7236799999999999</v>
      </c>
    </row>
    <row r="26" spans="1:9" x14ac:dyDescent="0.25">
      <c r="A26" vm="92">
        <f ca="1"/>
        <v>45695</v>
      </c>
      <c r="B26" vm="720">
        <f ca="1"/>
        <v>9.0937999999999999</v>
      </c>
      <c r="C26" vm="721">
        <f ca="1"/>
        <v>143116839</v>
      </c>
      <c r="D26">
        <f t="shared" ca="1" si="0"/>
        <v>1301475910.4981999</v>
      </c>
      <c r="E26">
        <f ca="1">SUM($D$2:D26)/SUM($C$2:C26)</f>
        <v>9.7071220858042029</v>
      </c>
      <c r="F26">
        <f ca="1">_xlfn.STDEV.P($B$2:B26)</f>
        <v>0.28367543380419818</v>
      </c>
      <c r="G26">
        <f t="shared" ca="1" si="1"/>
        <v>10.2744729534126</v>
      </c>
      <c r="H26">
        <f t="shared" ca="1" si="2"/>
        <v>9.139771218195806</v>
      </c>
      <c r="I26">
        <f t="shared" ca="1" si="3"/>
        <v>9.5583399999999994</v>
      </c>
    </row>
    <row r="27" spans="1:9" x14ac:dyDescent="0.25">
      <c r="A27" vm="95">
        <f ca="1"/>
        <v>45698</v>
      </c>
      <c r="B27" vm="720">
        <f ca="1"/>
        <v>9.0937999999999999</v>
      </c>
      <c r="C27" vm="722">
        <f ca="1"/>
        <v>73328062</v>
      </c>
      <c r="D27">
        <f t="shared" ca="1" si="0"/>
        <v>666830730.21560001</v>
      </c>
      <c r="E27">
        <f ca="1">SUM($D$2:D27)/SUM($C$2:C27)</f>
        <v>9.6859531955167686</v>
      </c>
      <c r="F27">
        <f ca="1">_xlfn.STDEV.P($B$2:B27)</f>
        <v>0.30791236928672311</v>
      </c>
      <c r="G27">
        <f t="shared" ca="1" si="1"/>
        <v>10.301777934090214</v>
      </c>
      <c r="H27">
        <f t="shared" ca="1" si="2"/>
        <v>9.0701284569433227</v>
      </c>
      <c r="I27">
        <f t="shared" ca="1" si="3"/>
        <v>9.4304000000000006</v>
      </c>
    </row>
    <row r="28" spans="1:9" x14ac:dyDescent="0.25">
      <c r="A28" vm="98">
        <f ca="1"/>
        <v>45699</v>
      </c>
      <c r="B28" vm="723">
        <f ca="1"/>
        <v>9.0642999999999994</v>
      </c>
      <c r="C28" vm="724">
        <f ca="1"/>
        <v>55726170</v>
      </c>
      <c r="D28">
        <f t="shared" ca="1" si="0"/>
        <v>505118722.73099995</v>
      </c>
      <c r="E28">
        <f ca="1">SUM($D$2:D28)/SUM($C$2:C28)</f>
        <v>9.6700639990204067</v>
      </c>
      <c r="F28">
        <f ca="1">_xlfn.STDEV.P($B$2:B28)</f>
        <v>0.32903327198639676</v>
      </c>
      <c r="G28">
        <f t="shared" ca="1" si="1"/>
        <v>10.3281305429932</v>
      </c>
      <c r="H28">
        <f t="shared" ca="1" si="2"/>
        <v>9.011997455047613</v>
      </c>
      <c r="I28">
        <f t="shared" ca="1" si="3"/>
        <v>9.2433999999999994</v>
      </c>
    </row>
    <row r="29" spans="1:9" x14ac:dyDescent="0.25">
      <c r="A29" vm="101">
        <f ca="1"/>
        <v>45700</v>
      </c>
      <c r="B29" vm="725">
        <f ca="1"/>
        <v>9.0839999999999996</v>
      </c>
      <c r="C29" vm="726">
        <f ca="1"/>
        <v>68421994</v>
      </c>
      <c r="D29">
        <f t="shared" ca="1" si="0"/>
        <v>621545393.49599993</v>
      </c>
      <c r="E29">
        <f ca="1">SUM($D$2:D29)/SUM($C$2:C29)</f>
        <v>9.6522313649240523</v>
      </c>
      <c r="F29">
        <f ca="1">_xlfn.STDEV.P($B$2:B29)</f>
        <v>0.34452661731463563</v>
      </c>
      <c r="G29">
        <f t="shared" ca="1" si="1"/>
        <v>10.341284599553324</v>
      </c>
      <c r="H29">
        <f t="shared" ca="1" si="2"/>
        <v>8.9631781302947804</v>
      </c>
      <c r="I29">
        <f t="shared" ca="1" si="3"/>
        <v>9.0898799999999991</v>
      </c>
    </row>
    <row r="30" spans="1:9" x14ac:dyDescent="0.25">
      <c r="A30" vm="105">
        <f ca="1"/>
        <v>45701</v>
      </c>
      <c r="B30" vm="727">
        <f ca="1"/>
        <v>9.2020999999999997</v>
      </c>
      <c r="C30" vm="728">
        <f ca="1"/>
        <v>73218126</v>
      </c>
      <c r="D30">
        <f t="shared" ca="1" si="0"/>
        <v>673760517.26460004</v>
      </c>
      <c r="E30">
        <f ca="1">SUM($D$2:D30)/SUM($C$2:C30)</f>
        <v>9.63803696513056</v>
      </c>
      <c r="F30">
        <f ca="1">_xlfn.STDEV.P($B$2:B30)</f>
        <v>0.35077028086847245</v>
      </c>
      <c r="G30">
        <f t="shared" ca="1" si="1"/>
        <v>10.339577526867505</v>
      </c>
      <c r="H30">
        <f t="shared" ca="1" si="2"/>
        <v>8.9364964033936154</v>
      </c>
      <c r="I30">
        <f t="shared" ca="1" si="3"/>
        <v>9.1075999999999997</v>
      </c>
    </row>
    <row r="31" spans="1:9" x14ac:dyDescent="0.25">
      <c r="A31" vm="109">
        <f ca="1"/>
        <v>45702</v>
      </c>
      <c r="B31" vm="475">
        <f ca="1"/>
        <v>9.33</v>
      </c>
      <c r="C31" vm="729">
        <f ca="1"/>
        <v>54642783</v>
      </c>
      <c r="D31">
        <f t="shared" ca="1" si="0"/>
        <v>509817165.38999999</v>
      </c>
      <c r="E31">
        <f ca="1">SUM($D$2:D31)/SUM($C$2:C31)</f>
        <v>9.6309543668715225</v>
      </c>
      <c r="F31">
        <f ca="1">_xlfn.STDEV.P($B$2:B31)</f>
        <v>0.35081280567023532</v>
      </c>
      <c r="G31">
        <f t="shared" ca="1" si="1"/>
        <v>10.332579978211992</v>
      </c>
      <c r="H31">
        <f t="shared" ca="1" si="2"/>
        <v>8.9293287555310528</v>
      </c>
      <c r="I31">
        <f t="shared" ca="1" si="3"/>
        <v>9.1548399999999983</v>
      </c>
    </row>
    <row r="32" spans="1:9" x14ac:dyDescent="0.25">
      <c r="A32" vm="111">
        <f ca="1"/>
        <v>45706</v>
      </c>
      <c r="B32" vm="334">
        <f ca="1"/>
        <v>9.2899999999999991</v>
      </c>
      <c r="C32" vm="730">
        <f ca="1"/>
        <v>62175764</v>
      </c>
      <c r="D32">
        <f t="shared" ca="1" si="0"/>
        <v>577612847.55999994</v>
      </c>
      <c r="E32">
        <f ca="1">SUM($D$2:D32)/SUM($C$2:C32)</f>
        <v>9.6222615958616284</v>
      </c>
      <c r="F32">
        <f ca="1">_xlfn.STDEV.P($B$2:B32)</f>
        <v>0.35178682437278602</v>
      </c>
      <c r="G32">
        <f t="shared" ca="1" si="1"/>
        <v>10.3258352446072</v>
      </c>
      <c r="H32">
        <f t="shared" ca="1" si="2"/>
        <v>8.9186879471160569</v>
      </c>
      <c r="I32">
        <f t="shared" ca="1" si="3"/>
        <v>9.1940799999999996</v>
      </c>
    </row>
    <row r="33" spans="1:9" x14ac:dyDescent="0.25">
      <c r="A33" vm="115">
        <f ca="1"/>
        <v>45707</v>
      </c>
      <c r="B33" vm="327">
        <f ca="1"/>
        <v>9.34</v>
      </c>
      <c r="C33" vm="731">
        <f ca="1"/>
        <v>50191726</v>
      </c>
      <c r="D33">
        <f t="shared" ca="1" si="0"/>
        <v>468790720.83999997</v>
      </c>
      <c r="E33">
        <f ca="1">SUM($D$2:D33)/SUM($C$2:C33)</f>
        <v>9.6165694350018729</v>
      </c>
      <c r="F33">
        <f ca="1">_xlfn.STDEV.P($B$2:B33)</f>
        <v>0.35079650969035825</v>
      </c>
      <c r="G33">
        <f t="shared" ca="1" si="1"/>
        <v>10.318162454382589</v>
      </c>
      <c r="H33">
        <f t="shared" ca="1" si="2"/>
        <v>8.9149764156211564</v>
      </c>
      <c r="I33">
        <f t="shared" ca="1" si="3"/>
        <v>9.2492199999999993</v>
      </c>
    </row>
    <row r="34" spans="1:9" x14ac:dyDescent="0.25">
      <c r="A34" vm="119">
        <f ca="1"/>
        <v>45708</v>
      </c>
      <c r="B34" vm="521">
        <f ca="1"/>
        <v>9.39</v>
      </c>
      <c r="C34" vm="732">
        <f ca="1"/>
        <v>39787792</v>
      </c>
      <c r="D34">
        <f t="shared" ca="1" si="0"/>
        <v>373607366.88</v>
      </c>
      <c r="E34">
        <f ca="1">SUM($D$2:D34)/SUM($C$2:C34)</f>
        <v>9.6130044588654009</v>
      </c>
      <c r="F34">
        <f ca="1">_xlfn.STDEV.P($B$2:B34)</f>
        <v>0.34838237046587672</v>
      </c>
      <c r="G34">
        <f t="shared" ca="1" si="1"/>
        <v>10.309769199797154</v>
      </c>
      <c r="H34">
        <f t="shared" ca="1" si="2"/>
        <v>8.9162397179336477</v>
      </c>
      <c r="I34">
        <f t="shared" ca="1" si="3"/>
        <v>9.3104199999999988</v>
      </c>
    </row>
    <row r="35" spans="1:9" x14ac:dyDescent="0.25">
      <c r="A35" vm="123">
        <f ca="1"/>
        <v>45709</v>
      </c>
      <c r="B35" vm="474">
        <f ca="1"/>
        <v>9.2799999999999994</v>
      </c>
      <c r="C35" vm="733">
        <f ca="1"/>
        <v>58437662</v>
      </c>
      <c r="D35">
        <f t="shared" ca="1" si="0"/>
        <v>542301503.36000001</v>
      </c>
      <c r="E35">
        <f ca="1">SUM($D$2:D35)/SUM($C$2:C35)</f>
        <v>9.6054825848515293</v>
      </c>
      <c r="F35">
        <f ca="1">_xlfn.STDEV.P($B$2:B35)</f>
        <v>0.34873425283494325</v>
      </c>
      <c r="G35">
        <f t="shared" ca="1" si="1"/>
        <v>10.302951090521416</v>
      </c>
      <c r="H35">
        <f t="shared" ca="1" si="2"/>
        <v>8.9080140791816422</v>
      </c>
      <c r="I35">
        <f t="shared" ca="1" si="3"/>
        <v>9.3259999999999987</v>
      </c>
    </row>
    <row r="36" spans="1:9" x14ac:dyDescent="0.25">
      <c r="A36" vm="127">
        <f ca="1"/>
        <v>45712</v>
      </c>
      <c r="B36" vm="657">
        <f ca="1"/>
        <v>9.35</v>
      </c>
      <c r="C36" vm="734">
        <f ca="1"/>
        <v>72562637</v>
      </c>
      <c r="D36">
        <f t="shared" ca="1" si="0"/>
        <v>678460655.94999993</v>
      </c>
      <c r="E36">
        <f ca="1">SUM($D$2:D36)/SUM($C$2:C36)</f>
        <v>9.5985124000169364</v>
      </c>
      <c r="F36">
        <f ca="1">_xlfn.STDEV.P($B$2:B36)</f>
        <v>0.34697604017733402</v>
      </c>
      <c r="G36">
        <f t="shared" ca="1" si="1"/>
        <v>10.292464480371605</v>
      </c>
      <c r="H36">
        <f t="shared" ca="1" si="2"/>
        <v>8.9045603196622682</v>
      </c>
      <c r="I36">
        <f t="shared" ca="1" si="3"/>
        <v>9.33</v>
      </c>
    </row>
    <row r="37" spans="1:9" x14ac:dyDescent="0.25">
      <c r="A37" vm="131">
        <f ca="1"/>
        <v>45713</v>
      </c>
      <c r="B37" vm="511">
        <f ca="1"/>
        <v>9.42</v>
      </c>
      <c r="C37" vm="735">
        <f ca="1"/>
        <v>88876827</v>
      </c>
      <c r="D37">
        <f t="shared" ca="1" si="0"/>
        <v>837219710.34000003</v>
      </c>
      <c r="E37">
        <f ca="1">SUM($D$2:D37)/SUM($C$2:C37)</f>
        <v>9.5927400646464012</v>
      </c>
      <c r="F37">
        <f ca="1">_xlfn.STDEV.P($B$2:B37)</f>
        <v>0.34380481726779699</v>
      </c>
      <c r="G37">
        <f t="shared" ca="1" si="1"/>
        <v>10.280349699181995</v>
      </c>
      <c r="H37">
        <f t="shared" ca="1" si="2"/>
        <v>8.9051304301108072</v>
      </c>
      <c r="I37">
        <f t="shared" ca="1" si="3"/>
        <v>9.3559999999999999</v>
      </c>
    </row>
    <row r="38" spans="1:9" x14ac:dyDescent="0.25">
      <c r="A38" vm="135">
        <f ca="1"/>
        <v>45714</v>
      </c>
      <c r="B38" vm="325">
        <f ca="1"/>
        <v>9.4700000000000006</v>
      </c>
      <c r="C38" vm="736">
        <f ca="1"/>
        <v>87948083</v>
      </c>
      <c r="D38">
        <f t="shared" ca="1" si="0"/>
        <v>832868346.01000011</v>
      </c>
      <c r="E38">
        <f ca="1">SUM($D$2:D38)/SUM($C$2:C38)</f>
        <v>9.5889344172118758</v>
      </c>
      <c r="F38">
        <f ca="1">_xlfn.STDEV.P($B$2:B38)</f>
        <v>0.34000913696741963</v>
      </c>
      <c r="G38">
        <f t="shared" ca="1" si="1"/>
        <v>10.268952691146715</v>
      </c>
      <c r="H38">
        <f t="shared" ca="1" si="2"/>
        <v>8.9089161432770361</v>
      </c>
      <c r="I38">
        <f t="shared" ca="1" si="3"/>
        <v>9.3820000000000014</v>
      </c>
    </row>
    <row r="39" spans="1:9" x14ac:dyDescent="0.25">
      <c r="A39" vm="139">
        <f ca="1"/>
        <v>45715</v>
      </c>
      <c r="B39" vm="334">
        <f ca="1"/>
        <v>9.2899999999999991</v>
      </c>
      <c r="C39" vm="737">
        <f ca="1"/>
        <v>70518755</v>
      </c>
      <c r="D39">
        <f t="shared" ca="1" si="0"/>
        <v>655119233.94999993</v>
      </c>
      <c r="E39">
        <f ca="1">SUM($D$2:D39)/SUM($C$2:C39)</f>
        <v>9.581682858460038</v>
      </c>
      <c r="F39">
        <f ca="1">_xlfn.STDEV.P($B$2:B39)</f>
        <v>0.3395606872598918</v>
      </c>
      <c r="G39">
        <f t="shared" ca="1" si="1"/>
        <v>10.260804232979822</v>
      </c>
      <c r="H39">
        <f t="shared" ca="1" si="2"/>
        <v>8.9025614839402536</v>
      </c>
      <c r="I39">
        <f t="shared" ca="1" si="3"/>
        <v>9.3619999999999983</v>
      </c>
    </row>
    <row r="40" spans="1:9" x14ac:dyDescent="0.25">
      <c r="A40" vm="143">
        <f ca="1"/>
        <v>45716</v>
      </c>
      <c r="B40" vm="738">
        <f ca="1"/>
        <v>9.5500000000000007</v>
      </c>
      <c r="C40" vm="739">
        <f ca="1"/>
        <v>137992574</v>
      </c>
      <c r="D40">
        <f t="shared" ca="1" si="0"/>
        <v>1317829081.7</v>
      </c>
      <c r="E40">
        <f ca="1">SUM($D$2:D40)/SUM($C$2:C40)</f>
        <v>9.5802470719479693</v>
      </c>
      <c r="F40">
        <f ca="1">_xlfn.STDEV.P($B$2:B40)</f>
        <v>0.33530554186246586</v>
      </c>
      <c r="G40">
        <f t="shared" ca="1" si="1"/>
        <v>10.250858155672901</v>
      </c>
      <c r="H40">
        <f t="shared" ca="1" si="2"/>
        <v>8.9096359882230374</v>
      </c>
      <c r="I40">
        <f t="shared" ca="1" si="3"/>
        <v>9.4160000000000004</v>
      </c>
    </row>
    <row r="41" spans="1:9" x14ac:dyDescent="0.25">
      <c r="A41" vm="147">
        <f ca="1"/>
        <v>45719</v>
      </c>
      <c r="B41" vm="521">
        <f ca="1"/>
        <v>9.39</v>
      </c>
      <c r="C41" vm="740">
        <f ca="1"/>
        <v>154435905</v>
      </c>
      <c r="D41">
        <f t="shared" ca="1" si="0"/>
        <v>1450153147.95</v>
      </c>
      <c r="E41">
        <f ca="1">SUM($D$2:D41)/SUM($C$2:C41)</f>
        <v>9.5710639557830053</v>
      </c>
      <c r="F41">
        <f ca="1">_xlfn.STDEV.P($B$2:B41)</f>
        <v>0.33281280245056694</v>
      </c>
      <c r="G41">
        <f t="shared" ca="1" si="1"/>
        <v>10.236689560684139</v>
      </c>
      <c r="H41">
        <f t="shared" ca="1" si="2"/>
        <v>8.9054383508818713</v>
      </c>
      <c r="I41">
        <f t="shared" ca="1" si="3"/>
        <v>9.4240000000000013</v>
      </c>
    </row>
    <row r="42" spans="1:9" x14ac:dyDescent="0.25">
      <c r="A42" vm="151">
        <f ca="1"/>
        <v>45720</v>
      </c>
      <c r="B42" vm="323">
        <f ca="1"/>
        <v>9.1199999999999992</v>
      </c>
      <c r="C42" vm="741">
        <f ca="1"/>
        <v>167499954</v>
      </c>
      <c r="D42">
        <f t="shared" ca="1" si="0"/>
        <v>1527599580.4799998</v>
      </c>
      <c r="E42">
        <f ca="1">SUM($D$2:D42)/SUM($C$2:C42)</f>
        <v>9.5486243437174938</v>
      </c>
      <c r="F42">
        <f ca="1">_xlfn.STDEV.P($B$2:B42)</f>
        <v>0.33701040075954208</v>
      </c>
      <c r="G42">
        <f t="shared" ca="1" si="1"/>
        <v>10.222645145236578</v>
      </c>
      <c r="H42">
        <f t="shared" ca="1" si="2"/>
        <v>8.8746035421984093</v>
      </c>
      <c r="I42">
        <f t="shared" ca="1" si="3"/>
        <v>9.3640000000000008</v>
      </c>
    </row>
    <row r="43" spans="1:9" x14ac:dyDescent="0.25">
      <c r="A43" vm="155">
        <f ca="1"/>
        <v>45721</v>
      </c>
      <c r="B43" vm="484">
        <f ca="1"/>
        <v>9.65</v>
      </c>
      <c r="C43" vm="742">
        <f ca="1"/>
        <v>157774904</v>
      </c>
      <c r="D43">
        <f t="shared" ca="1" si="0"/>
        <v>1522527823.6000001</v>
      </c>
      <c r="E43">
        <f ca="1">SUM($D$2:D43)/SUM($C$2:C43)</f>
        <v>9.5531621464005934</v>
      </c>
      <c r="F43">
        <f ca="1">_xlfn.STDEV.P($B$2:B43)</f>
        <v>0.33310148399467671</v>
      </c>
      <c r="G43">
        <f t="shared" ca="1" si="1"/>
        <v>10.219365114389946</v>
      </c>
      <c r="H43">
        <f t="shared" ca="1" si="2"/>
        <v>8.8869591784112405</v>
      </c>
      <c r="I43">
        <f t="shared" ca="1" si="3"/>
        <v>9.4</v>
      </c>
    </row>
    <row r="44" spans="1:9" x14ac:dyDescent="0.25">
      <c r="A44" vm="159">
        <f ca="1"/>
        <v>45722</v>
      </c>
      <c r="B44" vm="528">
        <f ca="1"/>
        <v>9.61</v>
      </c>
      <c r="C44" vm="743">
        <f ca="1"/>
        <v>136680746</v>
      </c>
      <c r="D44">
        <f t="shared" ca="1" si="0"/>
        <v>1313501969.0599999</v>
      </c>
      <c r="E44">
        <f ca="1">SUM($D$2:D44)/SUM($C$2:C44)</f>
        <v>9.555283907203945</v>
      </c>
      <c r="F44">
        <f ca="1">_xlfn.STDEV.P($B$2:B44)</f>
        <v>0.32921782421597945</v>
      </c>
      <c r="G44">
        <f t="shared" ca="1" si="1"/>
        <v>10.213719555635905</v>
      </c>
      <c r="H44">
        <f t="shared" ca="1" si="2"/>
        <v>8.8968482587719855</v>
      </c>
      <c r="I44">
        <f t="shared" ca="1" si="3"/>
        <v>9.4640000000000004</v>
      </c>
    </row>
    <row r="45" spans="1:9" x14ac:dyDescent="0.25">
      <c r="A45" vm="162">
        <f ca="1"/>
        <v>45723</v>
      </c>
      <c r="B45" vm="539">
        <f ca="1"/>
        <v>9.9</v>
      </c>
      <c r="C45" vm="744">
        <f ca="1"/>
        <v>150644884</v>
      </c>
      <c r="D45">
        <f t="shared" ca="1" si="0"/>
        <v>1491384351.6000001</v>
      </c>
      <c r="E45">
        <f ca="1">SUM($D$2:D45)/SUM($C$2:C45)</f>
        <v>9.5689063999695296</v>
      </c>
      <c r="F45">
        <f ca="1">_xlfn.STDEV.P($B$2:B45)</f>
        <v>0.32868703057809867</v>
      </c>
      <c r="G45">
        <f t="shared" ca="1" si="1"/>
        <v>10.226280461125727</v>
      </c>
      <c r="H45">
        <f t="shared" ca="1" si="2"/>
        <v>8.9115323388133323</v>
      </c>
      <c r="I45">
        <f t="shared" ca="1" si="3"/>
        <v>9.5339999999999989</v>
      </c>
    </row>
    <row r="46" spans="1:9" x14ac:dyDescent="0.25">
      <c r="A46" vm="165">
        <f ca="1"/>
        <v>45726</v>
      </c>
      <c r="B46" vm="745">
        <f ca="1"/>
        <v>9.9600000000000009</v>
      </c>
      <c r="C46" vm="746">
        <f ca="1"/>
        <v>167183809</v>
      </c>
      <c r="D46">
        <f t="shared" ca="1" si="0"/>
        <v>1665150737.6400001</v>
      </c>
      <c r="E46">
        <f ca="1">SUM($D$2:D46)/SUM($C$2:C46)</f>
        <v>9.5853378060082548</v>
      </c>
      <c r="F46">
        <f ca="1">_xlfn.STDEV.P($B$2:B46)</f>
        <v>0.32935386685125878</v>
      </c>
      <c r="G46">
        <f t="shared" ca="1" si="1"/>
        <v>10.244045539710772</v>
      </c>
      <c r="H46">
        <f t="shared" ca="1" si="2"/>
        <v>8.9266300723057377</v>
      </c>
      <c r="I46">
        <f t="shared" ca="1" si="3"/>
        <v>9.6479999999999997</v>
      </c>
    </row>
    <row r="47" spans="1:9" x14ac:dyDescent="0.25">
      <c r="A47" vm="169">
        <f ca="1"/>
        <v>45727</v>
      </c>
      <c r="B47" vm="485">
        <f ca="1"/>
        <v>9.69</v>
      </c>
      <c r="C47" vm="747">
        <f ca="1"/>
        <v>210126974</v>
      </c>
      <c r="D47">
        <f t="shared" ca="1" si="0"/>
        <v>2036130378.0599999</v>
      </c>
      <c r="E47">
        <f ca="1">SUM($D$2:D47)/SUM($C$2:C47)</f>
        <v>9.5905873692947683</v>
      </c>
      <c r="F47">
        <f ca="1">_xlfn.STDEV.P($B$2:B47)</f>
        <v>0.32598161434695921</v>
      </c>
      <c r="G47">
        <f t="shared" ca="1" si="1"/>
        <v>10.242550597988687</v>
      </c>
      <c r="H47">
        <f t="shared" ca="1" si="2"/>
        <v>8.9386241406008491</v>
      </c>
      <c r="I47">
        <f t="shared" ca="1" si="3"/>
        <v>9.7619999999999987</v>
      </c>
    </row>
    <row r="48" spans="1:9" x14ac:dyDescent="0.25">
      <c r="A48" vm="172">
        <f ca="1"/>
        <v>45728</v>
      </c>
      <c r="B48" vm="748">
        <f ca="1"/>
        <v>9.59</v>
      </c>
      <c r="C48" vm="749">
        <f ca="1"/>
        <v>129994592</v>
      </c>
      <c r="D48">
        <f t="shared" ca="1" si="0"/>
        <v>1246648137.28</v>
      </c>
      <c r="E48">
        <f ca="1">SUM($D$2:D48)/SUM($C$2:C48)</f>
        <v>9.5905696919551033</v>
      </c>
      <c r="F48">
        <f ca="1">_xlfn.STDEV.P($B$2:B48)</f>
        <v>0.3225059431093919</v>
      </c>
      <c r="G48">
        <f t="shared" ca="1" si="1"/>
        <v>10.235581578173887</v>
      </c>
      <c r="H48">
        <f t="shared" ca="1" si="2"/>
        <v>8.9455578057363194</v>
      </c>
      <c r="I48">
        <f t="shared" ca="1" si="3"/>
        <v>9.75</v>
      </c>
    </row>
    <row r="49" spans="1:9" x14ac:dyDescent="0.25">
      <c r="A49" vm="176">
        <f ca="1"/>
        <v>45729</v>
      </c>
      <c r="B49" vm="402">
        <f ca="1"/>
        <v>9.5299999999999994</v>
      </c>
      <c r="C49" vm="750">
        <f ca="1"/>
        <v>137747632</v>
      </c>
      <c r="D49">
        <f t="shared" ca="1" si="0"/>
        <v>1312734932.9599998</v>
      </c>
      <c r="E49">
        <f ca="1">SUM($D$2:D49)/SUM($C$2:C49)</f>
        <v>9.5886977767343406</v>
      </c>
      <c r="F49">
        <f ca="1">_xlfn.STDEV.P($B$2:B49)</f>
        <v>0.31932298236420797</v>
      </c>
      <c r="G49">
        <f t="shared" ca="1" si="1"/>
        <v>10.227343741462757</v>
      </c>
      <c r="H49">
        <f t="shared" ca="1" si="2"/>
        <v>8.950051812005924</v>
      </c>
      <c r="I49">
        <f t="shared" ca="1" si="3"/>
        <v>9.734</v>
      </c>
    </row>
    <row r="50" spans="1:9" x14ac:dyDescent="0.25">
      <c r="A50" vm="178">
        <f ca="1"/>
        <v>45730</v>
      </c>
      <c r="B50" vm="751">
        <f ca="1"/>
        <v>9.73</v>
      </c>
      <c r="C50" vm="752">
        <f ca="1"/>
        <v>91313759</v>
      </c>
      <c r="D50">
        <f t="shared" ca="1" si="0"/>
        <v>888482875.07000005</v>
      </c>
      <c r="E50">
        <f ca="1">SUM($D$2:D50)/SUM($C$2:C50)</f>
        <v>9.5915345479916372</v>
      </c>
      <c r="F50">
        <f ca="1">_xlfn.STDEV.P($B$2:B50)</f>
        <v>0.31653114629094814</v>
      </c>
      <c r="G50">
        <f t="shared" ca="1" si="1"/>
        <v>10.224596840573533</v>
      </c>
      <c r="H50">
        <f t="shared" ca="1" si="2"/>
        <v>8.9584722554097418</v>
      </c>
      <c r="I50">
        <f t="shared" ca="1" si="3"/>
        <v>9.6999999999999993</v>
      </c>
    </row>
    <row r="51" spans="1:9" x14ac:dyDescent="0.25">
      <c r="A51" vm="182">
        <f ca="1"/>
        <v>45733</v>
      </c>
      <c r="B51" vm="753">
        <f ca="1"/>
        <v>9.92</v>
      </c>
      <c r="C51" vm="754">
        <f ca="1"/>
        <v>98583068</v>
      </c>
      <c r="D51">
        <f t="shared" ca="1" si="0"/>
        <v>977944034.55999994</v>
      </c>
      <c r="E51">
        <f ca="1">SUM($D$2:D51)/SUM($C$2:C51)</f>
        <v>9.5985027179835232</v>
      </c>
      <c r="F51">
        <f ca="1">_xlfn.STDEV.P($B$2:B51)</f>
        <v>0.31636316255847502</v>
      </c>
      <c r="G51">
        <f t="shared" ca="1" si="1"/>
        <v>10.231229043100473</v>
      </c>
      <c r="H51">
        <f t="shared" ca="1" si="2"/>
        <v>8.965776392866573</v>
      </c>
      <c r="I51">
        <f t="shared" ca="1" si="3"/>
        <v>9.6920000000000019</v>
      </c>
    </row>
    <row r="52" spans="1:9" x14ac:dyDescent="0.25">
      <c r="A52" vm="185">
        <f ca="1"/>
        <v>45734</v>
      </c>
      <c r="B52" vm="755">
        <f ca="1"/>
        <v>9.9499999999999993</v>
      </c>
      <c r="C52" vm="756">
        <f ca="1"/>
        <v>102730930</v>
      </c>
      <c r="D52">
        <f t="shared" ca="1" si="0"/>
        <v>1022172753.4999999</v>
      </c>
      <c r="E52">
        <f ca="1">SUM($D$2:D52)/SUM($C$2:C52)</f>
        <v>9.6061051680963416</v>
      </c>
      <c r="F52">
        <f ca="1">_xlfn.STDEV.P($B$2:B52)</f>
        <v>0.31666946722491357</v>
      </c>
      <c r="G52">
        <f t="shared" ca="1" si="1"/>
        <v>10.23944410254617</v>
      </c>
      <c r="H52">
        <f t="shared" ca="1" si="2"/>
        <v>8.9727662336465137</v>
      </c>
      <c r="I52">
        <f t="shared" ca="1" si="3"/>
        <v>9.7439999999999998</v>
      </c>
    </row>
    <row r="53" spans="1:9" x14ac:dyDescent="0.25">
      <c r="A53" vm="189">
        <f ca="1"/>
        <v>45735</v>
      </c>
      <c r="B53" vm="757">
        <f ca="1"/>
        <v>10.17</v>
      </c>
      <c r="C53" vm="758">
        <f ca="1"/>
        <v>124697379</v>
      </c>
      <c r="D53">
        <f t="shared" ca="1" si="0"/>
        <v>1268172344.4300001</v>
      </c>
      <c r="E53">
        <f ca="1">SUM($D$2:D53)/SUM($C$2:C53)</f>
        <v>9.6205306776747381</v>
      </c>
      <c r="F53">
        <f ca="1">_xlfn.STDEV.P($B$2:B53)</f>
        <v>0.32252518604923675</v>
      </c>
      <c r="G53">
        <f t="shared" ca="1" si="1"/>
        <v>10.265581049773212</v>
      </c>
      <c r="H53">
        <f t="shared" ca="1" si="2"/>
        <v>8.975480305576264</v>
      </c>
      <c r="I53">
        <f t="shared" ca="1" si="3"/>
        <v>9.86</v>
      </c>
    </row>
    <row r="54" spans="1:9" x14ac:dyDescent="0.25">
      <c r="A54" vm="193">
        <f ca="1"/>
        <v>45736</v>
      </c>
      <c r="B54" vm="759">
        <f ca="1"/>
        <v>10.01</v>
      </c>
      <c r="C54" vm="760">
        <f ca="1"/>
        <v>109103733</v>
      </c>
      <c r="D54">
        <f t="shared" ca="1" si="0"/>
        <v>1092128367.3299999</v>
      </c>
      <c r="E54">
        <f ca="1">SUM($D$2:D54)/SUM($C$2:C54)</f>
        <v>9.6290572608814706</v>
      </c>
      <c r="F54">
        <f ca="1">_xlfn.STDEV.P($B$2:B54)</f>
        <v>0.32357723684185086</v>
      </c>
      <c r="G54">
        <f t="shared" ca="1" si="1"/>
        <v>10.276211734565173</v>
      </c>
      <c r="H54">
        <f t="shared" ca="1" si="2"/>
        <v>8.9819027871977681</v>
      </c>
      <c r="I54">
        <f t="shared" ca="1" si="3"/>
        <v>9.9559999999999995</v>
      </c>
    </row>
    <row r="55" spans="1:9" x14ac:dyDescent="0.25">
      <c r="A55" vm="197">
        <f ca="1"/>
        <v>45737</v>
      </c>
      <c r="B55" vm="401">
        <f ca="1"/>
        <v>10</v>
      </c>
      <c r="C55" vm="761">
        <f ca="1"/>
        <v>240638631</v>
      </c>
      <c r="D55">
        <f t="shared" ca="1" si="0"/>
        <v>2406386310</v>
      </c>
      <c r="E55">
        <f ca="1">SUM($D$2:D55)/SUM($C$2:C55)</f>
        <v>9.646143808319783</v>
      </c>
      <c r="F55">
        <f ca="1">_xlfn.STDEV.P($B$2:B55)</f>
        <v>0.32423417518308123</v>
      </c>
      <c r="G55">
        <f t="shared" ca="1" si="1"/>
        <v>10.294612158685945</v>
      </c>
      <c r="H55">
        <f t="shared" ca="1" si="2"/>
        <v>8.9976754579536209</v>
      </c>
      <c r="I55">
        <f t="shared" ca="1" si="3"/>
        <v>10.01</v>
      </c>
    </row>
    <row r="56" spans="1:9" x14ac:dyDescent="0.25">
      <c r="A56" vm="199">
        <f ca="1"/>
        <v>45740</v>
      </c>
      <c r="B56" vm="762">
        <f ca="1"/>
        <v>10.25</v>
      </c>
      <c r="C56" vm="763">
        <f ca="1"/>
        <v>102847191</v>
      </c>
      <c r="D56">
        <f t="shared" ca="1" si="0"/>
        <v>1054183707.75</v>
      </c>
      <c r="E56">
        <f ca="1">SUM($D$2:D56)/SUM($C$2:C56)</f>
        <v>9.6578022704538249</v>
      </c>
      <c r="F56">
        <f ca="1">_xlfn.STDEV.P($B$2:B56)</f>
        <v>0.33125350341387638</v>
      </c>
      <c r="G56">
        <f t="shared" ca="1" si="1"/>
        <v>10.320309277281577</v>
      </c>
      <c r="H56">
        <f t="shared" ca="1" si="2"/>
        <v>8.9952952636260726</v>
      </c>
      <c r="I56">
        <f t="shared" ca="1" si="3"/>
        <v>10.075999999999999</v>
      </c>
    </row>
    <row r="57" spans="1:9" x14ac:dyDescent="0.25">
      <c r="A57" vm="203">
        <f ca="1"/>
        <v>45741</v>
      </c>
      <c r="B57" vm="764">
        <f ca="1"/>
        <v>10.29</v>
      </c>
      <c r="C57" vm="765">
        <f ca="1"/>
        <v>83674856</v>
      </c>
      <c r="D57">
        <f t="shared" ca="1" si="0"/>
        <v>861014268.23999989</v>
      </c>
      <c r="E57">
        <f ca="1">SUM($D$2:D57)/SUM($C$2:C57)</f>
        <v>9.6675790203314858</v>
      </c>
      <c r="F57">
        <f ca="1">_xlfn.STDEV.P($B$2:B57)</f>
        <v>0.33881752258360831</v>
      </c>
      <c r="G57">
        <f t="shared" ca="1" si="1"/>
        <v>10.345214065498702</v>
      </c>
      <c r="H57">
        <f t="shared" ca="1" si="2"/>
        <v>8.9899439751642696</v>
      </c>
      <c r="I57">
        <f t="shared" ca="1" si="3"/>
        <v>10.144</v>
      </c>
    </row>
    <row r="58" spans="1:9" x14ac:dyDescent="0.25">
      <c r="A58" vm="207">
        <f ca="1"/>
        <v>45742</v>
      </c>
      <c r="B58" vm="166">
        <f ca="1"/>
        <v>10.3</v>
      </c>
      <c r="C58" vm="766">
        <f ca="1"/>
        <v>140975582</v>
      </c>
      <c r="D58">
        <f t="shared" ca="1" si="0"/>
        <v>1452048494.6000001</v>
      </c>
      <c r="E58">
        <f ca="1">SUM($D$2:D58)/SUM($C$2:C58)</f>
        <v>9.6836383028253579</v>
      </c>
      <c r="F58">
        <f ca="1">_xlfn.STDEV.P($B$2:B58)</f>
        <v>0.34592149575444481</v>
      </c>
      <c r="G58">
        <f t="shared" ca="1" si="1"/>
        <v>10.375481294334248</v>
      </c>
      <c r="H58">
        <f t="shared" ca="1" si="2"/>
        <v>8.9917953113164675</v>
      </c>
      <c r="I58">
        <f t="shared" ca="1" si="3"/>
        <v>10.169999999999998</v>
      </c>
    </row>
    <row r="59" spans="1:9" x14ac:dyDescent="0.25">
      <c r="A59" vm="209">
        <f ca="1"/>
        <v>45743</v>
      </c>
      <c r="B59" vm="539">
        <f ca="1"/>
        <v>9.9</v>
      </c>
      <c r="C59" vm="767">
        <f ca="1"/>
        <v>229032469</v>
      </c>
      <c r="D59">
        <f t="shared" ca="1" si="0"/>
        <v>2267421443.0999999</v>
      </c>
      <c r="E59">
        <f ca="1">SUM($D$2:D59)/SUM($C$2:C59)</f>
        <v>9.6922105848075812</v>
      </c>
      <c r="F59">
        <f ca="1">_xlfn.STDEV.P($B$2:B59)</f>
        <v>0.34412699049709117</v>
      </c>
      <c r="G59">
        <f t="shared" ca="1" si="1"/>
        <v>10.380464565801763</v>
      </c>
      <c r="H59">
        <f t="shared" ca="1" si="2"/>
        <v>9.0039566038133998</v>
      </c>
      <c r="I59">
        <f t="shared" ca="1" si="3"/>
        <v>10.148</v>
      </c>
    </row>
    <row r="60" spans="1:9" x14ac:dyDescent="0.25">
      <c r="A60" vm="212">
        <f ca="1"/>
        <v>45744</v>
      </c>
      <c r="B60" vm="768">
        <f ca="1"/>
        <v>9.7200000000000006</v>
      </c>
      <c r="C60" vm="769">
        <f ca="1"/>
        <v>136868327</v>
      </c>
      <c r="D60">
        <f t="shared" ca="1" si="0"/>
        <v>1330360138.4400001</v>
      </c>
      <c r="E60">
        <f ca="1">SUM($D$2:D60)/SUM($C$2:C60)</f>
        <v>9.692853329565791</v>
      </c>
      <c r="F60">
        <f ca="1">_xlfn.STDEV.P($B$2:B60)</f>
        <v>0.34123131717127464</v>
      </c>
      <c r="G60">
        <f t="shared" ca="1" si="1"/>
        <v>10.37531596390834</v>
      </c>
      <c r="H60">
        <f t="shared" ca="1" si="2"/>
        <v>9.0103906952232418</v>
      </c>
      <c r="I60">
        <f t="shared" ca="1" si="3"/>
        <v>10.092000000000001</v>
      </c>
    </row>
    <row r="61" spans="1:9" x14ac:dyDescent="0.25">
      <c r="A61" vm="216">
        <f ca="1"/>
        <v>45747</v>
      </c>
      <c r="B61" vm="770">
        <f ca="1"/>
        <v>10.029999999999999</v>
      </c>
      <c r="C61" vm="771">
        <f ca="1"/>
        <v>139951868</v>
      </c>
      <c r="D61">
        <f t="shared" ca="1" si="0"/>
        <v>1403717236.04</v>
      </c>
      <c r="E61">
        <f ca="1">SUM($D$2:D61)/SUM($C$2:C61)</f>
        <v>9.7006426967207275</v>
      </c>
      <c r="F61">
        <f ca="1">_xlfn.STDEV.P($B$2:B61)</f>
        <v>0.34126605894651896</v>
      </c>
      <c r="G61">
        <f t="shared" ca="1" si="1"/>
        <v>10.383174814613765</v>
      </c>
      <c r="H61">
        <f t="shared" ca="1" si="2"/>
        <v>9.0181105788276898</v>
      </c>
      <c r="I61">
        <f t="shared" ca="1" si="3"/>
        <v>10.048</v>
      </c>
    </row>
    <row r="62" spans="1:9" x14ac:dyDescent="0.25">
      <c r="A62" vm="220">
        <f ca="1"/>
        <v>45748</v>
      </c>
      <c r="B62" vm="525">
        <f ca="1"/>
        <v>9.94</v>
      </c>
      <c r="C62" vm="772">
        <f ca="1"/>
        <v>135388684</v>
      </c>
      <c r="D62">
        <f t="shared" ca="1" si="0"/>
        <v>1345763518.96</v>
      </c>
      <c r="E62">
        <f ca="1">SUM($D$2:D62)/SUM($C$2:C62)</f>
        <v>9.705875493185582</v>
      </c>
      <c r="F62">
        <f ca="1">_xlfn.STDEV.P($B$2:B62)</f>
        <v>0.33994796445636716</v>
      </c>
      <c r="G62">
        <f t="shared" ca="1" si="1"/>
        <v>10.385771422098315</v>
      </c>
      <c r="H62">
        <f t="shared" ca="1" si="2"/>
        <v>9.0259795642728484</v>
      </c>
      <c r="I62">
        <f t="shared" ca="1" si="3"/>
        <v>9.9779999999999998</v>
      </c>
    </row>
    <row r="63" spans="1:9" x14ac:dyDescent="0.25">
      <c r="A63" vm="223">
        <f ca="1"/>
        <v>45749</v>
      </c>
      <c r="B63" vm="773">
        <f ca="1"/>
        <v>10.15</v>
      </c>
      <c r="C63" vm="774">
        <f ca="1"/>
        <v>136908485</v>
      </c>
      <c r="D63">
        <f t="shared" ca="1" si="0"/>
        <v>1389621122.75</v>
      </c>
      <c r="E63">
        <f ca="1">SUM($D$2:D63)/SUM($C$2:C63)</f>
        <v>9.7154815116549216</v>
      </c>
      <c r="F63">
        <f ca="1">_xlfn.STDEV.P($B$2:B63)</f>
        <v>0.3420601995626939</v>
      </c>
      <c r="G63">
        <f t="shared" ca="1" si="1"/>
        <v>10.399601910780309</v>
      </c>
      <c r="H63">
        <f t="shared" ca="1" si="2"/>
        <v>9.0313611125295346</v>
      </c>
      <c r="I63">
        <f t="shared" ca="1" si="3"/>
        <v>9.9479999999999986</v>
      </c>
    </row>
    <row r="64" spans="1:9" x14ac:dyDescent="0.25">
      <c r="A64" vm="224">
        <f ca="1"/>
        <v>45750</v>
      </c>
      <c r="B64" vm="326">
        <f ca="1"/>
        <v>9.5399999999999991</v>
      </c>
      <c r="C64" vm="775">
        <f ca="1"/>
        <v>220270980</v>
      </c>
      <c r="D64">
        <f t="shared" ca="1" si="0"/>
        <v>2101385149.1999998</v>
      </c>
      <c r="E64">
        <f ca="1">SUM($D$2:D64)/SUM($C$2:C64)</f>
        <v>9.7095803025452163</v>
      </c>
      <c r="F64">
        <f ca="1">_xlfn.STDEV.P($B$2:B64)</f>
        <v>0.33993089690212397</v>
      </c>
      <c r="G64">
        <f t="shared" ca="1" si="1"/>
        <v>10.389442096349464</v>
      </c>
      <c r="H64">
        <f t="shared" ca="1" si="2"/>
        <v>9.0297185087409684</v>
      </c>
      <c r="I64">
        <f t="shared" ca="1" si="3"/>
        <v>9.8759999999999994</v>
      </c>
    </row>
    <row r="65" spans="1:9" x14ac:dyDescent="0.25">
      <c r="A65" vm="227">
        <f ca="1"/>
        <v>45751</v>
      </c>
      <c r="B65" vm="408">
        <f ca="1"/>
        <v>9.58</v>
      </c>
      <c r="C65" vm="776">
        <f ca="1"/>
        <v>177466228</v>
      </c>
      <c r="D65">
        <f t="shared" ca="1" si="0"/>
        <v>1700126464.24</v>
      </c>
      <c r="E65">
        <f ca="1">SUM($D$2:D65)/SUM($C$2:C65)</f>
        <v>9.7061621062228767</v>
      </c>
      <c r="F65">
        <f ca="1">_xlfn.STDEV.P($B$2:B65)</f>
        <v>0.33758462988409954</v>
      </c>
      <c r="G65">
        <f t="shared" ca="1" si="1"/>
        <v>10.381331365991075</v>
      </c>
      <c r="H65">
        <f t="shared" ca="1" si="2"/>
        <v>9.0309928464546783</v>
      </c>
      <c r="I65">
        <f t="shared" ca="1" si="3"/>
        <v>9.847999999999999</v>
      </c>
    </row>
    <row r="66" spans="1:9" x14ac:dyDescent="0.25">
      <c r="A66" vm="231">
        <f ca="1"/>
        <v>45754</v>
      </c>
      <c r="B66" vm="451">
        <f ca="1"/>
        <v>9.24</v>
      </c>
      <c r="C66" vm="777">
        <f ca="1"/>
        <v>274938497</v>
      </c>
      <c r="D66">
        <f t="shared" ca="1" si="0"/>
        <v>2540431712.2800002</v>
      </c>
      <c r="E66">
        <f ca="1">SUM($D$2:D66)/SUM($C$2:C66)</f>
        <v>9.687859228584621</v>
      </c>
      <c r="F66">
        <f ca="1">_xlfn.STDEV.P($B$2:B66)</f>
        <v>0.33965938276194424</v>
      </c>
      <c r="G66">
        <f t="shared" ca="1" si="1"/>
        <v>10.367177994108509</v>
      </c>
      <c r="H66">
        <f t="shared" ca="1" si="2"/>
        <v>9.0085404630607329</v>
      </c>
      <c r="I66">
        <f t="shared" ca="1" si="3"/>
        <v>9.6900000000000013</v>
      </c>
    </row>
    <row r="67" spans="1:9" x14ac:dyDescent="0.25">
      <c r="A67" vm="235">
        <f ca="1"/>
        <v>45755</v>
      </c>
      <c r="B67" vm="287">
        <f ca="1"/>
        <v>8.69</v>
      </c>
      <c r="C67" vm="778">
        <f ca="1"/>
        <v>199286778</v>
      </c>
      <c r="D67">
        <f t="shared" ref="D67:D130" ca="1" si="4">B67*C67</f>
        <v>1731802100.8199999</v>
      </c>
      <c r="E67">
        <f ca="1">SUM($D$2:D67)/SUM($C$2:C67)</f>
        <v>9.6602466173883492</v>
      </c>
      <c r="F67">
        <f ca="1">_xlfn.STDEV.P($B$2:B67)</f>
        <v>0.35851137856183934</v>
      </c>
      <c r="G67">
        <f t="shared" ref="G67:G130" ca="1" si="5">IF(E67="","", E67 + (F67*2))</f>
        <v>10.377269374512029</v>
      </c>
      <c r="H67">
        <f t="shared" ref="H67:H130" ca="1" si="6">IF(E67="","", E67 - (F67*2))</f>
        <v>8.9432238602646699</v>
      </c>
      <c r="I67">
        <f t="shared" ca="1" si="3"/>
        <v>9.44</v>
      </c>
    </row>
    <row r="68" spans="1:9" x14ac:dyDescent="0.25">
      <c r="A68" vm="239">
        <f ca="1"/>
        <v>45756</v>
      </c>
      <c r="B68" vm="321">
        <f ca="1"/>
        <v>9.5</v>
      </c>
      <c r="C68" vm="779">
        <f ca="1"/>
        <v>199662988</v>
      </c>
      <c r="D68">
        <f t="shared" ca="1" si="4"/>
        <v>1896798386</v>
      </c>
      <c r="E68">
        <f ca="1">SUM($D$2:D68)/SUM($C$2:C68)</f>
        <v>9.6559237728749245</v>
      </c>
      <c r="F68">
        <f ca="1">_xlfn.STDEV.P($B$2:B68)</f>
        <v>0.35645405529992769</v>
      </c>
      <c r="G68">
        <f t="shared" ca="1" si="5"/>
        <v>10.36883188347478</v>
      </c>
      <c r="H68">
        <f t="shared" ca="1" si="6"/>
        <v>8.9430156622750694</v>
      </c>
      <c r="I68">
        <f t="shared" ca="1" si="3"/>
        <v>9.3099999999999987</v>
      </c>
    </row>
    <row r="69" spans="1:9" x14ac:dyDescent="0.25">
      <c r="A69" vm="243">
        <f ca="1"/>
        <v>45757</v>
      </c>
      <c r="B69" vm="516">
        <f ca="1"/>
        <v>9.14</v>
      </c>
      <c r="C69" vm="780">
        <f ca="1"/>
        <v>163535434</v>
      </c>
      <c r="D69">
        <f t="shared" ca="1" si="4"/>
        <v>1494713866.76</v>
      </c>
      <c r="E69">
        <f ca="1">SUM($D$2:D69)/SUM($C$2:C69)</f>
        <v>9.644770834581978</v>
      </c>
      <c r="F69">
        <f ca="1">_xlfn.STDEV.P($B$2:B69)</f>
        <v>0.35956853990239934</v>
      </c>
      <c r="G69">
        <f t="shared" ca="1" si="5"/>
        <v>10.363907914386777</v>
      </c>
      <c r="H69">
        <f t="shared" ca="1" si="6"/>
        <v>8.9256337547771789</v>
      </c>
      <c r="I69">
        <f t="shared" ca="1" si="3"/>
        <v>9.23</v>
      </c>
    </row>
    <row r="70" spans="1:9" x14ac:dyDescent="0.25">
      <c r="A70" vm="247">
        <f ca="1"/>
        <v>45758</v>
      </c>
      <c r="B70" vm="475">
        <f ca="1"/>
        <v>9.33</v>
      </c>
      <c r="C70" vm="781">
        <f ca="1"/>
        <v>146073701</v>
      </c>
      <c r="D70">
        <f t="shared" ca="1" si="4"/>
        <v>1362867630.3299999</v>
      </c>
      <c r="E70">
        <f ca="1">SUM($D$2:D70)/SUM($C$2:C70)</f>
        <v>9.638808003964396</v>
      </c>
      <c r="F70">
        <f ca="1">_xlfn.STDEV.P($B$2:B70)</f>
        <v>0.35917871385371974</v>
      </c>
      <c r="G70">
        <f t="shared" ca="1" si="5"/>
        <v>10.357165431671836</v>
      </c>
      <c r="H70">
        <f t="shared" ca="1" si="6"/>
        <v>8.9204505762569557</v>
      </c>
      <c r="I70">
        <f t="shared" ca="1" si="3"/>
        <v>9.18</v>
      </c>
    </row>
    <row r="71" spans="1:9" x14ac:dyDescent="0.25">
      <c r="A71" vm="251">
        <f ca="1"/>
        <v>45761</v>
      </c>
      <c r="B71" vm="674">
        <f ca="1"/>
        <v>9.7100000000000009</v>
      </c>
      <c r="C71" vm="782">
        <f ca="1"/>
        <v>189955001</v>
      </c>
      <c r="D71">
        <f t="shared" ca="1" si="4"/>
        <v>1844463059.7100003</v>
      </c>
      <c r="E71">
        <f ca="1">SUM($D$2:D71)/SUM($C$2:C71)</f>
        <v>9.6405195912468375</v>
      </c>
      <c r="F71">
        <f ca="1">_xlfn.STDEV.P($B$2:B71)</f>
        <v>0.3566549006464122</v>
      </c>
      <c r="G71">
        <f t="shared" ca="1" si="5"/>
        <v>10.353829392539662</v>
      </c>
      <c r="H71">
        <f t="shared" ca="1" si="6"/>
        <v>8.9272097899540128</v>
      </c>
      <c r="I71">
        <f t="shared" ref="I71:I134" ca="1" si="7">AVERAGE(B67:B71)</f>
        <v>9.2739999999999991</v>
      </c>
    </row>
    <row r="72" spans="1:9" x14ac:dyDescent="0.25">
      <c r="A72" vm="255">
        <f ca="1"/>
        <v>45762</v>
      </c>
      <c r="B72" vm="442">
        <f ca="1"/>
        <v>9.4499999999999993</v>
      </c>
      <c r="C72" vm="783">
        <f ca="1"/>
        <v>125469023</v>
      </c>
      <c r="D72">
        <f t="shared" ca="1" si="4"/>
        <v>1185682267.3499999</v>
      </c>
      <c r="E72">
        <f ca="1">SUM($D$2:D72)/SUM($C$2:C72)</f>
        <v>9.6375414119037544</v>
      </c>
      <c r="F72">
        <f ca="1">_xlfn.STDEV.P($B$2:B72)</f>
        <v>0.35499717268809966</v>
      </c>
      <c r="G72">
        <f t="shared" ca="1" si="5"/>
        <v>10.347535757279953</v>
      </c>
      <c r="H72">
        <f t="shared" ca="1" si="6"/>
        <v>8.9275470665275556</v>
      </c>
      <c r="I72">
        <f t="shared" ca="1" si="7"/>
        <v>9.4259999999999984</v>
      </c>
    </row>
    <row r="73" spans="1:9" x14ac:dyDescent="0.25">
      <c r="A73" vm="259">
        <f ca="1"/>
        <v>45763</v>
      </c>
      <c r="B73" vm="581">
        <f ca="1"/>
        <v>9.4</v>
      </c>
      <c r="C73" vm="784">
        <f ca="1"/>
        <v>133804943</v>
      </c>
      <c r="D73">
        <f t="shared" ca="1" si="4"/>
        <v>1257766464.2</v>
      </c>
      <c r="E73">
        <f ca="1">SUM($D$2:D73)/SUM($C$2:C73)</f>
        <v>9.6336464251271838</v>
      </c>
      <c r="F73">
        <f ca="1">_xlfn.STDEV.P($B$2:B73)</f>
        <v>0.35380356457658646</v>
      </c>
      <c r="G73">
        <f t="shared" ca="1" si="5"/>
        <v>10.341253554280357</v>
      </c>
      <c r="H73">
        <f t="shared" ca="1" si="6"/>
        <v>8.9260392959740109</v>
      </c>
      <c r="I73">
        <f t="shared" ca="1" si="7"/>
        <v>9.4059999999999988</v>
      </c>
    </row>
    <row r="74" spans="1:9" x14ac:dyDescent="0.25">
      <c r="A74" vm="263">
        <f ca="1"/>
        <v>45764</v>
      </c>
      <c r="B74" vm="658">
        <f ca="1"/>
        <v>9.6300000000000008</v>
      </c>
      <c r="C74" vm="785">
        <f ca="1"/>
        <v>129204565</v>
      </c>
      <c r="D74">
        <f t="shared" ca="1" si="4"/>
        <v>1244239960.95</v>
      </c>
      <c r="E74">
        <f ca="1">SUM($D$2:D74)/SUM($C$2:C74)</f>
        <v>9.6335895899529245</v>
      </c>
      <c r="F74">
        <f ca="1">_xlfn.STDEV.P($B$2:B74)</f>
        <v>0.35138241090041178</v>
      </c>
      <c r="G74">
        <f t="shared" ca="1" si="5"/>
        <v>10.336354411753748</v>
      </c>
      <c r="H74">
        <f t="shared" ca="1" si="6"/>
        <v>8.9308247681521014</v>
      </c>
      <c r="I74">
        <f t="shared" ca="1" si="7"/>
        <v>9.5040000000000013</v>
      </c>
    </row>
    <row r="75" spans="1:9" x14ac:dyDescent="0.25">
      <c r="A75" vm="267">
        <f ca="1"/>
        <v>45768</v>
      </c>
      <c r="B75" vm="325">
        <f ca="1"/>
        <v>9.4700000000000006</v>
      </c>
      <c r="C75" vm="786">
        <f ca="1"/>
        <v>94138882</v>
      </c>
      <c r="D75">
        <f t="shared" ca="1" si="4"/>
        <v>891495212.54000008</v>
      </c>
      <c r="E75">
        <f ca="1">SUM($D$2:D75)/SUM($C$2:C75)</f>
        <v>9.6317526603808474</v>
      </c>
      <c r="F75">
        <f ca="1">_xlfn.STDEV.P($B$2:B75)</f>
        <v>0.34963960006592304</v>
      </c>
      <c r="G75">
        <f t="shared" ca="1" si="5"/>
        <v>10.331031860512693</v>
      </c>
      <c r="H75">
        <f t="shared" ca="1" si="6"/>
        <v>8.9324734602490015</v>
      </c>
      <c r="I75">
        <f t="shared" ca="1" si="7"/>
        <v>9.532</v>
      </c>
    </row>
    <row r="76" spans="1:9" x14ac:dyDescent="0.25">
      <c r="A76" vm="271">
        <f ca="1"/>
        <v>45769</v>
      </c>
      <c r="B76" vm="484">
        <f ca="1"/>
        <v>9.65</v>
      </c>
      <c r="C76" vm="787">
        <f ca="1"/>
        <v>121387081</v>
      </c>
      <c r="D76">
        <f t="shared" ca="1" si="4"/>
        <v>1171385331.6500001</v>
      </c>
      <c r="E76">
        <f ca="1">SUM($D$2:D76)/SUM($C$2:C76)</f>
        <v>9.6320130938182409</v>
      </c>
      <c r="F76">
        <f ca="1">_xlfn.STDEV.P($B$2:B76)</f>
        <v>0.34730085403100686</v>
      </c>
      <c r="G76">
        <f t="shared" ca="1" si="5"/>
        <v>10.326614801880254</v>
      </c>
      <c r="H76">
        <f t="shared" ca="1" si="6"/>
        <v>8.9374113857562278</v>
      </c>
      <c r="I76">
        <f t="shared" ca="1" si="7"/>
        <v>9.52</v>
      </c>
    </row>
    <row r="77" spans="1:9" x14ac:dyDescent="0.25">
      <c r="A77" vm="274">
        <f ca="1"/>
        <v>45770</v>
      </c>
      <c r="B77" vm="400">
        <f ca="1"/>
        <v>9.7799999999999994</v>
      </c>
      <c r="C77" vm="788">
        <f ca="1"/>
        <v>158691527</v>
      </c>
      <c r="D77">
        <f t="shared" ca="1" si="4"/>
        <v>1552003134.0599999</v>
      </c>
      <c r="E77">
        <f ca="1">SUM($D$2:D77)/SUM($C$2:C77)</f>
        <v>9.6347237416948488</v>
      </c>
      <c r="F77">
        <f ca="1">_xlfn.STDEV.P($B$2:B77)</f>
        <v>0.34532344424127842</v>
      </c>
      <c r="G77">
        <f t="shared" ca="1" si="5"/>
        <v>10.325370630177405</v>
      </c>
      <c r="H77">
        <f t="shared" ca="1" si="6"/>
        <v>8.9440768532122927</v>
      </c>
      <c r="I77">
        <f t="shared" ca="1" si="7"/>
        <v>9.5860000000000003</v>
      </c>
    </row>
    <row r="78" spans="1:9" x14ac:dyDescent="0.25">
      <c r="A78" vm="278">
        <f ca="1"/>
        <v>45771</v>
      </c>
      <c r="B78" vm="789">
        <f ca="1"/>
        <v>10.06</v>
      </c>
      <c r="C78" vm="790">
        <f ca="1"/>
        <v>87031042</v>
      </c>
      <c r="D78">
        <f t="shared" ca="1" si="4"/>
        <v>875532282.5200001</v>
      </c>
      <c r="E78">
        <f ca="1">SUM($D$2:D78)/SUM($C$2:C78)</f>
        <v>9.6389533531249629</v>
      </c>
      <c r="F78">
        <f ca="1">_xlfn.STDEV.P($B$2:B78)</f>
        <v>0.34616527383935936</v>
      </c>
      <c r="G78">
        <f t="shared" ca="1" si="5"/>
        <v>10.331283900803681</v>
      </c>
      <c r="H78">
        <f t="shared" ca="1" si="6"/>
        <v>8.9466228054462444</v>
      </c>
      <c r="I78">
        <f t="shared" ca="1" si="7"/>
        <v>9.718</v>
      </c>
    </row>
    <row r="79" spans="1:9" x14ac:dyDescent="0.25">
      <c r="A79" vm="282">
        <f ca="1"/>
        <v>45772</v>
      </c>
      <c r="B79" vm="791">
        <f ca="1"/>
        <v>10.039999999999999</v>
      </c>
      <c r="C79" vm="792">
        <f ca="1"/>
        <v>88682432</v>
      </c>
      <c r="D79">
        <f t="shared" ca="1" si="4"/>
        <v>890371617.27999997</v>
      </c>
      <c r="E79">
        <f ca="1">SUM($D$2:D79)/SUM($C$2:C79)</f>
        <v>9.6429768950003147</v>
      </c>
      <c r="F79">
        <f ca="1">_xlfn.STDEV.P($B$2:B79)</f>
        <v>0.34661937488456263</v>
      </c>
      <c r="G79">
        <f t="shared" ca="1" si="5"/>
        <v>10.336215644769441</v>
      </c>
      <c r="H79">
        <f t="shared" ca="1" si="6"/>
        <v>8.9497381452311888</v>
      </c>
      <c r="I79">
        <f t="shared" ca="1" si="7"/>
        <v>9.8000000000000007</v>
      </c>
    </row>
    <row r="80" spans="1:9" x14ac:dyDescent="0.25">
      <c r="A80" vm="286">
        <f ca="1"/>
        <v>45775</v>
      </c>
      <c r="B80" vm="793">
        <f ca="1"/>
        <v>10.02</v>
      </c>
      <c r="C80" vm="794">
        <f ca="1"/>
        <v>77051524</v>
      </c>
      <c r="D80">
        <f t="shared" ca="1" si="4"/>
        <v>772056270.48000002</v>
      </c>
      <c r="E80">
        <f ca="1">SUM($D$2:D80)/SUM($C$2:C80)</f>
        <v>9.6462349317945044</v>
      </c>
      <c r="F80">
        <f ca="1">_xlfn.STDEV.P($B$2:B80)</f>
        <v>0.3467299064094676</v>
      </c>
      <c r="G80">
        <f t="shared" ca="1" si="5"/>
        <v>10.339694744613439</v>
      </c>
      <c r="H80">
        <f t="shared" ca="1" si="6"/>
        <v>8.9527751189755698</v>
      </c>
      <c r="I80">
        <f t="shared" ca="1" si="7"/>
        <v>9.91</v>
      </c>
    </row>
    <row r="81" spans="1:9" x14ac:dyDescent="0.25">
      <c r="A81" vm="290">
        <f ca="1"/>
        <v>45776</v>
      </c>
      <c r="B81" vm="773">
        <f ca="1"/>
        <v>10.15</v>
      </c>
      <c r="C81" vm="795">
        <f ca="1"/>
        <v>141980313</v>
      </c>
      <c r="D81">
        <f t="shared" ca="1" si="4"/>
        <v>1441100176.95</v>
      </c>
      <c r="E81">
        <f ca="1">SUM($D$2:D81)/SUM($C$2:C81)</f>
        <v>9.6541308386224536</v>
      </c>
      <c r="F81">
        <f ca="1">_xlfn.STDEV.P($B$2:B81)</f>
        <v>0.3487096184416914</v>
      </c>
      <c r="G81">
        <f t="shared" ca="1" si="5"/>
        <v>10.351550075505836</v>
      </c>
      <c r="H81">
        <f t="shared" ca="1" si="6"/>
        <v>8.9567116017390713</v>
      </c>
      <c r="I81">
        <f t="shared" ca="1" si="7"/>
        <v>10.01</v>
      </c>
    </row>
    <row r="82" spans="1:9" x14ac:dyDescent="0.25">
      <c r="A82" vm="292">
        <f ca="1"/>
        <v>45777</v>
      </c>
      <c r="B82" vm="759">
        <f ca="1"/>
        <v>10.01</v>
      </c>
      <c r="C82" vm="796">
        <f ca="1"/>
        <v>136406235</v>
      </c>
      <c r="D82">
        <f t="shared" ca="1" si="4"/>
        <v>1365426412.3499999</v>
      </c>
      <c r="E82">
        <f ca="1">SUM($D$2:D82)/SUM($C$2:C82)</f>
        <v>9.6594101753759141</v>
      </c>
      <c r="F82">
        <f ca="1">_xlfn.STDEV.P($B$2:B82)</f>
        <v>0.34854206284860367</v>
      </c>
      <c r="G82">
        <f t="shared" ca="1" si="5"/>
        <v>10.356494301073122</v>
      </c>
      <c r="H82">
        <f t="shared" ca="1" si="6"/>
        <v>8.9623260496787065</v>
      </c>
      <c r="I82">
        <f t="shared" ca="1" si="7"/>
        <v>10.056000000000001</v>
      </c>
    </row>
    <row r="83" spans="1:9" x14ac:dyDescent="0.25">
      <c r="A83" vm="295">
        <f ca="1"/>
        <v>45778</v>
      </c>
      <c r="B83" vm="797">
        <f ca="1"/>
        <v>10.18</v>
      </c>
      <c r="C83" vm="798">
        <f ca="1"/>
        <v>126532486</v>
      </c>
      <c r="D83">
        <f t="shared" ca="1" si="4"/>
        <v>1288100707.48</v>
      </c>
      <c r="E83">
        <f ca="1">SUM($D$2:D83)/SUM($C$2:C83)</f>
        <v>9.6664768782591057</v>
      </c>
      <c r="F83">
        <f ca="1">_xlfn.STDEV.P($B$2:B83)</f>
        <v>0.35077830875316562</v>
      </c>
      <c r="G83">
        <f t="shared" ca="1" si="5"/>
        <v>10.368033495765436</v>
      </c>
      <c r="H83">
        <f t="shared" ca="1" si="6"/>
        <v>8.9649202607527751</v>
      </c>
      <c r="I83">
        <f t="shared" ca="1" si="7"/>
        <v>10.08</v>
      </c>
    </row>
    <row r="84" spans="1:9" x14ac:dyDescent="0.25">
      <c r="A84" vm="298">
        <f ca="1"/>
        <v>45779</v>
      </c>
      <c r="B84" vm="799">
        <f ca="1"/>
        <v>10.28</v>
      </c>
      <c r="C84" vm="800">
        <f ca="1"/>
        <v>82228655</v>
      </c>
      <c r="D84">
        <f t="shared" ca="1" si="4"/>
        <v>845310573.39999998</v>
      </c>
      <c r="E84">
        <f ca="1">SUM($D$2:D84)/SUM($C$2:C84)</f>
        <v>9.6718417446309655</v>
      </c>
      <c r="F84">
        <f ca="1">_xlfn.STDEV.P($B$2:B84)</f>
        <v>0.35468363140795722</v>
      </c>
      <c r="G84">
        <f t="shared" ca="1" si="5"/>
        <v>10.381209007446881</v>
      </c>
      <c r="H84">
        <f t="shared" ca="1" si="6"/>
        <v>8.9624744818150504</v>
      </c>
      <c r="I84">
        <f t="shared" ca="1" si="7"/>
        <v>10.128</v>
      </c>
    </row>
    <row r="85" spans="1:9" x14ac:dyDescent="0.25">
      <c r="A85" vm="302">
        <f ca="1"/>
        <v>45782</v>
      </c>
      <c r="B85" vm="757">
        <f ca="1"/>
        <v>10.17</v>
      </c>
      <c r="C85" vm="801">
        <f ca="1"/>
        <v>105766259</v>
      </c>
      <c r="D85">
        <f t="shared" ca="1" si="4"/>
        <v>1075642854.03</v>
      </c>
      <c r="E85">
        <f ca="1">SUM($D$2:D85)/SUM($C$2:C85)</f>
        <v>9.6773824090532017</v>
      </c>
      <c r="F85">
        <f ca="1">_xlfn.STDEV.P($B$2:B85)</f>
        <v>0.35638055757817083</v>
      </c>
      <c r="G85">
        <f t="shared" ca="1" si="5"/>
        <v>10.390143524209543</v>
      </c>
      <c r="H85">
        <f t="shared" ca="1" si="6"/>
        <v>8.9646212938968599</v>
      </c>
      <c r="I85">
        <f t="shared" ca="1" si="7"/>
        <v>10.157999999999999</v>
      </c>
    </row>
    <row r="86" spans="1:9" x14ac:dyDescent="0.25">
      <c r="A86" vm="304">
        <f ca="1"/>
        <v>45783</v>
      </c>
      <c r="B86" vm="802">
        <f ca="1"/>
        <v>10.44</v>
      </c>
      <c r="C86" vm="803">
        <f ca="1"/>
        <v>131814035</v>
      </c>
      <c r="D86">
        <f t="shared" ca="1" si="4"/>
        <v>1376138525.3999999</v>
      </c>
      <c r="E86">
        <f ca="1">SUM($D$2:D86)/SUM($C$2:C86)</f>
        <v>9.6878088774270115</v>
      </c>
      <c r="F86">
        <f ca="1">_xlfn.STDEV.P($B$2:B86)</f>
        <v>0.36324151426157913</v>
      </c>
      <c r="G86">
        <f t="shared" ca="1" si="5"/>
        <v>10.41429190595017</v>
      </c>
      <c r="H86">
        <f t="shared" ca="1" si="6"/>
        <v>8.9613258489038525</v>
      </c>
      <c r="I86">
        <f t="shared" ca="1" si="7"/>
        <v>10.215999999999999</v>
      </c>
    </row>
    <row r="87" spans="1:9" x14ac:dyDescent="0.25">
      <c r="A87" vm="307">
        <f ca="1"/>
        <v>45784</v>
      </c>
      <c r="B87" vm="799">
        <f ca="1"/>
        <v>10.28</v>
      </c>
      <c r="C87" vm="804">
        <f ca="1"/>
        <v>116936644</v>
      </c>
      <c r="D87">
        <f t="shared" ca="1" si="4"/>
        <v>1202108700.3199999</v>
      </c>
      <c r="E87">
        <f ca="1">SUM($D$2:D87)/SUM($C$2:C87)</f>
        <v>9.6949053981282685</v>
      </c>
      <c r="F87">
        <f ca="1">_xlfn.STDEV.P($B$2:B87)</f>
        <v>0.3663469948239641</v>
      </c>
      <c r="G87">
        <f t="shared" ca="1" si="5"/>
        <v>10.427599387776196</v>
      </c>
      <c r="H87">
        <f t="shared" ca="1" si="6"/>
        <v>8.962211408480341</v>
      </c>
      <c r="I87">
        <f t="shared" ca="1" si="7"/>
        <v>10.27</v>
      </c>
    </row>
    <row r="88" spans="1:9" x14ac:dyDescent="0.25">
      <c r="A88" vm="310">
        <f ca="1"/>
        <v>45785</v>
      </c>
      <c r="B88" vm="799">
        <f ca="1"/>
        <v>10.28</v>
      </c>
      <c r="C88" vm="805">
        <f ca="1"/>
        <v>107173416</v>
      </c>
      <c r="D88">
        <f t="shared" ca="1" si="4"/>
        <v>1101742716.48</v>
      </c>
      <c r="E88">
        <f ca="1">SUM($D$2:D88)/SUM($C$2:C88)</f>
        <v>9.701261667265733</v>
      </c>
      <c r="F88">
        <f ca="1">_xlfn.STDEV.P($B$2:B88)</f>
        <v>0.36923895602377582</v>
      </c>
      <c r="G88">
        <f t="shared" ca="1" si="5"/>
        <v>10.439739579313285</v>
      </c>
      <c r="H88">
        <f t="shared" ca="1" si="6"/>
        <v>8.9627837552181813</v>
      </c>
      <c r="I88">
        <f t="shared" ca="1" si="7"/>
        <v>10.290000000000001</v>
      </c>
    </row>
    <row r="89" spans="1:9" x14ac:dyDescent="0.25">
      <c r="A89" vm="314">
        <f ca="1"/>
        <v>45786</v>
      </c>
      <c r="B89" vm="806">
        <f ca="1"/>
        <v>10.43</v>
      </c>
      <c r="C89" vm="807">
        <f ca="1"/>
        <v>76350701</v>
      </c>
      <c r="D89">
        <f t="shared" ca="1" si="4"/>
        <v>796337811.42999995</v>
      </c>
      <c r="E89">
        <f ca="1">SUM($D$2:D89)/SUM($C$2:C89)</f>
        <v>9.7068582838807185</v>
      </c>
      <c r="F89">
        <f ca="1">_xlfn.STDEV.P($B$2:B89)</f>
        <v>0.37480676318102868</v>
      </c>
      <c r="G89">
        <f t="shared" ca="1" si="5"/>
        <v>10.456471810242776</v>
      </c>
      <c r="H89">
        <f t="shared" ca="1" si="6"/>
        <v>8.9572447575186604</v>
      </c>
      <c r="I89">
        <f t="shared" ca="1" si="7"/>
        <v>10.32</v>
      </c>
    </row>
    <row r="90" spans="1:9" x14ac:dyDescent="0.25">
      <c r="A90" vm="316">
        <f ca="1"/>
        <v>45789</v>
      </c>
      <c r="B90" vm="808">
        <f ca="1"/>
        <v>10.55</v>
      </c>
      <c r="C90" vm="809">
        <f ca="1"/>
        <v>102035764</v>
      </c>
      <c r="D90">
        <f t="shared" ca="1" si="4"/>
        <v>1076477310.2</v>
      </c>
      <c r="E90">
        <f ca="1">SUM($D$2:D90)/SUM($C$2:C90)</f>
        <v>9.7154239131036775</v>
      </c>
      <c r="F90">
        <f ca="1">_xlfn.STDEV.P($B$2:B90)</f>
        <v>0.38267419566159594</v>
      </c>
      <c r="G90">
        <f t="shared" ca="1" si="5"/>
        <v>10.480772304426869</v>
      </c>
      <c r="H90">
        <f t="shared" ca="1" si="6"/>
        <v>8.9500755217804855</v>
      </c>
      <c r="I90">
        <f t="shared" ca="1" si="7"/>
        <v>10.396000000000001</v>
      </c>
    </row>
    <row r="91" spans="1:9" x14ac:dyDescent="0.25">
      <c r="A91" vm="320">
        <f ca="1"/>
        <v>45790</v>
      </c>
      <c r="B91" vm="171">
        <f ca="1"/>
        <v>10.6</v>
      </c>
      <c r="C91" vm="810">
        <f ca="1"/>
        <v>83671012</v>
      </c>
      <c r="D91">
        <f t="shared" ca="1" si="4"/>
        <v>886912727.19999993</v>
      </c>
      <c r="E91">
        <f ca="1">SUM($D$2:D91)/SUM($C$2:C91)</f>
        <v>9.7227321648898659</v>
      </c>
      <c r="F91">
        <f ca="1">_xlfn.STDEV.P($B$2:B91)</f>
        <v>0.39118186597370114</v>
      </c>
      <c r="G91">
        <f t="shared" ca="1" si="5"/>
        <v>10.505095896837268</v>
      </c>
      <c r="H91">
        <f t="shared" ca="1" si="6"/>
        <v>8.9403684329424635</v>
      </c>
      <c r="I91">
        <f t="shared" ca="1" si="7"/>
        <v>10.428000000000001</v>
      </c>
    </row>
    <row r="92" spans="1:9" x14ac:dyDescent="0.25">
      <c r="A92" vm="324">
        <f ca="1"/>
        <v>45791</v>
      </c>
      <c r="B92" vm="811">
        <f ca="1"/>
        <v>10.65</v>
      </c>
      <c r="C92" vm="812">
        <f ca="1"/>
        <v>84453089</v>
      </c>
      <c r="D92">
        <f t="shared" ca="1" si="4"/>
        <v>899425397.85000002</v>
      </c>
      <c r="E92">
        <f ca="1">SUM($D$2:D92)/SUM($C$2:C92)</f>
        <v>9.7304007883582866</v>
      </c>
      <c r="F92">
        <f ca="1">_xlfn.STDEV.P($B$2:B92)</f>
        <v>0.4002999283368589</v>
      </c>
      <c r="G92">
        <f t="shared" ca="1" si="5"/>
        <v>10.531000645032005</v>
      </c>
      <c r="H92">
        <f t="shared" ca="1" si="6"/>
        <v>8.9298009316845679</v>
      </c>
      <c r="I92">
        <f t="shared" ca="1" si="7"/>
        <v>10.501999999999999</v>
      </c>
    </row>
    <row r="93" spans="1:9" x14ac:dyDescent="0.25">
      <c r="A93" vm="328">
        <f ca="1"/>
        <v>45792</v>
      </c>
      <c r="B93" vm="813">
        <f ca="1"/>
        <v>10.75</v>
      </c>
      <c r="C93" vm="814">
        <f ca="1"/>
        <v>71096528</v>
      </c>
      <c r="D93">
        <f t="shared" ca="1" si="4"/>
        <v>764287676</v>
      </c>
      <c r="E93">
        <f ca="1">SUM($D$2:D93)/SUM($C$2:C93)</f>
        <v>9.7374503385190607</v>
      </c>
      <c r="F93">
        <f ca="1">_xlfn.STDEV.P($B$2:B93)</f>
        <v>0.41126681925604336</v>
      </c>
      <c r="G93">
        <f t="shared" ca="1" si="5"/>
        <v>10.559983977031148</v>
      </c>
      <c r="H93">
        <f t="shared" ca="1" si="6"/>
        <v>8.9149167000069731</v>
      </c>
      <c r="I93">
        <f t="shared" ca="1" si="7"/>
        <v>10.596</v>
      </c>
    </row>
    <row r="94" spans="1:9" x14ac:dyDescent="0.25">
      <c r="A94" vm="332">
        <f ca="1"/>
        <v>45793</v>
      </c>
      <c r="B94" vm="815">
        <f ca="1"/>
        <v>10.8</v>
      </c>
      <c r="C94" vm="816">
        <f ca="1"/>
        <v>64913005</v>
      </c>
      <c r="D94">
        <f t="shared" ca="1" si="4"/>
        <v>701060454</v>
      </c>
      <c r="E94">
        <f ca="1">SUM($D$2:D94)/SUM($C$2:C94)</f>
        <v>9.7441158198898048</v>
      </c>
      <c r="F94">
        <f ca="1">_xlfn.STDEV.P($B$2:B94)</f>
        <v>0.42272488493208993</v>
      </c>
      <c r="G94">
        <f t="shared" ca="1" si="5"/>
        <v>10.589565589753985</v>
      </c>
      <c r="H94">
        <f t="shared" ca="1" si="6"/>
        <v>8.8986660500256249</v>
      </c>
      <c r="I94">
        <f t="shared" ca="1" si="7"/>
        <v>10.669999999999998</v>
      </c>
    </row>
    <row r="95" spans="1:9" x14ac:dyDescent="0.25">
      <c r="A95" vm="336">
        <f ca="1"/>
        <v>45796</v>
      </c>
      <c r="B95" vm="813">
        <f ca="1"/>
        <v>10.75</v>
      </c>
      <c r="C95" vm="817">
        <f ca="1"/>
        <v>60195734</v>
      </c>
      <c r="D95">
        <f t="shared" ca="1" si="4"/>
        <v>647104140.5</v>
      </c>
      <c r="E95">
        <f ca="1">SUM($D$2:D95)/SUM($C$2:C95)</f>
        <v>9.7499334377232323</v>
      </c>
      <c r="F95">
        <f ca="1">_xlfn.STDEV.P($B$2:B95)</f>
        <v>0.4321563692758198</v>
      </c>
      <c r="G95">
        <f t="shared" ca="1" si="5"/>
        <v>10.614246176274872</v>
      </c>
      <c r="H95">
        <f t="shared" ca="1" si="6"/>
        <v>8.8856206991715929</v>
      </c>
      <c r="I95">
        <f t="shared" ca="1" si="7"/>
        <v>10.709999999999999</v>
      </c>
    </row>
    <row r="96" spans="1:9" x14ac:dyDescent="0.25">
      <c r="A96" vm="340">
        <f ca="1"/>
        <v>45797</v>
      </c>
      <c r="B96" vm="173">
        <f ca="1"/>
        <v>10.72</v>
      </c>
      <c r="C96" vm="818">
        <f ca="1"/>
        <v>61063828</v>
      </c>
      <c r="D96">
        <f t="shared" ca="1" si="4"/>
        <v>654604236.16000009</v>
      </c>
      <c r="E96">
        <f ca="1">SUM($D$2:D96)/SUM($C$2:C96)</f>
        <v>9.755591614348468</v>
      </c>
      <c r="F96">
        <f ca="1">_xlfn.STDEV.P($B$2:B96)</f>
        <v>0.44028675942149764</v>
      </c>
      <c r="G96">
        <f t="shared" ca="1" si="5"/>
        <v>10.636165133191463</v>
      </c>
      <c r="H96">
        <f t="shared" ca="1" si="6"/>
        <v>8.8750180955054727</v>
      </c>
      <c r="I96">
        <f t="shared" ca="1" si="7"/>
        <v>10.734</v>
      </c>
    </row>
    <row r="97" spans="1:9" x14ac:dyDescent="0.25">
      <c r="A97" vm="344">
        <f ca="1"/>
        <v>45798</v>
      </c>
      <c r="B97" vm="819">
        <f ca="1"/>
        <v>10.48</v>
      </c>
      <c r="C97" vm="820">
        <f ca="1"/>
        <v>89090498</v>
      </c>
      <c r="D97">
        <f t="shared" ca="1" si="4"/>
        <v>933668419.04000008</v>
      </c>
      <c r="E97">
        <f ca="1">SUM($D$2:D97)/SUM($C$2:C97)</f>
        <v>9.7617042097021276</v>
      </c>
      <c r="F97">
        <f ca="1">_xlfn.STDEV.P($B$2:B97)</f>
        <v>0.4434399523608879</v>
      </c>
      <c r="G97">
        <f t="shared" ca="1" si="5"/>
        <v>10.648584114423903</v>
      </c>
      <c r="H97">
        <f t="shared" ca="1" si="6"/>
        <v>8.8748243049803524</v>
      </c>
      <c r="I97">
        <f t="shared" ca="1" si="7"/>
        <v>10.7</v>
      </c>
    </row>
    <row r="98" spans="1:9" x14ac:dyDescent="0.25">
      <c r="A98" vm="346">
        <f ca="1"/>
        <v>45799</v>
      </c>
      <c r="B98" vm="802">
        <f ca="1"/>
        <v>10.44</v>
      </c>
      <c r="C98" vm="821">
        <f ca="1"/>
        <v>94081143</v>
      </c>
      <c r="D98">
        <f t="shared" ca="1" si="4"/>
        <v>982207132.91999996</v>
      </c>
      <c r="E98">
        <f ca="1">SUM($D$2:D98)/SUM($C$2:C98)</f>
        <v>9.7676949398391137</v>
      </c>
      <c r="F98">
        <f ca="1">_xlfn.STDEV.P($B$2:B98)</f>
        <v>0.44579684735361941</v>
      </c>
      <c r="G98">
        <f t="shared" ca="1" si="5"/>
        <v>10.659288634546353</v>
      </c>
      <c r="H98">
        <f t="shared" ca="1" si="6"/>
        <v>8.8761012451318742</v>
      </c>
      <c r="I98">
        <f t="shared" ca="1" si="7"/>
        <v>10.638</v>
      </c>
    </row>
    <row r="99" spans="1:9" x14ac:dyDescent="0.25">
      <c r="A99" vm="349">
        <f ca="1"/>
        <v>45800</v>
      </c>
      <c r="B99" vm="822">
        <f ca="1"/>
        <v>10.36</v>
      </c>
      <c r="C99" vm="823">
        <f ca="1"/>
        <v>80519024</v>
      </c>
      <c r="D99">
        <f t="shared" ca="1" si="4"/>
        <v>834177088.63999999</v>
      </c>
      <c r="E99">
        <f ca="1">SUM($D$2:D99)/SUM($C$2:C99)</f>
        <v>9.7721385051361569</v>
      </c>
      <c r="F99">
        <f ca="1">_xlfn.STDEV.P($B$2:B99)</f>
        <v>0.44693687422948503</v>
      </c>
      <c r="G99">
        <f t="shared" ca="1" si="5"/>
        <v>10.666012253595127</v>
      </c>
      <c r="H99">
        <f t="shared" ca="1" si="6"/>
        <v>8.8782647566771864</v>
      </c>
      <c r="I99">
        <f t="shared" ca="1" si="7"/>
        <v>10.55</v>
      </c>
    </row>
    <row r="100" spans="1:9" x14ac:dyDescent="0.25">
      <c r="A100" vm="353">
        <f ca="1"/>
        <v>45804</v>
      </c>
      <c r="B100" vm="824">
        <f ca="1"/>
        <v>10.31</v>
      </c>
      <c r="C100" vm="825">
        <f ca="1"/>
        <v>89066847</v>
      </c>
      <c r="D100">
        <f t="shared" ca="1" si="4"/>
        <v>918279192.57000005</v>
      </c>
      <c r="E100">
        <f ca="1">SUM($D$2:D100)/SUM($C$2:C100)</f>
        <v>9.7765652551728905</v>
      </c>
      <c r="F100">
        <f ca="1">_xlfn.STDEV.P($B$2:B100)</f>
        <v>0.44740402669140539</v>
      </c>
      <c r="G100">
        <f t="shared" ca="1" si="5"/>
        <v>10.671373308555701</v>
      </c>
      <c r="H100">
        <f t="shared" ca="1" si="6"/>
        <v>8.8817572017900801</v>
      </c>
      <c r="I100">
        <f t="shared" ca="1" si="7"/>
        <v>10.462</v>
      </c>
    </row>
    <row r="101" spans="1:9" x14ac:dyDescent="0.25">
      <c r="A101" vm="357">
        <f ca="1"/>
        <v>45805</v>
      </c>
      <c r="B101" vm="757">
        <f ca="1"/>
        <v>10.17</v>
      </c>
      <c r="C101" vm="826">
        <f ca="1"/>
        <v>102335584</v>
      </c>
      <c r="D101">
        <f t="shared" ca="1" si="4"/>
        <v>1040752889.28</v>
      </c>
      <c r="E101">
        <f ca="1">SUM($D$2:D101)/SUM($C$2:C101)</f>
        <v>9.7802508729167279</v>
      </c>
      <c r="F101">
        <f ca="1">_xlfn.STDEV.P($B$2:B101)</f>
        <v>0.44651020632903798</v>
      </c>
      <c r="G101">
        <f t="shared" ca="1" si="5"/>
        <v>10.673271285574804</v>
      </c>
      <c r="H101">
        <f t="shared" ca="1" si="6"/>
        <v>8.8872304602586514</v>
      </c>
      <c r="I101">
        <f t="shared" ca="1" si="7"/>
        <v>10.352</v>
      </c>
    </row>
    <row r="102" spans="1:9" x14ac:dyDescent="0.25">
      <c r="A102" vm="361">
        <f ca="1"/>
        <v>45806</v>
      </c>
      <c r="B102" vm="827">
        <f ca="1"/>
        <v>10.220000000000001</v>
      </c>
      <c r="C102" vm="828">
        <f ca="1"/>
        <v>101688883</v>
      </c>
      <c r="D102">
        <f t="shared" ca="1" si="4"/>
        <v>1039260384.2600001</v>
      </c>
      <c r="E102">
        <f ca="1">SUM($D$2:D102)/SUM($C$2:C102)</f>
        <v>9.7843065689341842</v>
      </c>
      <c r="F102">
        <f ca="1">_xlfn.STDEV.P($B$2:B102)</f>
        <v>0.44601275491768166</v>
      </c>
      <c r="G102">
        <f t="shared" ca="1" si="5"/>
        <v>10.676332078769548</v>
      </c>
      <c r="H102">
        <f t="shared" ca="1" si="6"/>
        <v>8.8922810590988206</v>
      </c>
      <c r="I102">
        <f t="shared" ca="1" si="7"/>
        <v>10.3</v>
      </c>
    </row>
    <row r="103" spans="1:9" x14ac:dyDescent="0.25">
      <c r="A103" vm="365">
        <f ca="1"/>
        <v>45807</v>
      </c>
      <c r="B103" vm="829">
        <f ca="1"/>
        <v>10.38</v>
      </c>
      <c r="C103" vm="830">
        <f ca="1"/>
        <v>152191621</v>
      </c>
      <c r="D103">
        <f t="shared" ca="1" si="4"/>
        <v>1579749025.98</v>
      </c>
      <c r="E103">
        <f ca="1">SUM($D$2:D103)/SUM($C$2:C103)</f>
        <v>9.7924170545443712</v>
      </c>
      <c r="F103">
        <f ca="1">_xlfn.STDEV.P($B$2:B103)</f>
        <v>0.44713087409591945</v>
      </c>
      <c r="G103">
        <f t="shared" ca="1" si="5"/>
        <v>10.686678802736211</v>
      </c>
      <c r="H103">
        <f t="shared" ca="1" si="6"/>
        <v>8.8981553063525318</v>
      </c>
      <c r="I103">
        <f t="shared" ca="1" si="7"/>
        <v>10.288</v>
      </c>
    </row>
    <row r="104" spans="1:9" x14ac:dyDescent="0.25">
      <c r="A104" vm="369">
        <f ca="1"/>
        <v>45810</v>
      </c>
      <c r="B104" vm="666">
        <f ca="1"/>
        <v>9.98</v>
      </c>
      <c r="C104" vm="831">
        <f ca="1"/>
        <v>170340783</v>
      </c>
      <c r="D104">
        <f t="shared" ca="1" si="4"/>
        <v>1700001014.3400002</v>
      </c>
      <c r="E104">
        <f ca="1">SUM($D$2:D104)/SUM($C$2:C104)</f>
        <v>9.7952326941777788</v>
      </c>
      <c r="F104">
        <f ca="1">_xlfn.STDEV.P($B$2:B104)</f>
        <v>0.44518448084274215</v>
      </c>
      <c r="G104">
        <f t="shared" ca="1" si="5"/>
        <v>10.685601655863262</v>
      </c>
      <c r="H104">
        <f t="shared" ca="1" si="6"/>
        <v>8.904863732492295</v>
      </c>
      <c r="I104">
        <f t="shared" ca="1" si="7"/>
        <v>10.212</v>
      </c>
    </row>
    <row r="105" spans="1:9" x14ac:dyDescent="0.25">
      <c r="A105" vm="372">
        <f ca="1"/>
        <v>45811</v>
      </c>
      <c r="B105" vm="832">
        <f ca="1"/>
        <v>10.19</v>
      </c>
      <c r="C105" vm="833">
        <f ca="1"/>
        <v>121584328</v>
      </c>
      <c r="D105">
        <f t="shared" ca="1" si="4"/>
        <v>1238944302.3199999</v>
      </c>
      <c r="E105">
        <f ca="1">SUM($D$2:D105)/SUM($C$2:C105)</f>
        <v>9.7994173107409654</v>
      </c>
      <c r="F105">
        <f ca="1">_xlfn.STDEV.P($B$2:B105)</f>
        <v>0.44438628634374477</v>
      </c>
      <c r="G105">
        <f t="shared" ca="1" si="5"/>
        <v>10.688189883428455</v>
      </c>
      <c r="H105">
        <f t="shared" ca="1" si="6"/>
        <v>8.9106447380534757</v>
      </c>
      <c r="I105">
        <f t="shared" ca="1" si="7"/>
        <v>10.187999999999999</v>
      </c>
    </row>
    <row r="106" spans="1:9" x14ac:dyDescent="0.25">
      <c r="A106" vm="375">
        <f ca="1"/>
        <v>45812</v>
      </c>
      <c r="B106" vm="834">
        <f ca="1"/>
        <v>10.24</v>
      </c>
      <c r="C106" vm="835">
        <f ca="1"/>
        <v>123191229</v>
      </c>
      <c r="D106">
        <f t="shared" ca="1" si="4"/>
        <v>1261478184.96</v>
      </c>
      <c r="E106">
        <f ca="1">SUM($D$2:D106)/SUM($C$2:C106)</f>
        <v>9.8040990209244221</v>
      </c>
      <c r="F106">
        <f ca="1">_xlfn.STDEV.P($B$2:B106)</f>
        <v>0.44397601635495221</v>
      </c>
      <c r="G106">
        <f t="shared" ca="1" si="5"/>
        <v>10.692051053634327</v>
      </c>
      <c r="H106">
        <f t="shared" ca="1" si="6"/>
        <v>8.9161469882145177</v>
      </c>
      <c r="I106">
        <f t="shared" ca="1" si="7"/>
        <v>10.202000000000002</v>
      </c>
    </row>
    <row r="107" spans="1:9" x14ac:dyDescent="0.25">
      <c r="A107" vm="378">
        <f ca="1"/>
        <v>45813</v>
      </c>
      <c r="B107" vm="836">
        <f ca="1"/>
        <v>10.1</v>
      </c>
      <c r="C107" vm="837">
        <f ca="1"/>
        <v>133269444</v>
      </c>
      <c r="D107">
        <f t="shared" ca="1" si="4"/>
        <v>1346021384.3999999</v>
      </c>
      <c r="E107">
        <f ca="1">SUM($D$2:D107)/SUM($C$2:C107)</f>
        <v>9.8074618929531479</v>
      </c>
      <c r="F107">
        <f ca="1">_xlfn.STDEV.P($B$2:B107)</f>
        <v>0.44257526853999285</v>
      </c>
      <c r="G107">
        <f t="shared" ca="1" si="5"/>
        <v>10.692612430033133</v>
      </c>
      <c r="H107">
        <f t="shared" ca="1" si="6"/>
        <v>8.9223113558731626</v>
      </c>
      <c r="I107">
        <f t="shared" ca="1" si="7"/>
        <v>10.178000000000001</v>
      </c>
    </row>
    <row r="108" spans="1:9" x14ac:dyDescent="0.25">
      <c r="A108" vm="382">
        <f ca="1"/>
        <v>45814</v>
      </c>
      <c r="B108" vm="168">
        <f ca="1"/>
        <v>10.26</v>
      </c>
      <c r="C108" vm="838">
        <f ca="1"/>
        <v>105916694</v>
      </c>
      <c r="D108">
        <f t="shared" ca="1" si="4"/>
        <v>1086705280.4400001</v>
      </c>
      <c r="E108">
        <f ca="1">SUM($D$2:D108)/SUM($C$2:C108)</f>
        <v>9.8115127588110145</v>
      </c>
      <c r="F108">
        <f ca="1">_xlfn.STDEV.P($B$2:B108)</f>
        <v>0.44230574041712301</v>
      </c>
      <c r="G108">
        <f t="shared" ca="1" si="5"/>
        <v>10.696124239645261</v>
      </c>
      <c r="H108">
        <f t="shared" ca="1" si="6"/>
        <v>8.9269012779767678</v>
      </c>
      <c r="I108">
        <f t="shared" ca="1" si="7"/>
        <v>10.154</v>
      </c>
    </row>
    <row r="109" spans="1:9" x14ac:dyDescent="0.25">
      <c r="A109" vm="386">
        <f ca="1"/>
        <v>45817</v>
      </c>
      <c r="B109" vm="839">
        <f ca="1"/>
        <v>10.34</v>
      </c>
      <c r="C109" vm="840">
        <f ca="1"/>
        <v>63638928</v>
      </c>
      <c r="D109">
        <f t="shared" ca="1" si="4"/>
        <v>658026515.51999998</v>
      </c>
      <c r="E109">
        <f ca="1">SUM($D$2:D109)/SUM($C$2:C109)</f>
        <v>9.81433995607504</v>
      </c>
      <c r="F109">
        <f ca="1">_xlfn.STDEV.P($B$2:B109)</f>
        <v>0.44275585882593516</v>
      </c>
      <c r="G109">
        <f t="shared" ca="1" si="5"/>
        <v>10.69985167372691</v>
      </c>
      <c r="H109">
        <f t="shared" ca="1" si="6"/>
        <v>8.9288282384231703</v>
      </c>
      <c r="I109">
        <f t="shared" ca="1" si="7"/>
        <v>10.225999999999999</v>
      </c>
    </row>
    <row r="110" spans="1:9" x14ac:dyDescent="0.25">
      <c r="A110" vm="389">
        <f ca="1"/>
        <v>45818</v>
      </c>
      <c r="B110" vm="171">
        <f ca="1"/>
        <v>10.6</v>
      </c>
      <c r="C110" vm="841">
        <f ca="1"/>
        <v>87955501</v>
      </c>
      <c r="D110">
        <f t="shared" ca="1" si="4"/>
        <v>932328310.60000002</v>
      </c>
      <c r="E110">
        <f ca="1">SUM($D$2:D110)/SUM($C$2:C110)</f>
        <v>9.8201062555404537</v>
      </c>
      <c r="F110">
        <f ca="1">_xlfn.STDEV.P($B$2:B110)</f>
        <v>0.44642651959668456</v>
      </c>
      <c r="G110">
        <f t="shared" ca="1" si="5"/>
        <v>10.712959294733823</v>
      </c>
      <c r="H110">
        <f t="shared" ca="1" si="6"/>
        <v>8.9272532163470846</v>
      </c>
      <c r="I110">
        <f t="shared" ca="1" si="7"/>
        <v>10.308</v>
      </c>
    </row>
    <row r="111" spans="1:9" x14ac:dyDescent="0.25">
      <c r="A111" vm="391">
        <f ca="1"/>
        <v>45819</v>
      </c>
      <c r="B111" vm="842">
        <f ca="1"/>
        <v>10.66</v>
      </c>
      <c r="C111" vm="843">
        <f ca="1"/>
        <v>93094876</v>
      </c>
      <c r="D111">
        <f t="shared" ca="1" si="4"/>
        <v>992391378.15999997</v>
      </c>
      <c r="E111">
        <f ca="1">SUM($D$2:D111)/SUM($C$2:C111)</f>
        <v>9.8265804979468285</v>
      </c>
      <c r="F111">
        <f ca="1">_xlfn.STDEV.P($B$2:B111)</f>
        <v>0.45082336426286668</v>
      </c>
      <c r="G111">
        <f t="shared" ca="1" si="5"/>
        <v>10.728227226472562</v>
      </c>
      <c r="H111">
        <f t="shared" ca="1" si="6"/>
        <v>8.9249337694210951</v>
      </c>
      <c r="I111">
        <f t="shared" ca="1" si="7"/>
        <v>10.391999999999999</v>
      </c>
    </row>
    <row r="112" spans="1:9" x14ac:dyDescent="0.25">
      <c r="A112" vm="395">
        <f ca="1"/>
        <v>45820</v>
      </c>
      <c r="B112" vm="844">
        <f ca="1"/>
        <v>10.53</v>
      </c>
      <c r="C112" vm="845">
        <f ca="1"/>
        <v>76393291</v>
      </c>
      <c r="D112">
        <f t="shared" ca="1" si="4"/>
        <v>804421354.2299999</v>
      </c>
      <c r="E112">
        <f ca="1">SUM($D$2:D112)/SUM($C$2:C112)</f>
        <v>9.8310020015524291</v>
      </c>
      <c r="F112">
        <f ca="1">_xlfn.STDEV.P($B$2:B112)</f>
        <v>0.45312803456792128</v>
      </c>
      <c r="G112">
        <f t="shared" ca="1" si="5"/>
        <v>10.737258070688272</v>
      </c>
      <c r="H112">
        <f t="shared" ca="1" si="6"/>
        <v>8.9247459324165863</v>
      </c>
      <c r="I112">
        <f t="shared" ca="1" si="7"/>
        <v>10.478</v>
      </c>
    </row>
    <row r="113" spans="1:9" x14ac:dyDescent="0.25">
      <c r="A113" vm="399">
        <f ca="1"/>
        <v>45821</v>
      </c>
      <c r="B113" vm="806">
        <f ca="1"/>
        <v>10.43</v>
      </c>
      <c r="C113" vm="846">
        <f ca="1"/>
        <v>90106172</v>
      </c>
      <c r="D113">
        <f t="shared" ca="1" si="4"/>
        <v>939807373.95999992</v>
      </c>
      <c r="E113">
        <f ca="1">SUM($D$2:D113)/SUM($C$2:C113)</f>
        <v>9.8354103130119945</v>
      </c>
      <c r="F113">
        <f ca="1">_xlfn.STDEV.P($B$2:B113)</f>
        <v>0.45412448331801275</v>
      </c>
      <c r="G113">
        <f t="shared" ca="1" si="5"/>
        <v>10.743659279648019</v>
      </c>
      <c r="H113">
        <f t="shared" ca="1" si="6"/>
        <v>8.9271613463759696</v>
      </c>
      <c r="I113">
        <f t="shared" ca="1" si="7"/>
        <v>10.511999999999999</v>
      </c>
    </row>
    <row r="114" spans="1:9" x14ac:dyDescent="0.25">
      <c r="A114" vm="403">
        <f ca="1"/>
        <v>45824</v>
      </c>
      <c r="B114" vm="847">
        <f ca="1"/>
        <v>10.62</v>
      </c>
      <c r="C114" vm="848">
        <f ca="1"/>
        <v>75195179</v>
      </c>
      <c r="D114">
        <f t="shared" ca="1" si="4"/>
        <v>798572800.9799999</v>
      </c>
      <c r="E114">
        <f ca="1">SUM($D$2:D114)/SUM($C$2:C114)</f>
        <v>9.8401995446403951</v>
      </c>
      <c r="F114">
        <f ca="1">_xlfn.STDEV.P($B$2:B114)</f>
        <v>0.45740894444244101</v>
      </c>
      <c r="G114">
        <f t="shared" ca="1" si="5"/>
        <v>10.755017433525277</v>
      </c>
      <c r="H114">
        <f t="shared" ca="1" si="6"/>
        <v>8.9253816557555137</v>
      </c>
      <c r="I114">
        <f t="shared" ca="1" si="7"/>
        <v>10.568</v>
      </c>
    </row>
    <row r="115" spans="1:9" x14ac:dyDescent="0.25">
      <c r="A115" vm="407">
        <f ca="1"/>
        <v>45825</v>
      </c>
      <c r="B115" vm="849">
        <f ca="1"/>
        <v>10.42</v>
      </c>
      <c r="C115" vm="850">
        <f ca="1"/>
        <v>100969375</v>
      </c>
      <c r="D115">
        <f t="shared" ca="1" si="4"/>
        <v>1052100887.5</v>
      </c>
      <c r="E115">
        <f ca="1">SUM($D$2:D115)/SUM($C$2:C115)</f>
        <v>9.8449131837522472</v>
      </c>
      <c r="F115">
        <f ca="1">_xlfn.STDEV.P($B$2:B115)</f>
        <v>0.45811917829367049</v>
      </c>
      <c r="G115">
        <f t="shared" ca="1" si="5"/>
        <v>10.761151540339588</v>
      </c>
      <c r="H115">
        <f t="shared" ca="1" si="6"/>
        <v>8.9286748271649063</v>
      </c>
      <c r="I115">
        <f t="shared" ca="1" si="7"/>
        <v>10.532</v>
      </c>
    </row>
    <row r="116" spans="1:9" x14ac:dyDescent="0.25">
      <c r="A116" vm="410">
        <f ca="1"/>
        <v>45826</v>
      </c>
      <c r="B116" vm="806">
        <f ca="1"/>
        <v>10.43</v>
      </c>
      <c r="C116" vm="851">
        <f ca="1"/>
        <v>82770168</v>
      </c>
      <c r="D116">
        <f t="shared" ca="1" si="4"/>
        <v>863292852.24000001</v>
      </c>
      <c r="E116">
        <f ca="1">SUM($D$2:D116)/SUM($C$2:C116)</f>
        <v>9.8487866300697036</v>
      </c>
      <c r="F116">
        <f ca="1">_xlfn.STDEV.P($B$2:B116)</f>
        <v>0.45886979639776337</v>
      </c>
      <c r="G116">
        <f t="shared" ca="1" si="5"/>
        <v>10.766526222865231</v>
      </c>
      <c r="H116">
        <f t="shared" ca="1" si="6"/>
        <v>8.9310470372741761</v>
      </c>
      <c r="I116">
        <f t="shared" ca="1" si="7"/>
        <v>10.486000000000001</v>
      </c>
    </row>
    <row r="117" spans="1:9" x14ac:dyDescent="0.25">
      <c r="A117" vm="412">
        <f ca="1"/>
        <v>45828</v>
      </c>
      <c r="B117" vm="852">
        <f ca="1"/>
        <v>10.59</v>
      </c>
      <c r="C117" vm="853">
        <f ca="1"/>
        <v>116743402</v>
      </c>
      <c r="D117">
        <f t="shared" ca="1" si="4"/>
        <v>1236312627.1800001</v>
      </c>
      <c r="E117">
        <f ca="1">SUM($D$2:D117)/SUM($C$2:C117)</f>
        <v>9.8556437623180848</v>
      </c>
      <c r="F117">
        <f ca="1">_xlfn.STDEV.P($B$2:B117)</f>
        <v>0.46138664952476766</v>
      </c>
      <c r="G117">
        <f t="shared" ca="1" si="5"/>
        <v>10.77841706136762</v>
      </c>
      <c r="H117">
        <f t="shared" ca="1" si="6"/>
        <v>8.9328704632685501</v>
      </c>
      <c r="I117">
        <f t="shared" ca="1" si="7"/>
        <v>10.497999999999999</v>
      </c>
    </row>
    <row r="118" spans="1:9" x14ac:dyDescent="0.25">
      <c r="A118" vm="414">
        <f ca="1"/>
        <v>45831</v>
      </c>
      <c r="B118" vm="813">
        <f ca="1"/>
        <v>10.75</v>
      </c>
      <c r="C118" vm="854">
        <f ca="1"/>
        <v>77576511</v>
      </c>
      <c r="D118">
        <f t="shared" ca="1" si="4"/>
        <v>833947493.25</v>
      </c>
      <c r="E118">
        <f ca="1">SUM($D$2:D118)/SUM($C$2:C118)</f>
        <v>9.8611082075259535</v>
      </c>
      <c r="F118">
        <f ca="1">_xlfn.STDEV.P($B$2:B118)</f>
        <v>0.46601524110867515</v>
      </c>
      <c r="G118">
        <f t="shared" ca="1" si="5"/>
        <v>10.793138689743303</v>
      </c>
      <c r="H118">
        <f t="shared" ca="1" si="6"/>
        <v>8.9290777253086038</v>
      </c>
      <c r="I118">
        <f t="shared" ca="1" si="7"/>
        <v>10.562000000000001</v>
      </c>
    </row>
    <row r="119" spans="1:9" x14ac:dyDescent="0.25">
      <c r="A119" vm="417">
        <f ca="1"/>
        <v>45832</v>
      </c>
      <c r="B119" vm="855">
        <f ca="1"/>
        <v>10.73</v>
      </c>
      <c r="C119" vm="856">
        <f ca="1"/>
        <v>77244413</v>
      </c>
      <c r="D119">
        <f t="shared" ca="1" si="4"/>
        <v>828832551.49000001</v>
      </c>
      <c r="E119">
        <f ca="1">SUM($D$2:D119)/SUM($C$2:C119)</f>
        <v>9.8663623751446536</v>
      </c>
      <c r="F119">
        <f ca="1">_xlfn.STDEV.P($B$2:B119)</f>
        <v>0.47011450547313277</v>
      </c>
      <c r="G119">
        <f t="shared" ca="1" si="5"/>
        <v>10.806591386090918</v>
      </c>
      <c r="H119">
        <f t="shared" ca="1" si="6"/>
        <v>8.9261333641983889</v>
      </c>
      <c r="I119">
        <f t="shared" ca="1" si="7"/>
        <v>10.584</v>
      </c>
    </row>
    <row r="120" spans="1:9" x14ac:dyDescent="0.25">
      <c r="A120" vm="421">
        <f ca="1"/>
        <v>45833</v>
      </c>
      <c r="B120" vm="819">
        <f ca="1"/>
        <v>10.48</v>
      </c>
      <c r="C120" vm="857">
        <f ca="1"/>
        <v>91927326</v>
      </c>
      <c r="D120">
        <f t="shared" ca="1" si="4"/>
        <v>963398376.48000002</v>
      </c>
      <c r="E120">
        <f ca="1">SUM($D$2:D120)/SUM($C$2:C120)</f>
        <v>9.8707468096897042</v>
      </c>
      <c r="F120">
        <f ca="1">_xlfn.STDEV.P($B$2:B120)</f>
        <v>0.47096810546883178</v>
      </c>
      <c r="G120">
        <f t="shared" ca="1" si="5"/>
        <v>10.812683020627368</v>
      </c>
      <c r="H120">
        <f t="shared" ca="1" si="6"/>
        <v>8.9288105987520403</v>
      </c>
      <c r="I120">
        <f t="shared" ca="1" si="7"/>
        <v>10.596</v>
      </c>
    </row>
    <row r="121" spans="1:9" x14ac:dyDescent="0.25">
      <c r="A121" vm="422">
        <f ca="1"/>
        <v>45834</v>
      </c>
      <c r="B121" vm="858">
        <f ca="1"/>
        <v>10.63</v>
      </c>
      <c r="C121" vm="859">
        <f ca="1"/>
        <v>88416356</v>
      </c>
      <c r="D121">
        <f t="shared" ca="1" si="4"/>
        <v>939865864.28000009</v>
      </c>
      <c r="E121">
        <f ca="1">SUM($D$2:D121)/SUM($C$2:C121)</f>
        <v>9.8759288634328843</v>
      </c>
      <c r="F121">
        <f ca="1">_xlfn.STDEV.P($B$2:B121)</f>
        <v>0.47342573716300346</v>
      </c>
      <c r="G121">
        <f t="shared" ca="1" si="5"/>
        <v>10.822780337758891</v>
      </c>
      <c r="H121">
        <f t="shared" ca="1" si="6"/>
        <v>8.9290773891068778</v>
      </c>
      <c r="I121">
        <f t="shared" ca="1" si="7"/>
        <v>10.635999999999999</v>
      </c>
    </row>
    <row r="122" spans="1:9" x14ac:dyDescent="0.25">
      <c r="A122" vm="423">
        <f ca="1"/>
        <v>45835</v>
      </c>
      <c r="B122" vm="815">
        <f ca="1"/>
        <v>10.8</v>
      </c>
      <c r="C122" vm="860">
        <f ca="1"/>
        <v>182008244</v>
      </c>
      <c r="D122">
        <f t="shared" ca="1" si="4"/>
        <v>1965689035.2</v>
      </c>
      <c r="E122">
        <f ca="1">SUM($D$2:D122)/SUM($C$2:C122)</f>
        <v>9.8887321010818034</v>
      </c>
      <c r="F122">
        <f ca="1">_xlfn.STDEV.P($B$2:B122)</f>
        <v>0.4780648143528432</v>
      </c>
      <c r="G122">
        <f t="shared" ca="1" si="5"/>
        <v>10.844861729787489</v>
      </c>
      <c r="H122">
        <f t="shared" ca="1" si="6"/>
        <v>8.9326024723761179</v>
      </c>
      <c r="I122">
        <f t="shared" ca="1" si="7"/>
        <v>10.678000000000001</v>
      </c>
    </row>
    <row r="123" spans="1:9" x14ac:dyDescent="0.25">
      <c r="A123" vm="425">
        <f ca="1"/>
        <v>45838</v>
      </c>
      <c r="B123" vm="861">
        <f ca="1"/>
        <v>10.85</v>
      </c>
      <c r="C123" vm="862">
        <f ca="1"/>
        <v>88472231</v>
      </c>
      <c r="D123">
        <f t="shared" ca="1" si="4"/>
        <v>959923706.35000002</v>
      </c>
      <c r="E123">
        <f ca="1">SUM($D$2:D123)/SUM($C$2:C123)</f>
        <v>9.8951628216920682</v>
      </c>
      <c r="F123">
        <f ca="1">_xlfn.STDEV.P($B$2:B123)</f>
        <v>0.4832298022297124</v>
      </c>
      <c r="G123">
        <f t="shared" ca="1" si="5"/>
        <v>10.861622426151493</v>
      </c>
      <c r="H123">
        <f t="shared" ca="1" si="6"/>
        <v>8.928703217232643</v>
      </c>
      <c r="I123">
        <f t="shared" ca="1" si="7"/>
        <v>10.698</v>
      </c>
    </row>
    <row r="124" spans="1:9" x14ac:dyDescent="0.25">
      <c r="A124" vm="427">
        <f ca="1"/>
        <v>45839</v>
      </c>
      <c r="B124" vm="863">
        <f ca="1"/>
        <v>11.35</v>
      </c>
      <c r="C124" vm="864">
        <f ca="1"/>
        <v>140150738</v>
      </c>
      <c r="D124">
        <f t="shared" ca="1" si="4"/>
        <v>1590710876.3</v>
      </c>
      <c r="E124">
        <f ca="1">SUM($D$2:D124)/SUM($C$2:C124)</f>
        <v>9.9104187901274816</v>
      </c>
      <c r="F124">
        <f ca="1">_xlfn.STDEV.P($B$2:B124)</f>
        <v>0.49763080654163111</v>
      </c>
      <c r="G124">
        <f t="shared" ca="1" si="5"/>
        <v>10.905680403210743</v>
      </c>
      <c r="H124">
        <f t="shared" ca="1" si="6"/>
        <v>8.9151571770442199</v>
      </c>
      <c r="I124">
        <f t="shared" ca="1" si="7"/>
        <v>10.821999999999999</v>
      </c>
    </row>
    <row r="125" spans="1:9" x14ac:dyDescent="0.25">
      <c r="A125" vm="430">
        <f ca="1"/>
        <v>45840</v>
      </c>
      <c r="B125" vm="205">
        <f ca="1"/>
        <v>11.77</v>
      </c>
      <c r="C125" vm="865">
        <f ca="1"/>
        <v>122331588</v>
      </c>
      <c r="D125">
        <f t="shared" ca="1" si="4"/>
        <v>1439842790.76</v>
      </c>
      <c r="E125">
        <f ca="1">SUM($D$2:D125)/SUM($C$2:C125)</f>
        <v>9.927285357361237</v>
      </c>
      <c r="F125">
        <f ca="1">_xlfn.STDEV.P($B$2:B125)</f>
        <v>0.52161659678355943</v>
      </c>
      <c r="G125">
        <f t="shared" ca="1" si="5"/>
        <v>10.970518550928356</v>
      </c>
      <c r="H125">
        <f t="shared" ca="1" si="6"/>
        <v>8.8840521637941183</v>
      </c>
      <c r="I125">
        <f t="shared" ca="1" si="7"/>
        <v>11.080000000000002</v>
      </c>
    </row>
    <row r="126" spans="1:9" x14ac:dyDescent="0.25">
      <c r="A126" vm="432">
        <f ca="1"/>
        <v>45841</v>
      </c>
      <c r="B126" vm="866">
        <f ca="1"/>
        <v>11.81</v>
      </c>
      <c r="C126" vm="867">
        <f ca="1"/>
        <v>60311463</v>
      </c>
      <c r="D126">
        <f t="shared" ca="1" si="4"/>
        <v>712278378.02999997</v>
      </c>
      <c r="E126">
        <f ca="1">SUM($D$2:D126)/SUM($C$2:C126)</f>
        <v>9.9356668158215733</v>
      </c>
      <c r="F126">
        <f ca="1">_xlfn.STDEV.P($B$2:B126)</f>
        <v>0.54486526469930163</v>
      </c>
      <c r="G126">
        <f t="shared" ca="1" si="5"/>
        <v>11.025397345220176</v>
      </c>
      <c r="H126">
        <f t="shared" ca="1" si="6"/>
        <v>8.8459362864229707</v>
      </c>
      <c r="I126">
        <f t="shared" ca="1" si="7"/>
        <v>11.315999999999999</v>
      </c>
    </row>
    <row r="127" spans="1:9" x14ac:dyDescent="0.25">
      <c r="A127" vm="434">
        <f ca="1"/>
        <v>45845</v>
      </c>
      <c r="B127" vm="868">
        <f ca="1"/>
        <v>11.59</v>
      </c>
      <c r="C127" vm="869">
        <f ca="1"/>
        <v>73842100</v>
      </c>
      <c r="D127">
        <f t="shared" ca="1" si="4"/>
        <v>855829939</v>
      </c>
      <c r="E127">
        <f ca="1">SUM($D$2:D127)/SUM($C$2:C127)</f>
        <v>9.9446349385579627</v>
      </c>
      <c r="F127">
        <f ca="1">_xlfn.STDEV.P($B$2:B127)</f>
        <v>0.56115929054285463</v>
      </c>
      <c r="G127">
        <f t="shared" ca="1" si="5"/>
        <v>11.066953519643672</v>
      </c>
      <c r="H127">
        <f t="shared" ca="1" si="6"/>
        <v>8.8223163574722534</v>
      </c>
      <c r="I127">
        <f t="shared" ca="1" si="7"/>
        <v>11.474</v>
      </c>
    </row>
    <row r="128" spans="1:9" x14ac:dyDescent="0.25">
      <c r="A128" vm="437">
        <f ca="1"/>
        <v>45846</v>
      </c>
      <c r="B128" vm="870">
        <f ca="1"/>
        <v>11.68</v>
      </c>
      <c r="C128" vm="871">
        <f ca="1"/>
        <v>74190215</v>
      </c>
      <c r="D128">
        <f t="shared" ca="1" si="4"/>
        <v>866541711.19999993</v>
      </c>
      <c r="E128">
        <f ca="1">SUM($D$2:D128)/SUM($C$2:C128)</f>
        <v>9.9540354831868694</v>
      </c>
      <c r="F128">
        <f ca="1">_xlfn.STDEV.P($B$2:B128)</f>
        <v>0.57846924719879433</v>
      </c>
      <c r="G128">
        <f t="shared" ca="1" si="5"/>
        <v>11.110973977584457</v>
      </c>
      <c r="H128">
        <f t="shared" ca="1" si="6"/>
        <v>8.7970969887892814</v>
      </c>
      <c r="I128">
        <f t="shared" ca="1" si="7"/>
        <v>11.639999999999999</v>
      </c>
    </row>
    <row r="129" spans="1:9" x14ac:dyDescent="0.25">
      <c r="A129" vm="441">
        <f ca="1"/>
        <v>45847</v>
      </c>
      <c r="B129" vm="872">
        <f ca="1"/>
        <v>11.83</v>
      </c>
      <c r="C129" vm="873">
        <f ca="1"/>
        <v>63886882</v>
      </c>
      <c r="D129">
        <f t="shared" ca="1" si="4"/>
        <v>755781814.06000006</v>
      </c>
      <c r="E129">
        <f ca="1">SUM($D$2:D129)/SUM($C$2:C129)</f>
        <v>9.9627457345774566</v>
      </c>
      <c r="F129">
        <f ca="1">_xlfn.STDEV.P($B$2:B129)</f>
        <v>0.59813487057351555</v>
      </c>
      <c r="G129">
        <f t="shared" ca="1" si="5"/>
        <v>11.159015475724487</v>
      </c>
      <c r="H129">
        <f t="shared" ca="1" si="6"/>
        <v>8.7664759934304257</v>
      </c>
      <c r="I129">
        <f t="shared" ca="1" si="7"/>
        <v>11.736000000000001</v>
      </c>
    </row>
    <row r="130" spans="1:9" x14ac:dyDescent="0.25">
      <c r="A130" vm="444">
        <f ca="1"/>
        <v>45848</v>
      </c>
      <c r="B130" vm="874">
        <f ca="1"/>
        <v>11.91</v>
      </c>
      <c r="C130" vm="875">
        <f ca="1"/>
        <v>67263023</v>
      </c>
      <c r="D130">
        <f t="shared" ca="1" si="4"/>
        <v>801102603.93000007</v>
      </c>
      <c r="E130">
        <f ca="1">SUM($D$2:D130)/SUM($C$2:C130)</f>
        <v>9.9722184735514379</v>
      </c>
      <c r="F130">
        <f ca="1">_xlfn.STDEV.P($B$2:B130)</f>
        <v>0.61840438703059342</v>
      </c>
      <c r="G130">
        <f t="shared" ca="1" si="5"/>
        <v>11.209027247612624</v>
      </c>
      <c r="H130">
        <f t="shared" ca="1" si="6"/>
        <v>8.7354096994902513</v>
      </c>
      <c r="I130">
        <f t="shared" ca="1" si="7"/>
        <v>11.763999999999999</v>
      </c>
    </row>
    <row r="131" spans="1:9" x14ac:dyDescent="0.25">
      <c r="A131" vm="446">
        <f ca="1"/>
        <v>45849</v>
      </c>
      <c r="B131" vm="876">
        <f ca="1"/>
        <v>11.78</v>
      </c>
      <c r="C131" vm="877">
        <f ca="1"/>
        <v>65340737</v>
      </c>
      <c r="D131">
        <f t="shared" ref="D131:D194" ca="1" si="8">B131*C131</f>
        <v>769713881.86000001</v>
      </c>
      <c r="E131">
        <f ca="1">SUM($D$2:D131)/SUM($C$2:C131)</f>
        <v>9.9807212157659499</v>
      </c>
      <c r="F131">
        <f ca="1">_xlfn.STDEV.P($B$2:B131)</f>
        <v>0.6345822521961727</v>
      </c>
      <c r="G131">
        <f t="shared" ref="G131:G194" ca="1" si="9">IF(E131="","", E131 + (F131*2))</f>
        <v>11.249885720158295</v>
      </c>
      <c r="H131">
        <f t="shared" ref="H131:H194" ca="1" si="10">IF(E131="","", E131 - (F131*2))</f>
        <v>8.7115567113736052</v>
      </c>
      <c r="I131">
        <f t="shared" ca="1" si="7"/>
        <v>11.758000000000001</v>
      </c>
    </row>
    <row r="132" spans="1:9" x14ac:dyDescent="0.25">
      <c r="A132" vm="449">
        <f ca="1"/>
        <v>45852</v>
      </c>
      <c r="B132" vm="878">
        <f ca="1"/>
        <v>11.88</v>
      </c>
      <c r="C132" vm="879">
        <f ca="1"/>
        <v>62098074</v>
      </c>
      <c r="D132">
        <f t="shared" ca="1" si="8"/>
        <v>737725119.12</v>
      </c>
      <c r="E132">
        <f ca="1">SUM($D$2:D132)/SUM($C$2:C132)</f>
        <v>9.9891732046711414</v>
      </c>
      <c r="F132">
        <f ca="1">_xlfn.STDEV.P($B$2:B132)</f>
        <v>0.65192146271923646</v>
      </c>
      <c r="G132">
        <f t="shared" ca="1" si="9"/>
        <v>11.293016130109613</v>
      </c>
      <c r="H132">
        <f t="shared" ca="1" si="10"/>
        <v>8.6853302792326694</v>
      </c>
      <c r="I132">
        <f t="shared" ca="1" si="7"/>
        <v>11.816000000000001</v>
      </c>
    </row>
    <row r="133" spans="1:9" x14ac:dyDescent="0.25">
      <c r="A133" vm="452">
        <f ca="1"/>
        <v>45853</v>
      </c>
      <c r="B133" vm="880">
        <f ca="1"/>
        <v>11.57</v>
      </c>
      <c r="C133" vm="881">
        <f ca="1"/>
        <v>65101902</v>
      </c>
      <c r="D133">
        <f t="shared" ca="1" si="8"/>
        <v>753229006.13999999</v>
      </c>
      <c r="E133">
        <f ca="1">SUM($D$2:D133)/SUM($C$2:C133)</f>
        <v>9.9965140927924665</v>
      </c>
      <c r="F133">
        <f ca="1">_xlfn.STDEV.P($B$2:B133)</f>
        <v>0.66245318032837675</v>
      </c>
      <c r="G133">
        <f t="shared" ca="1" si="9"/>
        <v>11.321420453449219</v>
      </c>
      <c r="H133">
        <f t="shared" ca="1" si="10"/>
        <v>8.6716077321357137</v>
      </c>
      <c r="I133">
        <f t="shared" ca="1" si="7"/>
        <v>11.794</v>
      </c>
    </row>
    <row r="134" spans="1:9" x14ac:dyDescent="0.25">
      <c r="A134" vm="454">
        <f ca="1"/>
        <v>45854</v>
      </c>
      <c r="B134" vm="217">
        <f ca="1"/>
        <v>11.24</v>
      </c>
      <c r="C134" vm="882">
        <f ca="1"/>
        <v>107978145</v>
      </c>
      <c r="D134">
        <f t="shared" ca="1" si="8"/>
        <v>1213674349.8</v>
      </c>
      <c r="E134">
        <f ca="1">SUM($D$2:D134)/SUM($C$2:C134)</f>
        <v>10.006018285339543</v>
      </c>
      <c r="F134">
        <f ca="1">_xlfn.STDEV.P($B$2:B134)</f>
        <v>0.66758776533358344</v>
      </c>
      <c r="G134">
        <f t="shared" ca="1" si="9"/>
        <v>11.34119381600671</v>
      </c>
      <c r="H134">
        <f t="shared" ca="1" si="10"/>
        <v>8.6708427546723765</v>
      </c>
      <c r="I134">
        <f t="shared" ca="1" si="7"/>
        <v>11.676</v>
      </c>
    </row>
    <row r="135" spans="1:9" x14ac:dyDescent="0.25">
      <c r="A135" vm="457">
        <f ca="1"/>
        <v>45855</v>
      </c>
      <c r="B135" vm="883">
        <f ca="1"/>
        <v>11.15</v>
      </c>
      <c r="C135" vm="884">
        <f ca="1"/>
        <v>70345257</v>
      </c>
      <c r="D135">
        <f t="shared" ca="1" si="8"/>
        <v>784349615.55000007</v>
      </c>
      <c r="E135">
        <f ca="1">SUM($D$2:D135)/SUM($C$2:C135)</f>
        <v>10.011686356033499</v>
      </c>
      <c r="F135">
        <f ca="1">_xlfn.STDEV.P($B$2:B135)</f>
        <v>0.671393344240932</v>
      </c>
      <c r="G135">
        <f t="shared" ca="1" si="9"/>
        <v>11.354473044515363</v>
      </c>
      <c r="H135">
        <f t="shared" ca="1" si="10"/>
        <v>8.668899667551635</v>
      </c>
      <c r="I135">
        <f t="shared" ref="I135:I198" ca="1" si="11">AVERAGE(B131:B135)</f>
        <v>11.524000000000001</v>
      </c>
    </row>
    <row r="136" spans="1:9" x14ac:dyDescent="0.25">
      <c r="A136" vm="460">
        <f ca="1"/>
        <v>45856</v>
      </c>
      <c r="B136" vm="885">
        <f ca="1"/>
        <v>11.16</v>
      </c>
      <c r="C136" vm="886">
        <f ca="1"/>
        <v>68812553</v>
      </c>
      <c r="D136">
        <f t="shared" ca="1" si="8"/>
        <v>767948091.48000002</v>
      </c>
      <c r="E136">
        <f ca="1">SUM($D$2:D136)/SUM($C$2:C136)</f>
        <v>10.017225080056715</v>
      </c>
      <c r="F136">
        <f ca="1">_xlfn.STDEV.P($B$2:B136)</f>
        <v>0.67514565465067611</v>
      </c>
      <c r="G136">
        <f t="shared" ca="1" si="9"/>
        <v>11.367516389358068</v>
      </c>
      <c r="H136">
        <f t="shared" ca="1" si="10"/>
        <v>8.666933770755362</v>
      </c>
      <c r="I136">
        <f t="shared" ca="1" si="11"/>
        <v>11.4</v>
      </c>
    </row>
    <row r="137" spans="1:9" x14ac:dyDescent="0.25">
      <c r="A137" vm="462">
        <f ca="1"/>
        <v>45859</v>
      </c>
      <c r="B137" vm="887">
        <f ca="1"/>
        <v>11.31</v>
      </c>
      <c r="C137" vm="888">
        <f ca="1"/>
        <v>65515630</v>
      </c>
      <c r="D137">
        <f t="shared" ca="1" si="8"/>
        <v>740981775.30000007</v>
      </c>
      <c r="E137">
        <f ca="1">SUM($D$2:D137)/SUM($C$2:C137)</f>
        <v>10.02313469987361</v>
      </c>
      <c r="F137">
        <f ca="1">_xlfn.STDEV.P($B$2:B137)</f>
        <v>0.68056128535252058</v>
      </c>
      <c r="G137">
        <f t="shared" ca="1" si="9"/>
        <v>11.384257270578651</v>
      </c>
      <c r="H137">
        <f t="shared" ca="1" si="10"/>
        <v>8.6620121291685699</v>
      </c>
      <c r="I137">
        <f t="shared" ca="1" si="11"/>
        <v>11.286000000000001</v>
      </c>
    </row>
    <row r="138" spans="1:9" x14ac:dyDescent="0.25">
      <c r="A138" vm="466">
        <f ca="1"/>
        <v>45860</v>
      </c>
      <c r="B138" vm="889">
        <f ca="1"/>
        <v>11.19</v>
      </c>
      <c r="C138" vm="890">
        <f ca="1"/>
        <v>79403755</v>
      </c>
      <c r="D138">
        <f t="shared" ca="1" si="8"/>
        <v>888528018.44999993</v>
      </c>
      <c r="E138">
        <f ca="1">SUM($D$2:D138)/SUM($C$2:C138)</f>
        <v>10.029563856268865</v>
      </c>
      <c r="F138">
        <f ca="1">_xlfn.STDEV.P($B$2:B138)</f>
        <v>0.68429407194038205</v>
      </c>
      <c r="G138">
        <f t="shared" ca="1" si="9"/>
        <v>11.398152000149629</v>
      </c>
      <c r="H138">
        <f t="shared" ca="1" si="10"/>
        <v>8.660975712388101</v>
      </c>
      <c r="I138">
        <f t="shared" ca="1" si="11"/>
        <v>11.209999999999999</v>
      </c>
    </row>
    <row r="139" spans="1:9" x14ac:dyDescent="0.25">
      <c r="A139" vm="469">
        <f ca="1"/>
        <v>45861</v>
      </c>
      <c r="B139" vm="206">
        <f ca="1"/>
        <v>11.38</v>
      </c>
      <c r="C139" vm="891">
        <f ca="1"/>
        <v>76163207</v>
      </c>
      <c r="D139">
        <f t="shared" ca="1" si="8"/>
        <v>866737295.66000009</v>
      </c>
      <c r="E139">
        <f ca="1">SUM($D$2:D139)/SUM($C$2:C139)</f>
        <v>10.036663267571063</v>
      </c>
      <c r="F139">
        <f ca="1">_xlfn.STDEV.P($B$2:B139)</f>
        <v>0.69018253914518513</v>
      </c>
      <c r="G139">
        <f t="shared" ca="1" si="9"/>
        <v>11.417028345861434</v>
      </c>
      <c r="H139">
        <f t="shared" ca="1" si="10"/>
        <v>8.6562981892806921</v>
      </c>
      <c r="I139">
        <f t="shared" ca="1" si="11"/>
        <v>11.238000000000001</v>
      </c>
    </row>
    <row r="140" spans="1:9" x14ac:dyDescent="0.25">
      <c r="A140" vm="473">
        <f ca="1"/>
        <v>45862</v>
      </c>
      <c r="B140" vm="187">
        <f ca="1"/>
        <v>11.26</v>
      </c>
      <c r="C140" vm="892">
        <f ca="1"/>
        <v>63557796</v>
      </c>
      <c r="D140">
        <f t="shared" ca="1" si="8"/>
        <v>715660782.96000004</v>
      </c>
      <c r="E140">
        <f ca="1">SUM($D$2:D140)/SUM($C$2:C140)</f>
        <v>10.042006656735021</v>
      </c>
      <c r="F140">
        <f ca="1">_xlfn.STDEV.P($B$2:B140)</f>
        <v>0.69434674857253265</v>
      </c>
      <c r="G140">
        <f t="shared" ca="1" si="9"/>
        <v>11.430700153880085</v>
      </c>
      <c r="H140">
        <f t="shared" ca="1" si="10"/>
        <v>8.6533131595899562</v>
      </c>
      <c r="I140">
        <f t="shared" ca="1" si="11"/>
        <v>11.26</v>
      </c>
    </row>
    <row r="141" spans="1:9" x14ac:dyDescent="0.25">
      <c r="A141" vm="477">
        <f ca="1"/>
        <v>45863</v>
      </c>
      <c r="B141" vm="150">
        <f ca="1"/>
        <v>11.47</v>
      </c>
      <c r="C141" vm="893">
        <f ca="1"/>
        <v>52312257</v>
      </c>
      <c r="D141">
        <f t="shared" ca="1" si="8"/>
        <v>600021587.79000008</v>
      </c>
      <c r="E141">
        <f ca="1">SUM($D$2:D141)/SUM($C$2:C141)</f>
        <v>10.047121980055142</v>
      </c>
      <c r="F141">
        <f ca="1">_xlfn.STDEV.P($B$2:B141)</f>
        <v>0.70095481747457633</v>
      </c>
      <c r="G141">
        <f t="shared" ca="1" si="9"/>
        <v>11.449031615004294</v>
      </c>
      <c r="H141">
        <f t="shared" ca="1" si="10"/>
        <v>8.645212345105989</v>
      </c>
      <c r="I141">
        <f t="shared" ca="1" si="11"/>
        <v>11.321999999999999</v>
      </c>
    </row>
    <row r="142" spans="1:9" x14ac:dyDescent="0.25">
      <c r="A142" vm="481">
        <f ca="1"/>
        <v>45866</v>
      </c>
      <c r="B142" vm="894">
        <f ca="1"/>
        <v>11.28</v>
      </c>
      <c r="C142" vm="895">
        <f ca="1"/>
        <v>54173647</v>
      </c>
      <c r="D142">
        <f t="shared" ca="1" si="8"/>
        <v>611078738.15999997</v>
      </c>
      <c r="E142">
        <f ca="1">SUM($D$2:D142)/SUM($C$2:C142)</f>
        <v>10.051678607663325</v>
      </c>
      <c r="F142">
        <f ca="1">_xlfn.STDEV.P($B$2:B142)</f>
        <v>0.70494870407533627</v>
      </c>
      <c r="G142">
        <f t="shared" ca="1" si="9"/>
        <v>11.461576015813998</v>
      </c>
      <c r="H142">
        <f t="shared" ca="1" si="10"/>
        <v>8.6417811995126517</v>
      </c>
      <c r="I142">
        <f t="shared" ca="1" si="11"/>
        <v>11.315999999999999</v>
      </c>
    </row>
    <row r="143" spans="1:9" x14ac:dyDescent="0.25">
      <c r="A143" vm="483">
        <f ca="1"/>
        <v>45867</v>
      </c>
      <c r="B143" vm="221">
        <f ca="1"/>
        <v>11.08</v>
      </c>
      <c r="C143" vm="896">
        <f ca="1"/>
        <v>58371483</v>
      </c>
      <c r="D143">
        <f t="shared" ca="1" si="8"/>
        <v>646756031.63999999</v>
      </c>
      <c r="E143">
        <f ca="1">SUM($D$2:D143)/SUM($C$2:C143)</f>
        <v>10.055757468487005</v>
      </c>
      <c r="F143">
        <f ca="1">_xlfn.STDEV.P($B$2:B143)</f>
        <v>0.70674183260423118</v>
      </c>
      <c r="G143">
        <f t="shared" ca="1" si="9"/>
        <v>11.469241133695467</v>
      </c>
      <c r="H143">
        <f t="shared" ca="1" si="10"/>
        <v>8.6422738032785436</v>
      </c>
      <c r="I143">
        <f t="shared" ca="1" si="11"/>
        <v>11.294</v>
      </c>
    </row>
    <row r="144" spans="1:9" x14ac:dyDescent="0.25">
      <c r="A144" vm="486">
        <f ca="1"/>
        <v>45868</v>
      </c>
      <c r="B144" vm="219">
        <f ca="1"/>
        <v>10.87</v>
      </c>
      <c r="C144" vm="897">
        <f ca="1"/>
        <v>79866858</v>
      </c>
      <c r="D144">
        <f t="shared" ca="1" si="8"/>
        <v>868152746.45999992</v>
      </c>
      <c r="E144">
        <f ca="1">SUM($D$2:D144)/SUM($C$2:C144)</f>
        <v>10.06015267253199</v>
      </c>
      <c r="F144">
        <f ca="1">_xlfn.STDEV.P($B$2:B144)</f>
        <v>0.70676229463166251</v>
      </c>
      <c r="G144">
        <f t="shared" ca="1" si="9"/>
        <v>11.473677261795315</v>
      </c>
      <c r="H144">
        <f t="shared" ca="1" si="10"/>
        <v>8.6466280832686646</v>
      </c>
      <c r="I144">
        <f t="shared" ca="1" si="11"/>
        <v>11.191999999999998</v>
      </c>
    </row>
    <row r="145" spans="1:9" x14ac:dyDescent="0.25">
      <c r="A145" vm="489">
        <f ca="1"/>
        <v>45869</v>
      </c>
      <c r="B145" vm="898">
        <f ca="1"/>
        <v>11.07</v>
      </c>
      <c r="C145" vm="899">
        <f ca="1"/>
        <v>101090884</v>
      </c>
      <c r="D145">
        <f t="shared" ca="1" si="8"/>
        <v>1119076085.8800001</v>
      </c>
      <c r="E145">
        <f ca="1">SUM($D$2:D145)/SUM($C$2:C145)</f>
        <v>10.067005490699906</v>
      </c>
      <c r="F145">
        <f ca="1">_xlfn.STDEV.P($B$2:B145)</f>
        <v>0.70832158921500554</v>
      </c>
      <c r="G145">
        <f t="shared" ca="1" si="9"/>
        <v>11.483648669129916</v>
      </c>
      <c r="H145">
        <f t="shared" ca="1" si="10"/>
        <v>8.6503623122698947</v>
      </c>
      <c r="I145">
        <f t="shared" ca="1" si="11"/>
        <v>11.154</v>
      </c>
    </row>
    <row r="146" spans="1:9" x14ac:dyDescent="0.25">
      <c r="A146" vm="490">
        <f ca="1"/>
        <v>45870</v>
      </c>
      <c r="B146" vm="160">
        <f ca="1"/>
        <v>10.82</v>
      </c>
      <c r="C146" vm="900">
        <f ca="1"/>
        <v>73541489</v>
      </c>
      <c r="D146">
        <f t="shared" ca="1" si="8"/>
        <v>795718910.98000002</v>
      </c>
      <c r="E146">
        <f ca="1">SUM($D$2:D146)/SUM($C$2:C146)</f>
        <v>10.070704513676471</v>
      </c>
      <c r="F146">
        <f ca="1">_xlfn.STDEV.P($B$2:B146)</f>
        <v>0.70792714722415639</v>
      </c>
      <c r="G146">
        <f t="shared" ca="1" si="9"/>
        <v>11.486558808124784</v>
      </c>
      <c r="H146">
        <f t="shared" ca="1" si="10"/>
        <v>8.6548502192281589</v>
      </c>
      <c r="I146">
        <f t="shared" ca="1" si="11"/>
        <v>11.023999999999999</v>
      </c>
    </row>
    <row r="147" spans="1:9" x14ac:dyDescent="0.25">
      <c r="A147" vm="491">
        <f ca="1"/>
        <v>45873</v>
      </c>
      <c r="B147" vm="174">
        <f ca="1"/>
        <v>10.95</v>
      </c>
      <c r="C147" vm="901">
        <f ca="1"/>
        <v>56696828</v>
      </c>
      <c r="D147">
        <f t="shared" ca="1" si="8"/>
        <v>620830266.5999999</v>
      </c>
      <c r="E147">
        <f ca="1">SUM($D$2:D147)/SUM($C$2:C147)</f>
        <v>10.074022042775216</v>
      </c>
      <c r="F147">
        <f ca="1">_xlfn.STDEV.P($B$2:B147)</f>
        <v>0.70839859778117675</v>
      </c>
      <c r="G147">
        <f t="shared" ca="1" si="9"/>
        <v>11.490819238337568</v>
      </c>
      <c r="H147">
        <f t="shared" ca="1" si="10"/>
        <v>8.6572248472128628</v>
      </c>
      <c r="I147">
        <f t="shared" ca="1" si="11"/>
        <v>10.957999999999998</v>
      </c>
    </row>
    <row r="148" spans="1:9" x14ac:dyDescent="0.25">
      <c r="A148" vm="492">
        <f ca="1"/>
        <v>45874</v>
      </c>
      <c r="B148" vm="902">
        <f ca="1"/>
        <v>11.06</v>
      </c>
      <c r="C148" vm="903">
        <f ca="1"/>
        <v>58864252</v>
      </c>
      <c r="D148">
        <f t="shared" ca="1" si="8"/>
        <v>651038627.12</v>
      </c>
      <c r="E148">
        <f ca="1">SUM($D$2:D148)/SUM($C$2:C148)</f>
        <v>10.077869219060439</v>
      </c>
      <c r="F148">
        <f ca="1">_xlfn.STDEV.P($B$2:B148)</f>
        <v>0.70968985736784618</v>
      </c>
      <c r="G148">
        <f t="shared" ca="1" si="9"/>
        <v>11.497248933796131</v>
      </c>
      <c r="H148">
        <f t="shared" ca="1" si="10"/>
        <v>8.6584895043247467</v>
      </c>
      <c r="I148">
        <f t="shared" ca="1" si="11"/>
        <v>10.953999999999999</v>
      </c>
    </row>
    <row r="149" spans="1:9" x14ac:dyDescent="0.25">
      <c r="A149" vm="495">
        <f ca="1"/>
        <v>45875</v>
      </c>
      <c r="B149" vm="904">
        <f ca="1"/>
        <v>11.21</v>
      </c>
      <c r="C149" vm="905">
        <f ca="1"/>
        <v>59519843</v>
      </c>
      <c r="D149">
        <f t="shared" ca="1" si="8"/>
        <v>667217440.03000009</v>
      </c>
      <c r="E149">
        <f ca="1">SUM($D$2:D149)/SUM($C$2:C149)</f>
        <v>10.082318312800771</v>
      </c>
      <c r="F149">
        <f ca="1">_xlfn.STDEV.P($B$2:B149)</f>
        <v>0.7122559149954083</v>
      </c>
      <c r="G149">
        <f t="shared" ca="1" si="9"/>
        <v>11.506830142791587</v>
      </c>
      <c r="H149">
        <f t="shared" ca="1" si="10"/>
        <v>8.6578064828099546</v>
      </c>
      <c r="I149">
        <f t="shared" ca="1" si="11"/>
        <v>11.022000000000002</v>
      </c>
    </row>
    <row r="150" spans="1:9" x14ac:dyDescent="0.25">
      <c r="A150" vm="499">
        <f ca="1"/>
        <v>45876</v>
      </c>
      <c r="B150" vm="894">
        <f ca="1"/>
        <v>11.28</v>
      </c>
      <c r="C150" vm="906">
        <f ca="1"/>
        <v>71774972</v>
      </c>
      <c r="D150">
        <f t="shared" ca="1" si="8"/>
        <v>809621684.15999997</v>
      </c>
      <c r="E150">
        <f ca="1">SUM($D$2:D150)/SUM($C$2:C150)</f>
        <v>10.087967349080962</v>
      </c>
      <c r="F150">
        <f ca="1">_xlfn.STDEV.P($B$2:B150)</f>
        <v>0.71540001449951929</v>
      </c>
      <c r="G150">
        <f t="shared" ca="1" si="9"/>
        <v>11.518767378080002</v>
      </c>
      <c r="H150">
        <f t="shared" ca="1" si="10"/>
        <v>8.657167320081923</v>
      </c>
      <c r="I150">
        <f t="shared" ca="1" si="11"/>
        <v>11.064</v>
      </c>
    </row>
    <row r="151" spans="1:9" x14ac:dyDescent="0.25">
      <c r="A151" vm="501">
        <f ca="1"/>
        <v>45877</v>
      </c>
      <c r="B151" vm="907">
        <f ca="1"/>
        <v>11.32</v>
      </c>
      <c r="C151" vm="908">
        <f ca="1"/>
        <v>48465317</v>
      </c>
      <c r="D151">
        <f t="shared" ca="1" si="8"/>
        <v>548627388.44000006</v>
      </c>
      <c r="E151">
        <f ca="1">SUM($D$2:D151)/SUM($C$2:C151)</f>
        <v>10.091878749041523</v>
      </c>
      <c r="F151">
        <f ca="1">_xlfn.STDEV.P($B$2:B151)</f>
        <v>0.71882173294790008</v>
      </c>
      <c r="G151">
        <f t="shared" ca="1" si="9"/>
        <v>11.529522214937323</v>
      </c>
      <c r="H151">
        <f t="shared" ca="1" si="10"/>
        <v>8.6542352831457237</v>
      </c>
      <c r="I151">
        <f t="shared" ca="1" si="11"/>
        <v>11.164</v>
      </c>
    </row>
    <row r="152" spans="1:9" x14ac:dyDescent="0.25">
      <c r="A152" vm="504">
        <f ca="1"/>
        <v>45880</v>
      </c>
      <c r="B152" vm="213">
        <f ca="1"/>
        <v>11.14</v>
      </c>
      <c r="C152" vm="909">
        <f ca="1"/>
        <v>84332966</v>
      </c>
      <c r="D152">
        <f t="shared" ca="1" si="8"/>
        <v>939469241.24000001</v>
      </c>
      <c r="E152">
        <f ca="1">SUM($D$2:D152)/SUM($C$2:C152)</f>
        <v>10.097637062307005</v>
      </c>
      <c r="F152">
        <f ca="1">_xlfn.STDEV.P($B$2:B152)</f>
        <v>0.72042629659828117</v>
      </c>
      <c r="G152">
        <f t="shared" ca="1" si="9"/>
        <v>11.538489655503566</v>
      </c>
      <c r="H152">
        <f t="shared" ca="1" si="10"/>
        <v>8.656784469110443</v>
      </c>
      <c r="I152">
        <f t="shared" ca="1" si="11"/>
        <v>11.202000000000002</v>
      </c>
    </row>
    <row r="153" spans="1:9" x14ac:dyDescent="0.25">
      <c r="A153" vm="505">
        <f ca="1"/>
        <v>45881</v>
      </c>
      <c r="B153" vm="910">
        <f ca="1"/>
        <v>11.25</v>
      </c>
      <c r="C153" vm="911">
        <f ca="1"/>
        <v>64021039</v>
      </c>
      <c r="D153">
        <f t="shared" ca="1" si="8"/>
        <v>720236688.75</v>
      </c>
      <c r="E153">
        <f ca="1">SUM($D$2:D153)/SUM($C$2:C153)</f>
        <v>10.10242326228812</v>
      </c>
      <c r="F153">
        <f ca="1">_xlfn.STDEV.P($B$2:B153)</f>
        <v>0.72293177792341512</v>
      </c>
      <c r="G153">
        <f t="shared" ca="1" si="9"/>
        <v>11.548286818134951</v>
      </c>
      <c r="H153">
        <f t="shared" ca="1" si="10"/>
        <v>8.6565597064412891</v>
      </c>
      <c r="I153">
        <f t="shared" ca="1" si="11"/>
        <v>11.24</v>
      </c>
    </row>
    <row r="154" spans="1:9" x14ac:dyDescent="0.25">
      <c r="A154" vm="507">
        <f ca="1"/>
        <v>45882</v>
      </c>
      <c r="B154" vm="912">
        <f ca="1"/>
        <v>11.44</v>
      </c>
      <c r="C154" vm="913">
        <f ca="1"/>
        <v>63823345</v>
      </c>
      <c r="D154">
        <f t="shared" ca="1" si="8"/>
        <v>730139066.79999995</v>
      </c>
      <c r="E154">
        <f ca="1">SUM($D$2:D154)/SUM($C$2:C154)</f>
        <v>10.107938733254434</v>
      </c>
      <c r="F154">
        <f ca="1">_xlfn.STDEV.P($B$2:B154)</f>
        <v>0.72724469874500042</v>
      </c>
      <c r="G154">
        <f t="shared" ca="1" si="9"/>
        <v>11.562428130744435</v>
      </c>
      <c r="H154">
        <f t="shared" ca="1" si="10"/>
        <v>8.6534493357644333</v>
      </c>
      <c r="I154">
        <f t="shared" ca="1" si="11"/>
        <v>11.286</v>
      </c>
    </row>
    <row r="155" spans="1:9" x14ac:dyDescent="0.25">
      <c r="A155" vm="509">
        <f ca="1"/>
        <v>45883</v>
      </c>
      <c r="B155" vm="912">
        <f ca="1"/>
        <v>11.44</v>
      </c>
      <c r="C155" vm="914">
        <f ca="1"/>
        <v>52469244</v>
      </c>
      <c r="D155">
        <f t="shared" ca="1" si="8"/>
        <v>600248151.36000001</v>
      </c>
      <c r="E155">
        <f ca="1">SUM($D$2:D155)/SUM($C$2:C155)</f>
        <v>10.112439055451031</v>
      </c>
      <c r="F155">
        <f ca="1">_xlfn.STDEV.P($B$2:B155)</f>
        <v>0.73139137751322414</v>
      </c>
      <c r="G155">
        <f t="shared" ca="1" si="9"/>
        <v>11.57522181047748</v>
      </c>
      <c r="H155">
        <f t="shared" ca="1" si="10"/>
        <v>8.6496563004245814</v>
      </c>
      <c r="I155">
        <f t="shared" ca="1" si="11"/>
        <v>11.318</v>
      </c>
    </row>
    <row r="156" spans="1:9" x14ac:dyDescent="0.25">
      <c r="A156" vm="510">
        <f ca="1"/>
        <v>45884</v>
      </c>
      <c r="B156" vm="912">
        <f ca="1"/>
        <v>11.44</v>
      </c>
      <c r="C156" vm="915">
        <f ca="1"/>
        <v>46141355</v>
      </c>
      <c r="D156">
        <f t="shared" ca="1" si="8"/>
        <v>527857101.19999999</v>
      </c>
      <c r="E156">
        <f ca="1">SUM($D$2:D156)/SUM($C$2:C156)</f>
        <v>10.116371576261447</v>
      </c>
      <c r="F156">
        <f ca="1">_xlfn.STDEV.P($B$2:B156)</f>
        <v>0.73537896882506693</v>
      </c>
      <c r="G156">
        <f t="shared" ca="1" si="9"/>
        <v>11.587129513911581</v>
      </c>
      <c r="H156">
        <f t="shared" ca="1" si="10"/>
        <v>8.6456136386113123</v>
      </c>
      <c r="I156">
        <f t="shared" ca="1" si="11"/>
        <v>11.341999999999999</v>
      </c>
    </row>
    <row r="157" spans="1:9" x14ac:dyDescent="0.25">
      <c r="A157" vm="514">
        <f ca="1"/>
        <v>45887</v>
      </c>
      <c r="B157" vm="198">
        <f ca="1"/>
        <v>11.46</v>
      </c>
      <c r="C157" vm="916">
        <f ca="1"/>
        <v>37113805</v>
      </c>
      <c r="D157">
        <f t="shared" ca="1" si="8"/>
        <v>425324205.30000001</v>
      </c>
      <c r="E157">
        <f ca="1">SUM($D$2:D157)/SUM($C$2:C157)</f>
        <v>10.119565373476341</v>
      </c>
      <c r="F157">
        <f ca="1">_xlfn.STDEV.P($B$2:B157)</f>
        <v>0.73942213590350558</v>
      </c>
      <c r="G157">
        <f t="shared" ca="1" si="9"/>
        <v>11.598409645283352</v>
      </c>
      <c r="H157">
        <f t="shared" ca="1" si="10"/>
        <v>8.6407211016693299</v>
      </c>
      <c r="I157">
        <f t="shared" ca="1" si="11"/>
        <v>11.405999999999999</v>
      </c>
    </row>
    <row r="158" spans="1:9" x14ac:dyDescent="0.25">
      <c r="A158" vm="517">
        <f ca="1"/>
        <v>45888</v>
      </c>
      <c r="B158" vm="917">
        <f ca="1"/>
        <v>11.58</v>
      </c>
      <c r="C158" vm="918">
        <f ca="1"/>
        <v>58020177</v>
      </c>
      <c r="D158">
        <f t="shared" ca="1" si="8"/>
        <v>671873649.65999997</v>
      </c>
      <c r="E158">
        <f ca="1">SUM($D$2:D158)/SUM($C$2:C158)</f>
        <v>10.124972207176445</v>
      </c>
      <c r="F158">
        <f ca="1">_xlfn.STDEV.P($B$2:B158)</f>
        <v>0.7446073382188334</v>
      </c>
      <c r="G158">
        <f t="shared" ca="1" si="9"/>
        <v>11.614186883614112</v>
      </c>
      <c r="H158">
        <f t="shared" ca="1" si="10"/>
        <v>8.6357575307387773</v>
      </c>
      <c r="I158">
        <f t="shared" ca="1" si="11"/>
        <v>11.472</v>
      </c>
    </row>
    <row r="159" spans="1:9" x14ac:dyDescent="0.25">
      <c r="A159" vm="520">
        <f ca="1"/>
        <v>45889</v>
      </c>
      <c r="B159" vm="919">
        <f ca="1"/>
        <v>11.49</v>
      </c>
      <c r="C159" vm="920">
        <f ca="1"/>
        <v>46469853</v>
      </c>
      <c r="D159">
        <f t="shared" ca="1" si="8"/>
        <v>533938610.97000003</v>
      </c>
      <c r="E159">
        <f ca="1">SUM($D$2:D159)/SUM($C$2:C159)</f>
        <v>10.129007813295834</v>
      </c>
      <c r="F159">
        <f ca="1">_xlfn.STDEV.P($B$2:B159)</f>
        <v>0.74863422123810297</v>
      </c>
      <c r="G159">
        <f t="shared" ca="1" si="9"/>
        <v>11.626276255772041</v>
      </c>
      <c r="H159">
        <f t="shared" ca="1" si="10"/>
        <v>8.6317393708196271</v>
      </c>
      <c r="I159">
        <f t="shared" ca="1" si="11"/>
        <v>11.482000000000001</v>
      </c>
    </row>
    <row r="160" spans="1:9" x14ac:dyDescent="0.25">
      <c r="A160" vm="522">
        <f ca="1"/>
        <v>45890</v>
      </c>
      <c r="B160" vm="921">
        <f ca="1"/>
        <v>11.33</v>
      </c>
      <c r="C160" vm="922">
        <f ca="1"/>
        <v>51779301</v>
      </c>
      <c r="D160">
        <f t="shared" ca="1" si="8"/>
        <v>586659480.33000004</v>
      </c>
      <c r="E160">
        <f ca="1">SUM($D$2:D160)/SUM($C$2:C160)</f>
        <v>10.132951151585692</v>
      </c>
      <c r="F160">
        <f ca="1">_xlfn.STDEV.P($B$2:B160)</f>
        <v>0.75099024099698053</v>
      </c>
      <c r="G160">
        <f t="shared" ca="1" si="9"/>
        <v>11.634931633579653</v>
      </c>
      <c r="H160">
        <f t="shared" ca="1" si="10"/>
        <v>8.630970669591731</v>
      </c>
      <c r="I160">
        <f t="shared" ca="1" si="11"/>
        <v>11.459999999999999</v>
      </c>
    </row>
    <row r="161" spans="1:9" x14ac:dyDescent="0.25">
      <c r="A161" vm="524">
        <f ca="1"/>
        <v>45891</v>
      </c>
      <c r="B161" vm="923">
        <f ca="1"/>
        <v>11.74</v>
      </c>
      <c r="C161" vm="924">
        <f ca="1"/>
        <v>58538704</v>
      </c>
      <c r="D161">
        <f t="shared" ca="1" si="8"/>
        <v>687244384.96000004</v>
      </c>
      <c r="E161">
        <f ca="1">SUM($D$2:D161)/SUM($C$2:C161)</f>
        <v>10.138894493627623</v>
      </c>
      <c r="F161">
        <f ca="1">_xlfn.STDEV.P($B$2:B161)</f>
        <v>0.75750244421944812</v>
      </c>
      <c r="G161">
        <f t="shared" ca="1" si="9"/>
        <v>11.65389938206652</v>
      </c>
      <c r="H161">
        <f t="shared" ca="1" si="10"/>
        <v>8.6238896051887259</v>
      </c>
      <c r="I161">
        <f t="shared" ca="1" si="11"/>
        <v>11.52</v>
      </c>
    </row>
    <row r="162" spans="1:9" x14ac:dyDescent="0.25">
      <c r="A162" vm="527">
        <f ca="1"/>
        <v>45894</v>
      </c>
      <c r="B162" vm="191">
        <f ca="1"/>
        <v>11.82</v>
      </c>
      <c r="C162" vm="925">
        <f ca="1"/>
        <v>45038754</v>
      </c>
      <c r="D162">
        <f t="shared" ca="1" si="8"/>
        <v>532358072.28000003</v>
      </c>
      <c r="E162">
        <f ca="1">SUM($D$2:D162)/SUM($C$2:C162)</f>
        <v>10.143664356461111</v>
      </c>
      <c r="F162">
        <f ca="1">_xlfn.STDEV.P($B$2:B162)</f>
        <v>0.76473855389097567</v>
      </c>
      <c r="G162">
        <f t="shared" ca="1" si="9"/>
        <v>11.673141464243063</v>
      </c>
      <c r="H162">
        <f t="shared" ca="1" si="10"/>
        <v>8.6141872486791584</v>
      </c>
      <c r="I162">
        <f t="shared" ca="1" si="11"/>
        <v>11.592000000000001</v>
      </c>
    </row>
    <row r="163" spans="1:9" x14ac:dyDescent="0.25">
      <c r="A163" vm="529">
        <f ca="1"/>
        <v>45895</v>
      </c>
      <c r="B163" vm="926">
        <f ca="1"/>
        <v>11.84</v>
      </c>
      <c r="C163" vm="927">
        <f ca="1"/>
        <v>48613273</v>
      </c>
      <c r="D163">
        <f t="shared" ca="1" si="8"/>
        <v>575581152.32000005</v>
      </c>
      <c r="E163">
        <f ca="1">SUM($D$2:D163)/SUM($C$2:C163)</f>
        <v>10.14884356260661</v>
      </c>
      <c r="F163">
        <f ca="1">_xlfn.STDEV.P($B$2:B163)</f>
        <v>0.77194723258052833</v>
      </c>
      <c r="G163">
        <f t="shared" ca="1" si="9"/>
        <v>11.692738027767666</v>
      </c>
      <c r="H163">
        <f t="shared" ca="1" si="10"/>
        <v>8.6049490974455534</v>
      </c>
      <c r="I163">
        <f t="shared" ca="1" si="11"/>
        <v>11.644</v>
      </c>
    </row>
    <row r="164" spans="1:9" x14ac:dyDescent="0.25">
      <c r="A164" vm="531">
        <f ca="1"/>
        <v>45896</v>
      </c>
      <c r="B164" vm="874">
        <f ca="1"/>
        <v>11.91</v>
      </c>
      <c r="C164" vm="928">
        <f ca="1"/>
        <v>40381477</v>
      </c>
      <c r="D164">
        <f t="shared" ca="1" si="8"/>
        <v>480943391.06999999</v>
      </c>
      <c r="E164">
        <f ca="1">SUM($D$2:D164)/SUM($C$2:C164)</f>
        <v>10.153298859303947</v>
      </c>
      <c r="F164">
        <f ca="1">_xlfn.STDEV.P($B$2:B164)</f>
        <v>0.77974836933838276</v>
      </c>
      <c r="G164">
        <f t="shared" ca="1" si="9"/>
        <v>11.712795597980712</v>
      </c>
      <c r="H164">
        <f t="shared" ca="1" si="10"/>
        <v>8.5938021206271813</v>
      </c>
      <c r="I164">
        <f t="shared" ca="1" si="11"/>
        <v>11.728</v>
      </c>
    </row>
    <row r="165" spans="1:9" x14ac:dyDescent="0.25">
      <c r="A165" vm="534">
        <f ca="1"/>
        <v>45897</v>
      </c>
      <c r="B165" vm="929">
        <f ca="1"/>
        <v>11.71</v>
      </c>
      <c r="C165" vm="930">
        <f ca="1"/>
        <v>47723668</v>
      </c>
      <c r="D165">
        <f t="shared" ca="1" si="8"/>
        <v>558844152.28000009</v>
      </c>
      <c r="E165">
        <f ca="1">SUM($D$2:D165)/SUM($C$2:C165)</f>
        <v>10.157939084680544</v>
      </c>
      <c r="F165">
        <f ca="1">_xlfn.STDEV.P($B$2:B165)</f>
        <v>0.78494760242322559</v>
      </c>
      <c r="G165">
        <f t="shared" ca="1" si="9"/>
        <v>11.727834289526996</v>
      </c>
      <c r="H165">
        <f t="shared" ca="1" si="10"/>
        <v>8.5880438798340926</v>
      </c>
      <c r="I165">
        <f t="shared" ca="1" si="11"/>
        <v>11.804</v>
      </c>
    </row>
    <row r="166" spans="1:9" x14ac:dyDescent="0.25">
      <c r="A166" vm="536">
        <f ca="1"/>
        <v>45898</v>
      </c>
      <c r="B166" vm="205">
        <f ca="1"/>
        <v>11.77</v>
      </c>
      <c r="C166" vm="931">
        <f ca="1"/>
        <v>44069734</v>
      </c>
      <c r="D166">
        <f t="shared" ca="1" si="8"/>
        <v>518700769.18000001</v>
      </c>
      <c r="E166">
        <f ca="1">SUM($D$2:D166)/SUM($C$2:C166)</f>
        <v>10.162364235771623</v>
      </c>
      <c r="F166">
        <f ca="1">_xlfn.STDEV.P($B$2:B166)</f>
        <v>0.79060905840192675</v>
      </c>
      <c r="G166">
        <f t="shared" ca="1" si="9"/>
        <v>11.743582352575476</v>
      </c>
      <c r="H166">
        <f t="shared" ca="1" si="10"/>
        <v>8.5811461189677694</v>
      </c>
      <c r="I166">
        <f t="shared" ca="1" si="11"/>
        <v>11.809999999999999</v>
      </c>
    </row>
    <row r="167" spans="1:9" x14ac:dyDescent="0.25">
      <c r="A167" vm="538">
        <f ca="1"/>
        <v>45902</v>
      </c>
      <c r="B167" vm="190">
        <f ca="1"/>
        <v>11.72</v>
      </c>
      <c r="C167" vm="932">
        <f ca="1"/>
        <v>57704182</v>
      </c>
      <c r="D167">
        <f t="shared" ca="1" si="8"/>
        <v>676293013.04000008</v>
      </c>
      <c r="E167">
        <f ca="1">SUM($D$2:D167)/SUM($C$2:C167)</f>
        <v>10.167942784642616</v>
      </c>
      <c r="F167">
        <f ca="1">_xlfn.STDEV.P($B$2:B167)</f>
        <v>0.79553503619836374</v>
      </c>
      <c r="G167">
        <f t="shared" ca="1" si="9"/>
        <v>11.759012857039343</v>
      </c>
      <c r="H167">
        <f t="shared" ca="1" si="10"/>
        <v>8.5768727122458888</v>
      </c>
      <c r="I167">
        <f t="shared" ca="1" si="11"/>
        <v>11.790000000000001</v>
      </c>
    </row>
    <row r="168" spans="1:9" x14ac:dyDescent="0.25">
      <c r="A168" vm="541">
        <f ca="1"/>
        <v>45903</v>
      </c>
      <c r="B168" vm="153">
        <f ca="1"/>
        <v>11.62</v>
      </c>
      <c r="C168" vm="933">
        <f ca="1"/>
        <v>47728660</v>
      </c>
      <c r="D168">
        <f t="shared" ca="1" si="8"/>
        <v>554607029.19999993</v>
      </c>
      <c r="E168">
        <f ca="1">SUM($D$2:D168)/SUM($C$2:C168)</f>
        <v>10.172231491971251</v>
      </c>
      <c r="F168">
        <f ca="1">_xlfn.STDEV.P($B$2:B168)</f>
        <v>0.79929468398248604</v>
      </c>
      <c r="G168">
        <f t="shared" ca="1" si="9"/>
        <v>11.770820859936224</v>
      </c>
      <c r="H168">
        <f t="shared" ca="1" si="10"/>
        <v>8.5736421240062786</v>
      </c>
      <c r="I168">
        <f t="shared" ca="1" si="11"/>
        <v>11.745999999999999</v>
      </c>
    </row>
    <row r="169" spans="1:9" x14ac:dyDescent="0.25">
      <c r="A169" vm="543">
        <f ca="1"/>
        <v>45904</v>
      </c>
      <c r="B169" vm="870">
        <f ca="1"/>
        <v>11.68</v>
      </c>
      <c r="C169" vm="934">
        <f ca="1"/>
        <v>33136650</v>
      </c>
      <c r="D169">
        <f t="shared" ca="1" si="8"/>
        <v>387036072</v>
      </c>
      <c r="E169">
        <f ca="1">SUM($D$2:D169)/SUM($C$2:C169)</f>
        <v>10.175316931746927</v>
      </c>
      <c r="F169">
        <f ca="1">_xlfn.STDEV.P($B$2:B169)</f>
        <v>0.80349677385402163</v>
      </c>
      <c r="G169">
        <f t="shared" ca="1" si="9"/>
        <v>11.782310479454971</v>
      </c>
      <c r="H169">
        <f t="shared" ca="1" si="10"/>
        <v>8.5683233840388837</v>
      </c>
      <c r="I169">
        <f t="shared" ca="1" si="11"/>
        <v>11.7</v>
      </c>
    </row>
    <row r="170" spans="1:9" x14ac:dyDescent="0.25">
      <c r="A170" vm="545">
        <f ca="1"/>
        <v>45905</v>
      </c>
      <c r="B170" vm="923">
        <f ca="1"/>
        <v>11.74</v>
      </c>
      <c r="C170" vm="935">
        <f ca="1"/>
        <v>47547831</v>
      </c>
      <c r="D170">
        <f t="shared" ca="1" si="8"/>
        <v>558211535.94000006</v>
      </c>
      <c r="E170">
        <f ca="1">SUM($D$2:D170)/SUM($C$2:C170)</f>
        <v>10.179897902680526</v>
      </c>
      <c r="F170">
        <f ca="1">_xlfn.STDEV.P($B$2:B170)</f>
        <v>0.80814356343528415</v>
      </c>
      <c r="G170">
        <f t="shared" ca="1" si="9"/>
        <v>11.796185029551095</v>
      </c>
      <c r="H170">
        <f t="shared" ca="1" si="10"/>
        <v>8.5636107758099573</v>
      </c>
      <c r="I170">
        <f t="shared" ca="1" si="11"/>
        <v>11.706</v>
      </c>
    </row>
    <row r="171" spans="1:9" x14ac:dyDescent="0.25">
      <c r="A171" vm="546">
        <f ca="1"/>
        <v>45908</v>
      </c>
      <c r="B171" vm="936">
        <f ca="1"/>
        <v>11.69</v>
      </c>
      <c r="C171" vm="937">
        <f ca="1"/>
        <v>39734522</v>
      </c>
      <c r="D171">
        <f t="shared" ca="1" si="8"/>
        <v>464496562.18000001</v>
      </c>
      <c r="E171">
        <f ca="1">SUM($D$2:D171)/SUM($C$2:C171)</f>
        <v>10.183583547545195</v>
      </c>
      <c r="F171">
        <f ca="1">_xlfn.STDEV.P($B$2:B171)</f>
        <v>0.81214110763976199</v>
      </c>
      <c r="G171">
        <f t="shared" ca="1" si="9"/>
        <v>11.807865762824719</v>
      </c>
      <c r="H171">
        <f t="shared" ca="1" si="10"/>
        <v>8.5593013322656724</v>
      </c>
      <c r="I171">
        <f t="shared" ca="1" si="11"/>
        <v>11.69</v>
      </c>
    </row>
    <row r="172" spans="1:9" x14ac:dyDescent="0.25">
      <c r="A172" vm="548">
        <f ca="1"/>
        <v>45909</v>
      </c>
      <c r="B172" vm="919">
        <f ca="1"/>
        <v>11.49</v>
      </c>
      <c r="C172" vm="938">
        <f ca="1"/>
        <v>41262743</v>
      </c>
      <c r="D172">
        <f t="shared" ca="1" si="8"/>
        <v>474108917.06999999</v>
      </c>
      <c r="E172">
        <f ca="1">SUM($D$2:D172)/SUM($C$2:C172)</f>
        <v>10.186886327033978</v>
      </c>
      <c r="F172">
        <f ca="1">_xlfn.STDEV.P($B$2:B172)</f>
        <v>0.81425804921515643</v>
      </c>
      <c r="G172">
        <f t="shared" ca="1" si="9"/>
        <v>11.81540242546429</v>
      </c>
      <c r="H172">
        <f t="shared" ca="1" si="10"/>
        <v>8.5583702286036658</v>
      </c>
      <c r="I172">
        <f t="shared" ca="1" si="11"/>
        <v>11.644</v>
      </c>
    </row>
    <row r="173" spans="1:9" x14ac:dyDescent="0.25">
      <c r="A173" vm="550">
        <f ca="1"/>
        <v>45910</v>
      </c>
      <c r="B173" vm="218">
        <f ca="1"/>
        <v>11.42</v>
      </c>
      <c r="C173" vm="939">
        <f ca="1"/>
        <v>47021328</v>
      </c>
      <c r="D173">
        <f t="shared" ca="1" si="8"/>
        <v>536983565.75999999</v>
      </c>
      <c r="E173">
        <f ca="1">SUM($D$2:D173)/SUM($C$2:C173)</f>
        <v>10.190428652551521</v>
      </c>
      <c r="F173">
        <f ca="1">_xlfn.STDEV.P($B$2:B173)</f>
        <v>0.8157582827895139</v>
      </c>
      <c r="G173">
        <f t="shared" ca="1" si="9"/>
        <v>11.82194521813055</v>
      </c>
      <c r="H173">
        <f t="shared" ca="1" si="10"/>
        <v>8.5589120869724926</v>
      </c>
      <c r="I173">
        <f t="shared" ca="1" si="11"/>
        <v>11.604000000000001</v>
      </c>
    </row>
    <row r="174" spans="1:9" x14ac:dyDescent="0.25">
      <c r="A174" vm="551">
        <f ca="1"/>
        <v>45911</v>
      </c>
      <c r="B174" vm="940">
        <f ca="1"/>
        <v>11.76</v>
      </c>
      <c r="C174" vm="941">
        <f ca="1"/>
        <v>64196118</v>
      </c>
      <c r="D174">
        <f t="shared" ca="1" si="8"/>
        <v>754946347.67999995</v>
      </c>
      <c r="E174">
        <f ca="1">SUM($D$2:D174)/SUM($C$2:C174)</f>
        <v>10.196560344861123</v>
      </c>
      <c r="F174">
        <f ca="1">_xlfn.STDEV.P($B$2:B174)</f>
        <v>0.82007733576008046</v>
      </c>
      <c r="G174">
        <f t="shared" ca="1" si="9"/>
        <v>11.836715016381284</v>
      </c>
      <c r="H174">
        <f t="shared" ca="1" si="10"/>
        <v>8.5564056733409615</v>
      </c>
      <c r="I174">
        <f t="shared" ca="1" si="11"/>
        <v>11.620000000000001</v>
      </c>
    </row>
    <row r="175" spans="1:9" x14ac:dyDescent="0.25">
      <c r="A175" vm="554">
        <f ca="1"/>
        <v>45912</v>
      </c>
      <c r="B175" vm="870">
        <f ca="1"/>
        <v>11.68</v>
      </c>
      <c r="C175" vm="942">
        <f ca="1"/>
        <v>50100809</v>
      </c>
      <c r="D175">
        <f t="shared" ca="1" si="8"/>
        <v>585177449.12</v>
      </c>
      <c r="E175">
        <f ca="1">SUM($D$2:D175)/SUM($C$2:C175)</f>
        <v>10.201069374251061</v>
      </c>
      <c r="F175">
        <f ca="1">_xlfn.STDEV.P($B$2:B175)</f>
        <v>0.82351092574555562</v>
      </c>
      <c r="G175">
        <f t="shared" ca="1" si="9"/>
        <v>11.848091225742172</v>
      </c>
      <c r="H175">
        <f t="shared" ca="1" si="10"/>
        <v>8.5540475227599497</v>
      </c>
      <c r="I175">
        <f t="shared" ca="1" si="11"/>
        <v>11.608000000000001</v>
      </c>
    </row>
    <row r="176" spans="1:9" x14ac:dyDescent="0.25">
      <c r="A176" vm="555">
        <f ca="1"/>
        <v>45915</v>
      </c>
      <c r="B176" vm="870">
        <f ca="1"/>
        <v>11.68</v>
      </c>
      <c r="C176" vm="943">
        <f ca="1"/>
        <v>47942431</v>
      </c>
      <c r="D176">
        <f t="shared" ca="1" si="8"/>
        <v>559967594.08000004</v>
      </c>
      <c r="E176">
        <f ca="1">SUM($D$2:D176)/SUM($C$2:C176)</f>
        <v>10.205358560736</v>
      </c>
      <c r="F176">
        <f ca="1">_xlfn.STDEV.P($B$2:B176)</f>
        <v>0.82682592439950886</v>
      </c>
      <c r="G176">
        <f t="shared" ca="1" si="9"/>
        <v>11.859010409535017</v>
      </c>
      <c r="H176">
        <f t="shared" ca="1" si="10"/>
        <v>8.5517067119369834</v>
      </c>
      <c r="I176">
        <f t="shared" ca="1" si="11"/>
        <v>11.606</v>
      </c>
    </row>
    <row r="177" spans="1:9" x14ac:dyDescent="0.25">
      <c r="A177" vm="556">
        <f ca="1"/>
        <v>45916</v>
      </c>
      <c r="B177" vm="944">
        <f ca="1"/>
        <v>11.61</v>
      </c>
      <c r="C177" vm="945">
        <f ca="1"/>
        <v>58064970</v>
      </c>
      <c r="D177">
        <f t="shared" ca="1" si="8"/>
        <v>674134301.69999993</v>
      </c>
      <c r="E177">
        <f ca="1">SUM($D$2:D177)/SUM($C$2:C177)</f>
        <v>10.210275150282076</v>
      </c>
      <c r="F177">
        <f ca="1">_xlfn.STDEV.P($B$2:B177)</f>
        <v>0.82943550489207329</v>
      </c>
      <c r="G177">
        <f t="shared" ca="1" si="9"/>
        <v>11.869146160066222</v>
      </c>
      <c r="H177">
        <f t="shared" ca="1" si="10"/>
        <v>8.5514041404979295</v>
      </c>
      <c r="I177">
        <f t="shared" ca="1" si="11"/>
        <v>11.629999999999999</v>
      </c>
    </row>
    <row r="178" spans="1:9" x14ac:dyDescent="0.25">
      <c r="A178" vm="559">
        <f ca="1"/>
        <v>45917</v>
      </c>
      <c r="B178" vm="200">
        <f ca="1"/>
        <v>11.66</v>
      </c>
      <c r="C178" vm="946">
        <f ca="1"/>
        <v>68585945</v>
      </c>
      <c r="D178">
        <f t="shared" ca="1" si="8"/>
        <v>799712118.70000005</v>
      </c>
      <c r="E178">
        <f ca="1">SUM($D$2:D178)/SUM($C$2:C178)</f>
        <v>10.2162443087255</v>
      </c>
      <c r="F178">
        <f ca="1">_xlfn.STDEV.P($B$2:B178)</f>
        <v>0.83236508592678826</v>
      </c>
      <c r="G178">
        <f t="shared" ca="1" si="9"/>
        <v>11.880974480579077</v>
      </c>
      <c r="H178">
        <f t="shared" ca="1" si="10"/>
        <v>8.5515141368719227</v>
      </c>
      <c r="I178">
        <f t="shared" ca="1" si="11"/>
        <v>11.678000000000001</v>
      </c>
    </row>
    <row r="179" spans="1:9" x14ac:dyDescent="0.25">
      <c r="A179" vm="560">
        <f ca="1"/>
        <v>45918</v>
      </c>
      <c r="B179" vm="923">
        <f ca="1"/>
        <v>11.74</v>
      </c>
      <c r="C179" vm="947">
        <f ca="1"/>
        <v>55040063</v>
      </c>
      <c r="D179">
        <f t="shared" ca="1" si="8"/>
        <v>646170339.62</v>
      </c>
      <c r="E179">
        <f ca="1">SUM($D$2:D179)/SUM($C$2:C179)</f>
        <v>10.22126257859788</v>
      </c>
      <c r="F179">
        <f ca="1">_xlfn.STDEV.P($B$2:B179)</f>
        <v>0.83587845138616346</v>
      </c>
      <c r="G179">
        <f t="shared" ca="1" si="9"/>
        <v>11.893019481370207</v>
      </c>
      <c r="H179">
        <f t="shared" ca="1" si="10"/>
        <v>8.5495056758255537</v>
      </c>
      <c r="I179">
        <f t="shared" ca="1" si="11"/>
        <v>11.673999999999999</v>
      </c>
    </row>
    <row r="180" spans="1:9" x14ac:dyDescent="0.25">
      <c r="A180" vm="561">
        <f ca="1"/>
        <v>45919</v>
      </c>
      <c r="B180" vm="153">
        <f ca="1"/>
        <v>11.62</v>
      </c>
      <c r="C180" vm="948">
        <f ca="1"/>
        <v>71676341</v>
      </c>
      <c r="D180">
        <f t="shared" ca="1" si="8"/>
        <v>832879082.41999996</v>
      </c>
      <c r="E180">
        <f ca="1">SUM($D$2:D180)/SUM($C$2:C180)</f>
        <v>10.227235862443083</v>
      </c>
      <c r="F180">
        <f ca="1">_xlfn.STDEV.P($B$2:B180)</f>
        <v>0.83827695252161671</v>
      </c>
      <c r="G180">
        <f t="shared" ca="1" si="9"/>
        <v>11.903789767486316</v>
      </c>
      <c r="H180">
        <f t="shared" ca="1" si="10"/>
        <v>8.5506819573998492</v>
      </c>
      <c r="I180">
        <f t="shared" ca="1" si="11"/>
        <v>11.662000000000001</v>
      </c>
    </row>
    <row r="181" spans="1:9" x14ac:dyDescent="0.25">
      <c r="A181" vm="562">
        <f ca="1"/>
        <v>45922</v>
      </c>
      <c r="B181" vm="200">
        <f ca="1"/>
        <v>11.66</v>
      </c>
      <c r="C181" vm="949">
        <f ca="1"/>
        <v>58432710</v>
      </c>
      <c r="D181">
        <f t="shared" ca="1" si="8"/>
        <v>681325398.60000002</v>
      </c>
      <c r="E181">
        <f ca="1">SUM($D$2:D181)/SUM($C$2:C181)</f>
        <v>10.232206619346172</v>
      </c>
      <c r="F181">
        <f ca="1">_xlfn.STDEV.P($B$2:B181)</f>
        <v>0.84090734911099996</v>
      </c>
      <c r="G181">
        <f t="shared" ca="1" si="9"/>
        <v>11.914021317568173</v>
      </c>
      <c r="H181">
        <f t="shared" ca="1" si="10"/>
        <v>8.5503919211241719</v>
      </c>
      <c r="I181">
        <f t="shared" ca="1" si="11"/>
        <v>11.657999999999998</v>
      </c>
    </row>
    <row r="182" spans="1:9" x14ac:dyDescent="0.25">
      <c r="A182" vm="563">
        <f ca="1"/>
        <v>45923</v>
      </c>
      <c r="B182" vm="950">
        <f ca="1"/>
        <v>11.73</v>
      </c>
      <c r="C182" vm="951">
        <f ca="1"/>
        <v>55667552</v>
      </c>
      <c r="D182">
        <f t="shared" ca="1" si="8"/>
        <v>652980384.96000004</v>
      </c>
      <c r="E182">
        <f ca="1">SUM($D$2:D182)/SUM($C$2:C182)</f>
        <v>10.237140774175764</v>
      </c>
      <c r="F182">
        <f ca="1">_xlfn.STDEV.P($B$2:B182)</f>
        <v>0.84401867887775894</v>
      </c>
      <c r="G182">
        <f t="shared" ca="1" si="9"/>
        <v>11.925178131931281</v>
      </c>
      <c r="H182">
        <f t="shared" ca="1" si="10"/>
        <v>8.5491034164202464</v>
      </c>
      <c r="I182">
        <f t="shared" ca="1" si="11"/>
        <v>11.681999999999999</v>
      </c>
    </row>
    <row r="183" spans="1:9" x14ac:dyDescent="0.25">
      <c r="A183" vm="564">
        <f ca="1"/>
        <v>45924</v>
      </c>
      <c r="B183" vm="952">
        <f ca="1"/>
        <v>11.63</v>
      </c>
      <c r="C183" vm="953">
        <f ca="1"/>
        <v>60193780</v>
      </c>
      <c r="D183">
        <f t="shared" ca="1" si="8"/>
        <v>700053661.4000001</v>
      </c>
      <c r="E183">
        <f ca="1">SUM($D$2:D183)/SUM($C$2:C183)</f>
        <v>10.242084715614295</v>
      </c>
      <c r="F183">
        <f ca="1">_xlfn.STDEV.P($B$2:B183)</f>
        <v>0.846229563095802</v>
      </c>
      <c r="G183">
        <f t="shared" ca="1" si="9"/>
        <v>11.934543841805899</v>
      </c>
      <c r="H183">
        <f t="shared" ca="1" si="10"/>
        <v>8.5496255894226909</v>
      </c>
      <c r="I183">
        <f t="shared" ca="1" si="11"/>
        <v>11.676</v>
      </c>
    </row>
    <row r="184" spans="1:9" x14ac:dyDescent="0.25">
      <c r="A184" vm="566">
        <f ca="1"/>
        <v>45925</v>
      </c>
      <c r="B184" vm="153">
        <f ca="1"/>
        <v>11.62</v>
      </c>
      <c r="C184" vm="954">
        <f ca="1"/>
        <v>67656337</v>
      </c>
      <c r="D184">
        <f t="shared" ca="1" si="8"/>
        <v>786166635.93999994</v>
      </c>
      <c r="E184">
        <f ca="1">SUM($D$2:D184)/SUM($C$2:C184)</f>
        <v>10.247560121087064</v>
      </c>
      <c r="F184">
        <f ca="1">_xlfn.STDEV.P($B$2:B184)</f>
        <v>0.84828653748400973</v>
      </c>
      <c r="G184">
        <f t="shared" ca="1" si="9"/>
        <v>11.944133196055084</v>
      </c>
      <c r="H184">
        <f t="shared" ca="1" si="10"/>
        <v>8.5509870461190438</v>
      </c>
      <c r="I184">
        <f t="shared" ca="1" si="11"/>
        <v>11.652000000000001</v>
      </c>
    </row>
    <row r="185" spans="1:9" x14ac:dyDescent="0.25">
      <c r="A185" vm="568">
        <f ca="1"/>
        <v>45926</v>
      </c>
      <c r="B185" vm="955">
        <f ca="1"/>
        <v>12.01</v>
      </c>
      <c r="C185" vm="956">
        <f ca="1"/>
        <v>117681848</v>
      </c>
      <c r="D185">
        <f t="shared" ca="1" si="8"/>
        <v>1413358994.48</v>
      </c>
      <c r="E185">
        <f ca="1">SUM($D$2:D185)/SUM($C$2:C185)</f>
        <v>10.259658233706276</v>
      </c>
      <c r="F185">
        <f ca="1">_xlfn.STDEV.P($B$2:B185)</f>
        <v>0.85362305219012657</v>
      </c>
      <c r="G185">
        <f t="shared" ca="1" si="9"/>
        <v>11.966904338086529</v>
      </c>
      <c r="H185">
        <f t="shared" ca="1" si="10"/>
        <v>8.5524121293260222</v>
      </c>
      <c r="I185">
        <f t="shared" ca="1" si="11"/>
        <v>11.73</v>
      </c>
    </row>
    <row r="186" spans="1:9" x14ac:dyDescent="0.25">
      <c r="A186" vm="571">
        <f ca="1"/>
        <v>45929</v>
      </c>
      <c r="B186" vm="957">
        <f ca="1"/>
        <v>12.09</v>
      </c>
      <c r="C186" vm="958">
        <f ca="1"/>
        <v>83325012</v>
      </c>
      <c r="D186">
        <f t="shared" ca="1" si="8"/>
        <v>1007399395.08</v>
      </c>
      <c r="E186">
        <f ca="1">SUM($D$2:D186)/SUM($C$2:C186)</f>
        <v>10.268511340210148</v>
      </c>
      <c r="F186">
        <f ca="1">_xlfn.STDEV.P($B$2:B186)</f>
        <v>0.85957983904975577</v>
      </c>
      <c r="G186">
        <f t="shared" ca="1" si="9"/>
        <v>11.98767101830966</v>
      </c>
      <c r="H186">
        <f t="shared" ca="1" si="10"/>
        <v>8.5493516621106362</v>
      </c>
      <c r="I186">
        <f t="shared" ca="1" si="11"/>
        <v>11.815999999999999</v>
      </c>
    </row>
    <row r="187" spans="1:9" x14ac:dyDescent="0.25">
      <c r="A187" vm="573">
        <f ca="1"/>
        <v>45930</v>
      </c>
      <c r="B187" vm="959">
        <f ca="1"/>
        <v>11.96</v>
      </c>
      <c r="C187" vm="960">
        <f ca="1"/>
        <v>70765048</v>
      </c>
      <c r="D187">
        <f t="shared" ca="1" si="8"/>
        <v>846349974.08000004</v>
      </c>
      <c r="E187">
        <f ca="1">SUM($D$2:D187)/SUM($C$2:C187)</f>
        <v>10.275431174255333</v>
      </c>
      <c r="F187">
        <f ca="1">_xlfn.STDEV.P($B$2:B187)</f>
        <v>0.8641001887864852</v>
      </c>
      <c r="G187">
        <f t="shared" ca="1" si="9"/>
        <v>12.003631551828303</v>
      </c>
      <c r="H187">
        <f t="shared" ca="1" si="10"/>
        <v>8.5472307966823635</v>
      </c>
      <c r="I187">
        <f t="shared" ca="1" si="11"/>
        <v>11.861999999999998</v>
      </c>
    </row>
    <row r="188" spans="1:9" x14ac:dyDescent="0.25">
      <c r="A188" vm="575">
        <f ca="1"/>
        <v>45931</v>
      </c>
      <c r="B188" vm="961">
        <f ca="1"/>
        <v>12.27</v>
      </c>
      <c r="C188" vm="962">
        <f ca="1"/>
        <v>73578427</v>
      </c>
      <c r="D188">
        <f t="shared" ca="1" si="8"/>
        <v>902807299.28999996</v>
      </c>
      <c r="E188">
        <f ca="1">SUM($D$2:D188)/SUM($C$2:C188)</f>
        <v>10.283879368772203</v>
      </c>
      <c r="F188">
        <f ca="1">_xlfn.STDEV.P($B$2:B188)</f>
        <v>0.87156668749217892</v>
      </c>
      <c r="G188">
        <f t="shared" ca="1" si="9"/>
        <v>12.027012743756561</v>
      </c>
      <c r="H188">
        <f t="shared" ca="1" si="10"/>
        <v>8.5407459937878443</v>
      </c>
      <c r="I188">
        <f t="shared" ca="1" si="11"/>
        <v>11.99</v>
      </c>
    </row>
    <row r="189" spans="1:9" x14ac:dyDescent="0.25">
      <c r="A189" vm="576">
        <f ca="1"/>
        <v>45932</v>
      </c>
      <c r="B189" vm="963">
        <f ca="1"/>
        <v>12.22</v>
      </c>
      <c r="C189" vm="964">
        <f ca="1"/>
        <v>74530532</v>
      </c>
      <c r="D189">
        <f t="shared" ca="1" si="8"/>
        <v>910763101.04000008</v>
      </c>
      <c r="E189">
        <f ca="1">SUM($D$2:D189)/SUM($C$2:C189)</f>
        <v>10.292150629256197</v>
      </c>
      <c r="F189">
        <f ca="1">_xlfn.STDEV.P($B$2:B189)</f>
        <v>0.8782621050342565</v>
      </c>
      <c r="G189">
        <f t="shared" ca="1" si="9"/>
        <v>12.048674839324709</v>
      </c>
      <c r="H189">
        <f t="shared" ca="1" si="10"/>
        <v>8.5356264191876843</v>
      </c>
      <c r="I189">
        <f t="shared" ca="1" si="11"/>
        <v>12.11</v>
      </c>
    </row>
    <row r="190" spans="1:9" x14ac:dyDescent="0.25">
      <c r="A190" vm="578">
        <f ca="1"/>
        <v>45933</v>
      </c>
      <c r="B190" vm="965">
        <f ca="1"/>
        <v>12.67</v>
      </c>
      <c r="C190" vm="966">
        <f ca="1"/>
        <v>100778558</v>
      </c>
      <c r="D190">
        <f t="shared" ca="1" si="8"/>
        <v>1276864329.8599999</v>
      </c>
      <c r="E190">
        <f ca="1">SUM($D$2:D190)/SUM($C$2:C190)</f>
        <v>10.305807651333543</v>
      </c>
      <c r="F190">
        <f ca="1">_xlfn.STDEV.P($B$2:B190)</f>
        <v>0.88992514148141777</v>
      </c>
      <c r="G190">
        <f t="shared" ca="1" si="9"/>
        <v>12.085657934296378</v>
      </c>
      <c r="H190">
        <f t="shared" ca="1" si="10"/>
        <v>8.5259573683707082</v>
      </c>
      <c r="I190">
        <f t="shared" ca="1" si="11"/>
        <v>12.242000000000001</v>
      </c>
    </row>
    <row r="191" spans="1:9" x14ac:dyDescent="0.25">
      <c r="A191" vm="580">
        <f ca="1"/>
        <v>45936</v>
      </c>
      <c r="B191" vm="967">
        <f ca="1"/>
        <v>12.7</v>
      </c>
      <c r="C191" vm="968">
        <f ca="1"/>
        <v>90544937</v>
      </c>
      <c r="D191">
        <f t="shared" ca="1" si="8"/>
        <v>1149920699.8999999</v>
      </c>
      <c r="E191">
        <f ca="1">SUM($D$2:D191)/SUM($C$2:C191)</f>
        <v>10.3180987711123</v>
      </c>
      <c r="F191">
        <f ca="1">_xlfn.STDEV.P($B$2:B191)</f>
        <v>0.90155150554851093</v>
      </c>
      <c r="G191">
        <f t="shared" ca="1" si="9"/>
        <v>12.121201782209322</v>
      </c>
      <c r="H191">
        <f t="shared" ca="1" si="10"/>
        <v>8.5149957600152781</v>
      </c>
      <c r="I191">
        <f t="shared" ca="1" si="11"/>
        <v>12.364000000000001</v>
      </c>
    </row>
    <row r="192" spans="1:9" x14ac:dyDescent="0.25">
      <c r="A192" vm="582">
        <f ca="1"/>
        <v>45937</v>
      </c>
      <c r="B192" vm="969">
        <f ca="1"/>
        <v>11.92</v>
      </c>
      <c r="C192" vm="970">
        <f ca="1"/>
        <v>154390154</v>
      </c>
      <c r="D192">
        <f t="shared" ca="1" si="8"/>
        <v>1840330635.6800001</v>
      </c>
      <c r="E192">
        <f ca="1">SUM($D$2:D192)/SUM($C$2:C192)</f>
        <v>10.331999528670313</v>
      </c>
      <c r="F192">
        <f ca="1">_xlfn.STDEV.P($B$2:B192)</f>
        <v>0.90479499638140359</v>
      </c>
      <c r="G192">
        <f t="shared" ca="1" si="9"/>
        <v>12.14158952143312</v>
      </c>
      <c r="H192">
        <f t="shared" ca="1" si="10"/>
        <v>8.5224095359075047</v>
      </c>
      <c r="I192">
        <f t="shared" ca="1" si="11"/>
        <v>12.356</v>
      </c>
    </row>
    <row r="193" spans="1:9" x14ac:dyDescent="0.25">
      <c r="A193" vm="584">
        <f ca="1"/>
        <v>45938</v>
      </c>
      <c r="B193" vm="923">
        <f ca="1"/>
        <v>11.74</v>
      </c>
      <c r="C193" vm="971">
        <f ca="1"/>
        <v>78469653</v>
      </c>
      <c r="D193">
        <f t="shared" ca="1" si="8"/>
        <v>921233726.22000003</v>
      </c>
      <c r="E193">
        <f ca="1">SUM($D$2:D193)/SUM($C$2:C193)</f>
        <v>10.338182203916041</v>
      </c>
      <c r="F193">
        <f ca="1">_xlfn.STDEV.P($B$2:B193)</f>
        <v>0.90660310001811506</v>
      </c>
      <c r="G193">
        <f t="shared" ca="1" si="9"/>
        <v>12.151388403952271</v>
      </c>
      <c r="H193">
        <f t="shared" ca="1" si="10"/>
        <v>8.5249760038798108</v>
      </c>
      <c r="I193">
        <f t="shared" ca="1" si="11"/>
        <v>12.250000000000002</v>
      </c>
    </row>
    <row r="194" spans="1:9" x14ac:dyDescent="0.25">
      <c r="A194" vm="585">
        <f ca="1"/>
        <v>45939</v>
      </c>
      <c r="B194" vm="972">
        <f ca="1"/>
        <v>11.5</v>
      </c>
      <c r="C194" vm="973">
        <f ca="1"/>
        <v>70320483</v>
      </c>
      <c r="D194">
        <f t="shared" ca="1" si="8"/>
        <v>808685554.5</v>
      </c>
      <c r="E194">
        <f ca="1">SUM($D$2:D194)/SUM($C$2:C194)</f>
        <v>10.342736131726163</v>
      </c>
      <c r="F194">
        <f ca="1">_xlfn.STDEV.P($B$2:B194)</f>
        <v>0.90687412169706805</v>
      </c>
      <c r="G194">
        <f t="shared" ca="1" si="9"/>
        <v>12.156484375120298</v>
      </c>
      <c r="H194">
        <f t="shared" ca="1" si="10"/>
        <v>8.5289878883320274</v>
      </c>
      <c r="I194">
        <f t="shared" ca="1" si="11"/>
        <v>12.106</v>
      </c>
    </row>
    <row r="195" spans="1:9" x14ac:dyDescent="0.25">
      <c r="A195" vm="587">
        <f ca="1"/>
        <v>45940</v>
      </c>
      <c r="B195" vm="974">
        <f ca="1"/>
        <v>11.41</v>
      </c>
      <c r="C195" vm="975">
        <f ca="1"/>
        <v>84595402</v>
      </c>
      <c r="D195">
        <f t="shared" ref="D195:D237" ca="1" si="12">B195*C195</f>
        <v>965233536.82000005</v>
      </c>
      <c r="E195">
        <f ca="1">SUM($D$2:D195)/SUM($C$2:C195)</f>
        <v>10.347745025303562</v>
      </c>
      <c r="F195">
        <f ca="1">_xlfn.STDEV.P($B$2:B195)</f>
        <v>0.90665230120309215</v>
      </c>
      <c r="G195">
        <f t="shared" ref="G195:G237" ca="1" si="13">IF(E195="","", E195 + (F195*2))</f>
        <v>12.161049627709746</v>
      </c>
      <c r="H195">
        <f t="shared" ref="H195:H237" ca="1" si="14">IF(E195="","", E195 - (F195*2))</f>
        <v>8.5344404228973776</v>
      </c>
      <c r="I195">
        <f t="shared" ca="1" si="11"/>
        <v>11.853999999999999</v>
      </c>
    </row>
    <row r="196" spans="1:9" x14ac:dyDescent="0.25">
      <c r="A196" vm="590">
        <f ca="1"/>
        <v>45943</v>
      </c>
      <c r="B196" vm="976">
        <f ca="1"/>
        <v>11.54</v>
      </c>
      <c r="C196" vm="977">
        <f ca="1"/>
        <v>73939384</v>
      </c>
      <c r="D196">
        <f t="shared" ca="1" si="12"/>
        <v>853260491.3599999</v>
      </c>
      <c r="E196">
        <f ca="1">SUM($D$2:D196)/SUM($C$2:C196)</f>
        <v>10.352615713901285</v>
      </c>
      <c r="F196">
        <f ca="1">_xlfn.STDEV.P($B$2:B196)</f>
        <v>0.90708810293966202</v>
      </c>
      <c r="G196">
        <f t="shared" ca="1" si="13"/>
        <v>12.166791919780609</v>
      </c>
      <c r="H196">
        <f t="shared" ca="1" si="14"/>
        <v>8.5384395080219608</v>
      </c>
      <c r="I196">
        <f t="shared" ca="1" si="11"/>
        <v>11.621999999999998</v>
      </c>
    </row>
    <row r="197" spans="1:9" x14ac:dyDescent="0.25">
      <c r="A197" vm="592">
        <f ca="1"/>
        <v>45944</v>
      </c>
      <c r="B197" vm="194">
        <f ca="1"/>
        <v>11.65</v>
      </c>
      <c r="C197" vm="978">
        <f ca="1"/>
        <v>89117946</v>
      </c>
      <c r="D197">
        <f t="shared" ca="1" si="12"/>
        <v>1038224070.9</v>
      </c>
      <c r="E197">
        <f ca="1">SUM($D$2:D197)/SUM($C$2:C197)</f>
        <v>10.358972623173276</v>
      </c>
      <c r="F197">
        <f ca="1">_xlfn.STDEV.P($B$2:B197)</f>
        <v>0.90813120492423494</v>
      </c>
      <c r="G197">
        <f t="shared" ca="1" si="13"/>
        <v>12.175235033021746</v>
      </c>
      <c r="H197">
        <f t="shared" ca="1" si="14"/>
        <v>8.5427102133248063</v>
      </c>
      <c r="I197">
        <f t="shared" ca="1" si="11"/>
        <v>11.568000000000001</v>
      </c>
    </row>
    <row r="198" spans="1:9" x14ac:dyDescent="0.25">
      <c r="A198" vm="594">
        <f ca="1"/>
        <v>45945</v>
      </c>
      <c r="B198" vm="940">
        <f ca="1"/>
        <v>11.76</v>
      </c>
      <c r="C198" vm="979">
        <f ca="1"/>
        <v>88960726</v>
      </c>
      <c r="D198">
        <f t="shared" ca="1" si="12"/>
        <v>1046178137.76</v>
      </c>
      <c r="E198">
        <f ca="1">SUM($D$2:D198)/SUM($C$2:C198)</f>
        <v>10.365791897039031</v>
      </c>
      <c r="F198">
        <f ca="1">_xlfn.STDEV.P($B$2:B198)</f>
        <v>0.90982803180919547</v>
      </c>
      <c r="G198">
        <f t="shared" ca="1" si="13"/>
        <v>12.185447960657422</v>
      </c>
      <c r="H198">
        <f t="shared" ca="1" si="14"/>
        <v>8.5461358334206405</v>
      </c>
      <c r="I198">
        <f t="shared" ca="1" si="11"/>
        <v>11.571999999999999</v>
      </c>
    </row>
    <row r="199" spans="1:9" x14ac:dyDescent="0.25">
      <c r="A199" vm="596">
        <f ca="1"/>
        <v>45946</v>
      </c>
      <c r="B199" vm="923">
        <f ca="1"/>
        <v>11.74</v>
      </c>
      <c r="C199" vm="980">
        <f ca="1"/>
        <v>108701202</v>
      </c>
      <c r="D199">
        <f t="shared" ca="1" si="12"/>
        <v>1276152111.48</v>
      </c>
      <c r="E199">
        <f ca="1">SUM($D$2:D199)/SUM($C$2:C199)</f>
        <v>10.373916549052149</v>
      </c>
      <c r="F199">
        <f ca="1">_xlfn.STDEV.P($B$2:B199)</f>
        <v>0.91133398649077613</v>
      </c>
      <c r="G199">
        <f t="shared" ca="1" si="13"/>
        <v>12.196584522033701</v>
      </c>
      <c r="H199">
        <f t="shared" ca="1" si="14"/>
        <v>8.5512485760705967</v>
      </c>
      <c r="I199">
        <f t="shared" ref="I199:I237" ca="1" si="15">AVERAGE(B195:B199)</f>
        <v>11.620000000000001</v>
      </c>
    </row>
    <row r="200" spans="1:9" x14ac:dyDescent="0.25">
      <c r="A200" vm="597">
        <f ca="1"/>
        <v>45947</v>
      </c>
      <c r="B200" vm="969">
        <f ca="1"/>
        <v>11.92</v>
      </c>
      <c r="C200" vm="981">
        <f ca="1"/>
        <v>107633522</v>
      </c>
      <c r="D200">
        <f t="shared" ca="1" si="12"/>
        <v>1282991582.24</v>
      </c>
      <c r="E200">
        <f ca="1">SUM($D$2:D200)/SUM($C$2:C200)</f>
        <v>10.382914909358217</v>
      </c>
      <c r="F200">
        <f ca="1">_xlfn.STDEV.P($B$2:B200)</f>
        <v>0.91402380562712948</v>
      </c>
      <c r="G200">
        <f t="shared" ca="1" si="13"/>
        <v>12.210962520612476</v>
      </c>
      <c r="H200">
        <f t="shared" ca="1" si="14"/>
        <v>8.5548672981039573</v>
      </c>
      <c r="I200">
        <f t="shared" ca="1" si="15"/>
        <v>11.722</v>
      </c>
    </row>
    <row r="201" spans="1:9" x14ac:dyDescent="0.25">
      <c r="A201" vm="600">
        <f ca="1"/>
        <v>45950</v>
      </c>
      <c r="B201" vm="982">
        <f ca="1"/>
        <v>11.99</v>
      </c>
      <c r="C201" vm="983">
        <f ca="1"/>
        <v>77878936</v>
      </c>
      <c r="D201">
        <f t="shared" ca="1" si="12"/>
        <v>933768442.63999999</v>
      </c>
      <c r="E201">
        <f ca="1">SUM($D$2:D201)/SUM($C$2:C201)</f>
        <v>10.389654239455172</v>
      </c>
      <c r="F201">
        <f ca="1">_xlfn.STDEV.P($B$2:B201)</f>
        <v>0.91715231294425681</v>
      </c>
      <c r="G201">
        <f t="shared" ca="1" si="13"/>
        <v>12.223958865343686</v>
      </c>
      <c r="H201">
        <f t="shared" ca="1" si="14"/>
        <v>8.5553496135666585</v>
      </c>
      <c r="I201">
        <f t="shared" ca="1" si="15"/>
        <v>11.812000000000001</v>
      </c>
    </row>
    <row r="202" spans="1:9" x14ac:dyDescent="0.25">
      <c r="A202" vm="601">
        <f ca="1"/>
        <v>45951</v>
      </c>
      <c r="B202" vm="984">
        <f ca="1"/>
        <v>12.56</v>
      </c>
      <c r="C202" vm="985">
        <f ca="1"/>
        <v>297153158</v>
      </c>
      <c r="D202">
        <f t="shared" ca="1" si="12"/>
        <v>3732243664.48</v>
      </c>
      <c r="E202">
        <f ca="1">SUM($D$2:D202)/SUM($C$2:C202)</f>
        <v>10.423834323800508</v>
      </c>
      <c r="F202">
        <f ca="1">_xlfn.STDEV.P($B$2:B202)</f>
        <v>0.92535077216306649</v>
      </c>
      <c r="G202">
        <f t="shared" ca="1" si="13"/>
        <v>12.274535868126641</v>
      </c>
      <c r="H202">
        <f t="shared" ca="1" si="14"/>
        <v>8.5731327794743741</v>
      </c>
      <c r="I202">
        <f t="shared" ca="1" si="15"/>
        <v>11.994000000000002</v>
      </c>
    </row>
    <row r="203" spans="1:9" x14ac:dyDescent="0.25">
      <c r="A203" vm="604">
        <f ca="1"/>
        <v>45952</v>
      </c>
      <c r="B203" vm="986">
        <f ca="1"/>
        <v>12.43</v>
      </c>
      <c r="C203" vm="987">
        <f ca="1"/>
        <v>415062173</v>
      </c>
      <c r="D203">
        <f t="shared" ca="1" si="12"/>
        <v>5159222810.3900003</v>
      </c>
      <c r="E203">
        <f ca="1">SUM($D$2:D203)/SUM($C$2:C203)</f>
        <v>10.467015442662337</v>
      </c>
      <c r="F203">
        <f ca="1">_xlfn.STDEV.P($B$2:B203)</f>
        <v>0.93199125538163352</v>
      </c>
      <c r="G203">
        <f t="shared" ca="1" si="13"/>
        <v>12.330997953425603</v>
      </c>
      <c r="H203">
        <f t="shared" ca="1" si="14"/>
        <v>8.6030329318990706</v>
      </c>
      <c r="I203">
        <f t="shared" ca="1" si="15"/>
        <v>12.128</v>
      </c>
    </row>
    <row r="204" spans="1:9" x14ac:dyDescent="0.25">
      <c r="A204" vm="606">
        <f ca="1"/>
        <v>45953</v>
      </c>
      <c r="B204" vm="988">
        <f ca="1"/>
        <v>12.34</v>
      </c>
      <c r="C204" vm="989">
        <f ca="1"/>
        <v>479840312</v>
      </c>
      <c r="D204">
        <f t="shared" ca="1" si="12"/>
        <v>5921229450.0799999</v>
      </c>
      <c r="E204">
        <f ca="1">SUM($D$2:D204)/SUM($C$2:C204)</f>
        <v>10.512490199491635</v>
      </c>
      <c r="F204">
        <f ca="1">_xlfn.STDEV.P($B$2:B204)</f>
        <v>0.93759623373711254</v>
      </c>
      <c r="G204">
        <f t="shared" ca="1" si="13"/>
        <v>12.38768266696586</v>
      </c>
      <c r="H204">
        <f t="shared" ca="1" si="14"/>
        <v>8.6372977320174105</v>
      </c>
      <c r="I204">
        <f t="shared" ca="1" si="15"/>
        <v>12.247999999999999</v>
      </c>
    </row>
    <row r="205" spans="1:9" x14ac:dyDescent="0.25">
      <c r="A205" vm="608">
        <f ca="1"/>
        <v>45954</v>
      </c>
      <c r="B205" vm="990">
        <f ca="1"/>
        <v>13.84</v>
      </c>
      <c r="C205" vm="991">
        <f ca="1"/>
        <v>298366862</v>
      </c>
      <c r="D205">
        <f t="shared" ca="1" si="12"/>
        <v>4129397370.0799999</v>
      </c>
      <c r="E205">
        <f ca="1">SUM($D$2:D205)/SUM($C$2:C205)</f>
        <v>10.561978421707094</v>
      </c>
      <c r="F205">
        <f ca="1">_xlfn.STDEV.P($B$2:B205)</f>
        <v>0.96206069480528877</v>
      </c>
      <c r="G205">
        <f t="shared" ca="1" si="13"/>
        <v>12.486099811317672</v>
      </c>
      <c r="H205">
        <f t="shared" ca="1" si="14"/>
        <v>8.637857032096516</v>
      </c>
      <c r="I205">
        <f t="shared" ca="1" si="15"/>
        <v>12.632000000000001</v>
      </c>
    </row>
    <row r="206" spans="1:9" x14ac:dyDescent="0.25">
      <c r="A206" vm="610">
        <f ca="1"/>
        <v>45957</v>
      </c>
      <c r="B206" vm="138">
        <f ca="1"/>
        <v>13.26</v>
      </c>
      <c r="C206" vm="992">
        <f ca="1"/>
        <v>140859004</v>
      </c>
      <c r="D206">
        <f t="shared" ca="1" si="12"/>
        <v>1867790393.04</v>
      </c>
      <c r="E206">
        <f ca="1">SUM($D$2:D206)/SUM($C$2:C206)</f>
        <v>10.580789916428241</v>
      </c>
      <c r="F206">
        <f ca="1">_xlfn.STDEV.P($B$2:B206)</f>
        <v>0.97705772026871807</v>
      </c>
      <c r="G206">
        <f t="shared" ca="1" si="13"/>
        <v>12.534905356965677</v>
      </c>
      <c r="H206">
        <f t="shared" ca="1" si="14"/>
        <v>8.6266744758908054</v>
      </c>
      <c r="I206">
        <f t="shared" ca="1" si="15"/>
        <v>12.886000000000001</v>
      </c>
    </row>
    <row r="207" spans="1:9" x14ac:dyDescent="0.25">
      <c r="A207" vm="611">
        <f ca="1"/>
        <v>45958</v>
      </c>
      <c r="B207" vm="993">
        <f ca="1"/>
        <v>13.13</v>
      </c>
      <c r="C207" vm="994">
        <f ca="1"/>
        <v>96738451</v>
      </c>
      <c r="D207">
        <f t="shared" ca="1" si="12"/>
        <v>1270175861.6300001</v>
      </c>
      <c r="E207">
        <f ca="1">SUM($D$2:D207)/SUM($C$2:C207)</f>
        <v>10.592938437401177</v>
      </c>
      <c r="F207">
        <f ca="1">_xlfn.STDEV.P($B$2:B207)</f>
        <v>0.9899037123645108</v>
      </c>
      <c r="G207">
        <f t="shared" ca="1" si="13"/>
        <v>12.572745862130198</v>
      </c>
      <c r="H207">
        <f t="shared" ca="1" si="14"/>
        <v>8.6131310126721559</v>
      </c>
      <c r="I207">
        <f t="shared" ca="1" si="15"/>
        <v>13</v>
      </c>
    </row>
    <row r="208" spans="1:9" x14ac:dyDescent="0.25">
      <c r="A208" vm="614">
        <f ca="1"/>
        <v>45959</v>
      </c>
      <c r="B208" vm="995">
        <f ca="1"/>
        <v>13.24</v>
      </c>
      <c r="C208" vm="996">
        <f ca="1"/>
        <v>127512240</v>
      </c>
      <c r="D208">
        <f t="shared" ca="1" si="12"/>
        <v>1688262057.6000001</v>
      </c>
      <c r="E208">
        <f ca="1">SUM($D$2:D208)/SUM($C$2:C208)</f>
        <v>10.609462431631394</v>
      </c>
      <c r="F208">
        <f ca="1">_xlfn.STDEV.P($B$2:B208)</f>
        <v>1.0036543694127888</v>
      </c>
      <c r="G208">
        <f t="shared" ca="1" si="13"/>
        <v>12.616771170456971</v>
      </c>
      <c r="H208">
        <f t="shared" ca="1" si="14"/>
        <v>8.6021536928058175</v>
      </c>
      <c r="I208">
        <f t="shared" ca="1" si="15"/>
        <v>13.162000000000001</v>
      </c>
    </row>
    <row r="209" spans="1:9" x14ac:dyDescent="0.25">
      <c r="A209" vm="618">
        <f ca="1"/>
        <v>45960</v>
      </c>
      <c r="B209" vm="997">
        <f ca="1"/>
        <v>13.06</v>
      </c>
      <c r="C209" vm="998">
        <f ca="1"/>
        <v>80766301</v>
      </c>
      <c r="D209">
        <f t="shared" ca="1" si="12"/>
        <v>1054807891.0600001</v>
      </c>
      <c r="E209">
        <f ca="1">SUM($D$2:D209)/SUM($C$2:C209)</f>
        <v>10.619113533295758</v>
      </c>
      <c r="F209">
        <f ca="1">_xlfn.STDEV.P($B$2:B209)</f>
        <v>1.0148330711315974</v>
      </c>
      <c r="G209">
        <f t="shared" ca="1" si="13"/>
        <v>12.648779675558952</v>
      </c>
      <c r="H209">
        <f t="shared" ca="1" si="14"/>
        <v>8.5894473910325644</v>
      </c>
      <c r="I209">
        <f t="shared" ca="1" si="15"/>
        <v>13.306000000000001</v>
      </c>
    </row>
    <row r="210" spans="1:9" x14ac:dyDescent="0.25">
      <c r="A210" vm="621">
        <f ca="1"/>
        <v>45961</v>
      </c>
      <c r="B210" vm="993">
        <f ca="1"/>
        <v>13.13</v>
      </c>
      <c r="C210" vm="999">
        <f ca="1"/>
        <v>68861988</v>
      </c>
      <c r="D210">
        <f t="shared" ca="1" si="12"/>
        <v>904157902.44000006</v>
      </c>
      <c r="E210">
        <f ca="1">SUM($D$2:D210)/SUM($C$2:C210)</f>
        <v>10.627516566889891</v>
      </c>
      <c r="F210">
        <f ca="1">_xlfn.STDEV.P($B$2:B210)</f>
        <v>1.0264426410597121</v>
      </c>
      <c r="G210">
        <f t="shared" ca="1" si="13"/>
        <v>12.680401849009316</v>
      </c>
      <c r="H210">
        <f t="shared" ca="1" si="14"/>
        <v>8.5746312847704669</v>
      </c>
      <c r="I210">
        <f t="shared" ca="1" si="15"/>
        <v>13.164000000000001</v>
      </c>
    </row>
    <row r="211" spans="1:9" x14ac:dyDescent="0.25">
      <c r="A211" vm="622">
        <f ca="1"/>
        <v>45964</v>
      </c>
      <c r="B211" vm="1000">
        <f ca="1"/>
        <v>13.01</v>
      </c>
      <c r="C211" vm="1001">
        <f ca="1"/>
        <v>80419403</v>
      </c>
      <c r="D211">
        <f t="shared" ca="1" si="12"/>
        <v>1046256433.03</v>
      </c>
      <c r="E211">
        <f ca="1">SUM($D$2:D211)/SUM($C$2:C211)</f>
        <v>10.636791828064688</v>
      </c>
      <c r="F211">
        <f ca="1">_xlfn.STDEV.P($B$2:B211)</f>
        <v>1.0363776384032577</v>
      </c>
      <c r="G211">
        <f t="shared" ca="1" si="13"/>
        <v>12.709547104871202</v>
      </c>
      <c r="H211">
        <f t="shared" ca="1" si="14"/>
        <v>8.5640365512581731</v>
      </c>
      <c r="I211">
        <f t="shared" ca="1" si="15"/>
        <v>13.114000000000001</v>
      </c>
    </row>
    <row r="212" spans="1:9" x14ac:dyDescent="0.25">
      <c r="A212" vm="623">
        <f ca="1"/>
        <v>45965</v>
      </c>
      <c r="B212" vm="1002">
        <f ca="1"/>
        <v>12.79</v>
      </c>
      <c r="C212" vm="1003">
        <f ca="1"/>
        <v>70360611</v>
      </c>
      <c r="D212">
        <f t="shared" ca="1" si="12"/>
        <v>899912214.68999994</v>
      </c>
      <c r="E212">
        <f ca="1">SUM($D$2:D212)/SUM($C$2:C212)</f>
        <v>10.644101102562894</v>
      </c>
      <c r="F212">
        <f ca="1">_xlfn.STDEV.P($B$2:B212)</f>
        <v>1.043826508758201</v>
      </c>
      <c r="G212">
        <f t="shared" ca="1" si="13"/>
        <v>12.731754120079296</v>
      </c>
      <c r="H212">
        <f t="shared" ca="1" si="14"/>
        <v>8.5564480850464921</v>
      </c>
      <c r="I212">
        <f t="shared" ca="1" si="15"/>
        <v>13.045999999999998</v>
      </c>
    </row>
    <row r="213" spans="1:9" x14ac:dyDescent="0.25">
      <c r="A213" vm="626">
        <f ca="1"/>
        <v>45966</v>
      </c>
      <c r="B213" vm="1004">
        <f ca="1"/>
        <v>13.11</v>
      </c>
      <c r="C213" vm="1005">
        <f ca="1"/>
        <v>79134307</v>
      </c>
      <c r="D213">
        <f t="shared" ca="1" si="12"/>
        <v>1037450764.77</v>
      </c>
      <c r="E213">
        <f ca="1">SUM($D$2:D213)/SUM($C$2:C213)</f>
        <v>10.653479827282911</v>
      </c>
      <c r="F213">
        <f ca="1">_xlfn.STDEV.P($B$2:B213)</f>
        <v>1.0542567878250304</v>
      </c>
      <c r="G213">
        <f t="shared" ca="1" si="13"/>
        <v>12.761993402932973</v>
      </c>
      <c r="H213">
        <f t="shared" ca="1" si="14"/>
        <v>8.5449662516328502</v>
      </c>
      <c r="I213">
        <f t="shared" ca="1" si="15"/>
        <v>13.02</v>
      </c>
    </row>
    <row r="214" spans="1:9" x14ac:dyDescent="0.25">
      <c r="A214" vm="627">
        <f ca="1"/>
        <v>45967</v>
      </c>
      <c r="B214" vm="1006">
        <f ca="1"/>
        <v>13.12</v>
      </c>
      <c r="C214" vm="1007">
        <f ca="1"/>
        <v>82291049</v>
      </c>
      <c r="D214">
        <f t="shared" ca="1" si="12"/>
        <v>1079658562.8799999</v>
      </c>
      <c r="E214">
        <f ca="1">SUM($D$2:D214)/SUM($C$2:C214)</f>
        <v>10.663196704241908</v>
      </c>
      <c r="F214">
        <f ca="1">_xlfn.STDEV.P($B$2:B214)</f>
        <v>1.0644747856535866</v>
      </c>
      <c r="G214">
        <f t="shared" ca="1" si="13"/>
        <v>12.792146275549081</v>
      </c>
      <c r="H214">
        <f t="shared" ca="1" si="14"/>
        <v>8.5342471329347358</v>
      </c>
      <c r="I214">
        <f t="shared" ca="1" si="15"/>
        <v>13.032</v>
      </c>
    </row>
    <row r="215" spans="1:9" x14ac:dyDescent="0.25">
      <c r="A215" vm="629">
        <f ca="1"/>
        <v>45968</v>
      </c>
      <c r="B215" vm="1008">
        <f ca="1"/>
        <v>13.21</v>
      </c>
      <c r="C215" vm="1009">
        <f ca="1"/>
        <v>80011318</v>
      </c>
      <c r="D215">
        <f t="shared" ca="1" si="12"/>
        <v>1056949510.7800001</v>
      </c>
      <c r="E215">
        <f ca="1">SUM($D$2:D215)/SUM($C$2:C215)</f>
        <v>10.672914682646766</v>
      </c>
      <c r="F215">
        <f ca="1">_xlfn.STDEV.P($B$2:B215)</f>
        <v>1.0753321474276989</v>
      </c>
      <c r="G215">
        <f t="shared" ca="1" si="13"/>
        <v>12.823578977502164</v>
      </c>
      <c r="H215">
        <f t="shared" ca="1" si="14"/>
        <v>8.5222503877913685</v>
      </c>
      <c r="I215">
        <f t="shared" ca="1" si="15"/>
        <v>13.047999999999998</v>
      </c>
    </row>
    <row r="216" spans="1:9" x14ac:dyDescent="0.25">
      <c r="A216" vm="631">
        <f ca="1"/>
        <v>45971</v>
      </c>
      <c r="B216" vm="1010">
        <f ca="1"/>
        <v>13.16</v>
      </c>
      <c r="C216" vm="1011">
        <f ca="1"/>
        <v>62051157</v>
      </c>
      <c r="D216">
        <f t="shared" ca="1" si="12"/>
        <v>816593226.12</v>
      </c>
      <c r="E216">
        <f ca="1">SUM($D$2:D216)/SUM($C$2:C216)</f>
        <v>10.680252829337489</v>
      </c>
      <c r="F216">
        <f ca="1">_xlfn.STDEV.P($B$2:B216)</f>
        <v>1.0853395831185102</v>
      </c>
      <c r="G216">
        <f t="shared" ca="1" si="13"/>
        <v>12.850931995574509</v>
      </c>
      <c r="H216">
        <f t="shared" ca="1" si="14"/>
        <v>8.5095736631004684</v>
      </c>
      <c r="I216">
        <f t="shared" ca="1" si="15"/>
        <v>13.077999999999999</v>
      </c>
    </row>
    <row r="217" spans="1:9" x14ac:dyDescent="0.25">
      <c r="A217" vm="632">
        <f ca="1"/>
        <v>45972</v>
      </c>
      <c r="B217" vm="1012">
        <f ca="1"/>
        <v>13.3</v>
      </c>
      <c r="C217" vm="1013">
        <f ca="1"/>
        <v>79742405</v>
      </c>
      <c r="D217">
        <f t="shared" ca="1" si="12"/>
        <v>1060573986.5</v>
      </c>
      <c r="E217">
        <f ca="1">SUM($D$2:D217)/SUM($C$2:C217)</f>
        <v>10.690148629731114</v>
      </c>
      <c r="F217">
        <f ca="1">_xlfn.STDEV.P($B$2:B217)</f>
        <v>1.0965070255688931</v>
      </c>
      <c r="G217">
        <f t="shared" ca="1" si="13"/>
        <v>12.883162680868899</v>
      </c>
      <c r="H217">
        <f t="shared" ca="1" si="14"/>
        <v>8.4971345785933288</v>
      </c>
      <c r="I217">
        <f t="shared" ca="1" si="15"/>
        <v>13.179999999999998</v>
      </c>
    </row>
    <row r="218" spans="1:9" x14ac:dyDescent="0.25">
      <c r="A218" vm="634">
        <f ca="1"/>
        <v>45973</v>
      </c>
      <c r="B218" vm="1014">
        <f ca="1"/>
        <v>13.45</v>
      </c>
      <c r="C218" vm="1015">
        <f ca="1"/>
        <v>61840461</v>
      </c>
      <c r="D218">
        <f t="shared" ca="1" si="12"/>
        <v>831754200.44999993</v>
      </c>
      <c r="E218">
        <f ca="1">SUM($D$2:D218)/SUM($C$2:C218)</f>
        <v>10.698209654915191</v>
      </c>
      <c r="F218">
        <f ca="1">_xlfn.STDEV.P($B$2:B218)</f>
        <v>1.1089556961585247</v>
      </c>
      <c r="G218">
        <f t="shared" ca="1" si="13"/>
        <v>12.91612104723224</v>
      </c>
      <c r="H218">
        <f t="shared" ca="1" si="14"/>
        <v>8.4802982625981418</v>
      </c>
      <c r="I218">
        <f t="shared" ca="1" si="15"/>
        <v>13.247999999999999</v>
      </c>
    </row>
    <row r="219" spans="1:9" x14ac:dyDescent="0.25">
      <c r="A219" vm="636">
        <f ca="1"/>
        <v>45974</v>
      </c>
      <c r="B219" vm="1016">
        <f ca="1"/>
        <v>13.28</v>
      </c>
      <c r="C219" vm="1017">
        <f ca="1"/>
        <v>71481613</v>
      </c>
      <c r="D219">
        <f t="shared" ca="1" si="12"/>
        <v>949275820.63999999</v>
      </c>
      <c r="E219">
        <f ca="1">SUM($D$2:D219)/SUM($C$2:C219)</f>
        <v>10.706896926382072</v>
      </c>
      <c r="F219">
        <f ca="1">_xlfn.STDEV.P($B$2:B219)</f>
        <v>1.1192282962528688</v>
      </c>
      <c r="G219">
        <f t="shared" ca="1" si="13"/>
        <v>12.94535351888781</v>
      </c>
      <c r="H219">
        <f t="shared" ca="1" si="14"/>
        <v>8.4684403338763339</v>
      </c>
      <c r="I219">
        <f t="shared" ca="1" si="15"/>
        <v>13.280000000000001</v>
      </c>
    </row>
    <row r="220" spans="1:9" x14ac:dyDescent="0.25">
      <c r="A220" vm="637">
        <f ca="1"/>
        <v>45975</v>
      </c>
      <c r="B220" vm="1018">
        <f ca="1"/>
        <v>13.19</v>
      </c>
      <c r="C220" vm="1019">
        <f ca="1"/>
        <v>67932422</v>
      </c>
      <c r="D220">
        <f t="shared" ca="1" si="12"/>
        <v>896028646.17999995</v>
      </c>
      <c r="E220">
        <f ca="1">SUM($D$2:D220)/SUM($C$2:C220)</f>
        <v>10.71481197107275</v>
      </c>
      <c r="F220">
        <f ca="1">_xlfn.STDEV.P($B$2:B220)</f>
        <v>1.1283146240529505</v>
      </c>
      <c r="G220">
        <f t="shared" ca="1" si="13"/>
        <v>12.971441219178651</v>
      </c>
      <c r="H220">
        <f t="shared" ca="1" si="14"/>
        <v>8.4581827229668498</v>
      </c>
      <c r="I220">
        <f t="shared" ca="1" si="15"/>
        <v>13.276</v>
      </c>
    </row>
    <row r="221" spans="1:9" x14ac:dyDescent="0.25">
      <c r="A221" vm="639">
        <f ca="1"/>
        <v>45978</v>
      </c>
      <c r="B221" vm="1020">
        <f ca="1"/>
        <v>12.88</v>
      </c>
      <c r="C221" vm="1021">
        <f ca="1"/>
        <v>73404381</v>
      </c>
      <c r="D221">
        <f t="shared" ca="1" si="12"/>
        <v>945448427.28000009</v>
      </c>
      <c r="E221">
        <f ca="1">SUM($D$2:D221)/SUM($C$2:C221)</f>
        <v>10.722243973520635</v>
      </c>
      <c r="F221">
        <f ca="1">_xlfn.STDEV.P($B$2:B221)</f>
        <v>1.1343858708967178</v>
      </c>
      <c r="G221">
        <f t="shared" ca="1" si="13"/>
        <v>12.99101571531407</v>
      </c>
      <c r="H221">
        <f t="shared" ca="1" si="14"/>
        <v>8.4534722317272006</v>
      </c>
      <c r="I221">
        <f t="shared" ca="1" si="15"/>
        <v>13.219999999999999</v>
      </c>
    </row>
    <row r="222" spans="1:9" x14ac:dyDescent="0.25">
      <c r="A222" vm="643">
        <f ca="1"/>
        <v>45979</v>
      </c>
      <c r="B222" vm="1022">
        <f ca="1"/>
        <v>13.02</v>
      </c>
      <c r="C222" vm="1023">
        <f ca="1"/>
        <v>70215400</v>
      </c>
      <c r="D222">
        <f t="shared" ca="1" si="12"/>
        <v>914204508</v>
      </c>
      <c r="E222">
        <f ca="1">SUM($D$2:D222)/SUM($C$2:C222)</f>
        <v>10.729763680502641</v>
      </c>
      <c r="F222">
        <f ca="1">_xlfn.STDEV.P($B$2:B222)</f>
        <v>1.1414748253843168</v>
      </c>
      <c r="G222">
        <f t="shared" ca="1" si="13"/>
        <v>13.012713331271275</v>
      </c>
      <c r="H222">
        <f t="shared" ca="1" si="14"/>
        <v>8.4468140297340071</v>
      </c>
      <c r="I222">
        <f t="shared" ca="1" si="15"/>
        <v>13.163999999999998</v>
      </c>
    </row>
    <row r="223" spans="1:9" x14ac:dyDescent="0.25">
      <c r="A223" vm="644">
        <f ca="1"/>
        <v>45980</v>
      </c>
      <c r="B223" vm="1024">
        <f ca="1"/>
        <v>12.9</v>
      </c>
      <c r="C223" vm="1025">
        <f ca="1"/>
        <v>49619260</v>
      </c>
      <c r="D223">
        <f t="shared" ca="1" si="12"/>
        <v>640088454</v>
      </c>
      <c r="E223">
        <f ca="1">SUM($D$2:D223)/SUM($C$2:C223)</f>
        <v>10.734771154664905</v>
      </c>
      <c r="F223">
        <f ca="1">_xlfn.STDEV.P($B$2:B223)</f>
        <v>1.1473688395758919</v>
      </c>
      <c r="G223">
        <f t="shared" ca="1" si="13"/>
        <v>13.029508833816688</v>
      </c>
      <c r="H223">
        <f t="shared" ca="1" si="14"/>
        <v>8.4400334755131219</v>
      </c>
      <c r="I223">
        <f t="shared" ca="1" si="15"/>
        <v>13.054000000000002</v>
      </c>
    </row>
    <row r="224" spans="1:9" x14ac:dyDescent="0.25">
      <c r="A224" vm="647">
        <f ca="1"/>
        <v>45981</v>
      </c>
      <c r="B224" vm="1026">
        <f ca="1"/>
        <v>12.41</v>
      </c>
      <c r="C224" vm="1027">
        <f ca="1"/>
        <v>95861863</v>
      </c>
      <c r="D224">
        <f t="shared" ca="1" si="12"/>
        <v>1189645719.8299999</v>
      </c>
      <c r="E224">
        <f ca="1">SUM($D$2:D224)/SUM($C$2:C224)</f>
        <v>10.742205620628862</v>
      </c>
      <c r="F224">
        <f ca="1">_xlfn.STDEV.P($B$2:B224)</f>
        <v>1.1496410092407594</v>
      </c>
      <c r="G224">
        <f t="shared" ca="1" si="13"/>
        <v>13.041487639110381</v>
      </c>
      <c r="H224">
        <f t="shared" ca="1" si="14"/>
        <v>8.4429236021473439</v>
      </c>
      <c r="I224">
        <f t="shared" ca="1" si="15"/>
        <v>12.88</v>
      </c>
    </row>
    <row r="225" spans="1:9" x14ac:dyDescent="0.25">
      <c r="A225" vm="648">
        <f ca="1"/>
        <v>45982</v>
      </c>
      <c r="B225" vm="1028">
        <f ca="1"/>
        <v>12.83</v>
      </c>
      <c r="C225" vm="1029">
        <f ca="1"/>
        <v>74048860</v>
      </c>
      <c r="D225">
        <f t="shared" ca="1" si="12"/>
        <v>950046873.79999995</v>
      </c>
      <c r="E225">
        <f ca="1">SUM($D$2:D225)/SUM($C$2:C225)</f>
        <v>10.749338249555073</v>
      </c>
      <c r="F225">
        <f ca="1">_xlfn.STDEV.P($B$2:B225)</f>
        <v>1.154728759422424</v>
      </c>
      <c r="G225">
        <f t="shared" ca="1" si="13"/>
        <v>13.058795768399921</v>
      </c>
      <c r="H225">
        <f t="shared" ca="1" si="14"/>
        <v>8.4398807307102253</v>
      </c>
      <c r="I225">
        <f t="shared" ca="1" si="15"/>
        <v>12.807999999999998</v>
      </c>
    </row>
    <row r="226" spans="1:9" x14ac:dyDescent="0.25">
      <c r="A226" vm="650">
        <f ca="1"/>
        <v>45985</v>
      </c>
      <c r="B226" vm="1030">
        <f ca="1"/>
        <v>12.96</v>
      </c>
      <c r="C226" vm="1031">
        <f ca="1"/>
        <v>52936240</v>
      </c>
      <c r="D226">
        <f t="shared" ca="1" si="12"/>
        <v>686053670.4000001</v>
      </c>
      <c r="E226">
        <f ca="1">SUM($D$2:D226)/SUM($C$2:C226)</f>
        <v>10.754724165096402</v>
      </c>
      <c r="F226">
        <f ca="1">_xlfn.STDEV.P($B$2:B226)</f>
        <v>1.1606971403667352</v>
      </c>
      <c r="G226">
        <f t="shared" ca="1" si="13"/>
        <v>13.076118445829872</v>
      </c>
      <c r="H226">
        <f t="shared" ca="1" si="14"/>
        <v>8.4333298843629318</v>
      </c>
      <c r="I226">
        <f t="shared" ca="1" si="15"/>
        <v>12.824000000000002</v>
      </c>
    </row>
    <row r="227" spans="1:9" x14ac:dyDescent="0.25">
      <c r="A227" vm="651">
        <f ca="1"/>
        <v>45986</v>
      </c>
      <c r="B227" vm="1032">
        <f ca="1"/>
        <v>13.17</v>
      </c>
      <c r="C227" vm="1033">
        <f ca="1"/>
        <v>52884970</v>
      </c>
      <c r="D227">
        <f t="shared" ca="1" si="12"/>
        <v>696495054.89999998</v>
      </c>
      <c r="E227">
        <f ca="1">SUM($D$2:D227)/SUM($C$2:C227)</f>
        <v>10.76058861622449</v>
      </c>
      <c r="F227">
        <f ca="1">_xlfn.STDEV.P($B$2:B227)</f>
        <v>1.1682578117877256</v>
      </c>
      <c r="G227">
        <f t="shared" ca="1" si="13"/>
        <v>13.097104239799942</v>
      </c>
      <c r="H227">
        <f t="shared" ca="1" si="14"/>
        <v>8.4240729926490392</v>
      </c>
      <c r="I227">
        <f t="shared" ca="1" si="15"/>
        <v>12.853999999999999</v>
      </c>
    </row>
    <row r="228" spans="1:9" x14ac:dyDescent="0.25">
      <c r="A228" vm="653">
        <f ca="1"/>
        <v>45987</v>
      </c>
      <c r="B228" vm="1018">
        <f ca="1"/>
        <v>13.19</v>
      </c>
      <c r="C228" vm="1034">
        <f ca="1"/>
        <v>44942203</v>
      </c>
      <c r="D228">
        <f t="shared" ca="1" si="12"/>
        <v>592787657.56999993</v>
      </c>
      <c r="E228">
        <f ca="1">SUM($D$2:D228)/SUM($C$2:C228)</f>
        <v>10.765591133459523</v>
      </c>
      <c r="F228">
        <f ca="1">_xlfn.STDEV.P($B$2:B228)</f>
        <v>1.1757885215118344</v>
      </c>
      <c r="G228">
        <f t="shared" ca="1" si="13"/>
        <v>13.117168176483192</v>
      </c>
      <c r="H228">
        <f t="shared" ca="1" si="14"/>
        <v>8.4140140904358542</v>
      </c>
      <c r="I228">
        <f t="shared" ca="1" si="15"/>
        <v>12.912000000000001</v>
      </c>
    </row>
    <row r="229" spans="1:9" x14ac:dyDescent="0.25">
      <c r="A229" vm="655">
        <f ca="1"/>
        <v>45989</v>
      </c>
      <c r="B229" vm="1016">
        <f ca="1"/>
        <v>13.28</v>
      </c>
      <c r="C229" vm="1035">
        <f ca="1"/>
        <v>29536180</v>
      </c>
      <c r="D229">
        <f t="shared" ca="1" si="12"/>
        <v>392240470.39999998</v>
      </c>
      <c r="E229">
        <f ca="1">SUM($D$2:D229)/SUM($C$2:C229)</f>
        <v>10.768989232834281</v>
      </c>
      <c r="F229">
        <f ca="1">_xlfn.STDEV.P($B$2:B229)</f>
        <v>1.1839014232433718</v>
      </c>
      <c r="G229">
        <f t="shared" ca="1" si="13"/>
        <v>13.136792079321024</v>
      </c>
      <c r="H229">
        <f t="shared" ca="1" si="14"/>
        <v>8.401186386347538</v>
      </c>
      <c r="I229">
        <f t="shared" ca="1" si="15"/>
        <v>13.085999999999999</v>
      </c>
    </row>
    <row r="230" spans="1:9" x14ac:dyDescent="0.25">
      <c r="A230" vm="656">
        <f ca="1"/>
        <v>45992</v>
      </c>
      <c r="B230" vm="1010">
        <f ca="1"/>
        <v>13.16</v>
      </c>
      <c r="C230" vm="1036">
        <f ca="1"/>
        <v>51593955</v>
      </c>
      <c r="D230">
        <f t="shared" ca="1" si="12"/>
        <v>678976447.79999995</v>
      </c>
      <c r="E230">
        <f ca="1">SUM($D$2:D230)/SUM($C$2:C230)</f>
        <v>10.774620448525326</v>
      </c>
      <c r="F230">
        <f ca="1">_xlfn.STDEV.P($B$2:B230)</f>
        <v>1.1907756667056193</v>
      </c>
      <c r="G230">
        <f t="shared" ca="1" si="13"/>
        <v>13.156171781936564</v>
      </c>
      <c r="H230">
        <f t="shared" ca="1" si="14"/>
        <v>8.3930691151140877</v>
      </c>
      <c r="I230">
        <f t="shared" ca="1" si="15"/>
        <v>13.152000000000001</v>
      </c>
    </row>
    <row r="231" spans="1:9" x14ac:dyDescent="0.25">
      <c r="A231" vm="659">
        <f ca="1"/>
        <v>45993</v>
      </c>
      <c r="B231" vm="1030">
        <f ca="1"/>
        <v>12.96</v>
      </c>
      <c r="C231" vm="1037">
        <f ca="1"/>
        <v>57641703</v>
      </c>
      <c r="D231">
        <f t="shared" ca="1" si="12"/>
        <v>747036470.88</v>
      </c>
      <c r="E231">
        <f ca="1">SUM($D$2:D231)/SUM($C$2:C231)</f>
        <v>10.780355591656924</v>
      </c>
      <c r="F231">
        <f ca="1">_xlfn.STDEV.P($B$2:B231)</f>
        <v>1.1959057588648814</v>
      </c>
      <c r="G231">
        <f t="shared" ca="1" si="13"/>
        <v>13.172167109386688</v>
      </c>
      <c r="H231">
        <f t="shared" ca="1" si="14"/>
        <v>8.3885440739271608</v>
      </c>
      <c r="I231">
        <f t="shared" ca="1" si="15"/>
        <v>13.151999999999997</v>
      </c>
    </row>
    <row r="232" spans="1:9" x14ac:dyDescent="0.25">
      <c r="A232" vm="660">
        <f ca="1"/>
        <v>45994</v>
      </c>
      <c r="B232" vm="1038">
        <f ca="1"/>
        <v>13.09</v>
      </c>
      <c r="C232" vm="1039">
        <f ca="1"/>
        <v>45364666</v>
      </c>
      <c r="D232">
        <f t="shared" ca="1" si="12"/>
        <v>593823477.93999994</v>
      </c>
      <c r="E232">
        <f ca="1">SUM($D$2:D232)/SUM($C$2:C232)</f>
        <v>10.785116034629205</v>
      </c>
      <c r="F232">
        <f ca="1">_xlfn.STDEV.P($B$2:B232)</f>
        <v>1.2018916669303994</v>
      </c>
      <c r="G232">
        <f t="shared" ca="1" si="13"/>
        <v>13.188899368490004</v>
      </c>
      <c r="H232">
        <f t="shared" ca="1" si="14"/>
        <v>8.3813327007684055</v>
      </c>
      <c r="I232">
        <f t="shared" ca="1" si="15"/>
        <v>13.135999999999999</v>
      </c>
    </row>
    <row r="233" spans="1:9" x14ac:dyDescent="0.25">
      <c r="A233" vm="662">
        <f ca="1"/>
        <v>45995</v>
      </c>
      <c r="B233" vm="1040">
        <f ca="1"/>
        <v>13.14</v>
      </c>
      <c r="C233" vm="1041">
        <f ca="1"/>
        <v>47554803</v>
      </c>
      <c r="D233">
        <f t="shared" ca="1" si="12"/>
        <v>624870111.42000008</v>
      </c>
      <c r="E233">
        <f ca="1">SUM($D$2:D233)/SUM($C$2:C233)</f>
        <v>10.790193080568899</v>
      </c>
      <c r="F233">
        <f ca="1">_xlfn.STDEV.P($B$2:B233)</f>
        <v>1.208114295321876</v>
      </c>
      <c r="G233">
        <f t="shared" ca="1" si="13"/>
        <v>13.206421671212652</v>
      </c>
      <c r="H233">
        <f t="shared" ca="1" si="14"/>
        <v>8.3739644899251466</v>
      </c>
      <c r="I233">
        <f t="shared" ca="1" si="15"/>
        <v>13.125999999999999</v>
      </c>
    </row>
    <row r="234" spans="1:9" x14ac:dyDescent="0.25">
      <c r="A234" vm="665">
        <f ca="1"/>
        <v>45996</v>
      </c>
      <c r="B234" vm="1042">
        <f ca="1"/>
        <v>13.03</v>
      </c>
      <c r="C234" vm="1043">
        <f ca="1"/>
        <v>54099362</v>
      </c>
      <c r="D234">
        <f t="shared" ca="1" si="12"/>
        <v>704914686.86000001</v>
      </c>
      <c r="E234">
        <f ca="1">SUM($D$2:D234)/SUM($C$2:C234)</f>
        <v>10.79567314975699</v>
      </c>
      <c r="F234">
        <f ca="1">_xlfn.STDEV.P($B$2:B234)</f>
        <v>1.2133411142000918</v>
      </c>
      <c r="G234">
        <f t="shared" ca="1" si="13"/>
        <v>13.222355378157173</v>
      </c>
      <c r="H234">
        <f t="shared" ca="1" si="14"/>
        <v>8.3689909213568061</v>
      </c>
      <c r="I234">
        <f t="shared" ca="1" si="15"/>
        <v>13.075999999999999</v>
      </c>
    </row>
    <row r="235" spans="1:9" x14ac:dyDescent="0.25">
      <c r="A235" vm="668">
        <f ca="1"/>
        <v>45999</v>
      </c>
      <c r="B235" vm="1040">
        <f ca="1"/>
        <v>13.14</v>
      </c>
      <c r="C235" vm="1044">
        <f ca="1"/>
        <v>45580830</v>
      </c>
      <c r="D235">
        <f t="shared" ca="1" si="12"/>
        <v>598932106.20000005</v>
      </c>
      <c r="E235">
        <f ca="1">SUM($D$2:D235)/SUM($C$2:C235)</f>
        <v>10.800495839985459</v>
      </c>
      <c r="F235">
        <f ca="1">_xlfn.STDEV.P($B$2:B235)</f>
        <v>1.2192607694117019</v>
      </c>
      <c r="G235">
        <f t="shared" ca="1" si="13"/>
        <v>13.239017378808862</v>
      </c>
      <c r="H235">
        <f t="shared" ca="1" si="14"/>
        <v>8.3619743011620553</v>
      </c>
      <c r="I235">
        <f t="shared" ca="1" si="15"/>
        <v>13.071999999999999</v>
      </c>
    </row>
    <row r="236" spans="1:9" x14ac:dyDescent="0.25">
      <c r="A236" vm="671">
        <f ca="1"/>
        <v>46000</v>
      </c>
      <c r="B236" vm="1045">
        <f ca="1"/>
        <v>13.08</v>
      </c>
      <c r="C236" vm="1046">
        <f ca="1"/>
        <v>33349986</v>
      </c>
      <c r="D236">
        <f t="shared" ca="1" si="12"/>
        <v>436217816.88</v>
      </c>
      <c r="E236">
        <f ca="1">SUM($D$2:D236)/SUM($C$2:C236)</f>
        <v>10.80392171746553</v>
      </c>
      <c r="F236">
        <f ca="1">_xlfn.STDEV.P($B$2:B236)</f>
        <v>1.2245807019529051</v>
      </c>
      <c r="G236">
        <f t="shared" ca="1" si="13"/>
        <v>13.25308312137134</v>
      </c>
      <c r="H236">
        <f t="shared" ca="1" si="14"/>
        <v>8.3547603135597193</v>
      </c>
      <c r="I236">
        <f t="shared" ca="1" si="15"/>
        <v>13.096</v>
      </c>
    </row>
    <row r="237" spans="1:9" x14ac:dyDescent="0.25">
      <c r="A237" vm="675">
        <f ca="1"/>
        <v>46001</v>
      </c>
      <c r="B237" vm="1047">
        <f ca="1"/>
        <v>13.41</v>
      </c>
      <c r="C237" vm="1048">
        <f ca="1"/>
        <v>72210701</v>
      </c>
      <c r="D237">
        <f t="shared" ca="1" si="12"/>
        <v>968345500.40999997</v>
      </c>
      <c r="E237">
        <f ca="1">SUM($D$2:D237)/SUM($C$2:C237)</f>
        <v>10.812374775217309</v>
      </c>
      <c r="F237">
        <f ca="1">_xlfn.STDEV.P($B$2:B237)</f>
        <v>1.2323584350608094</v>
      </c>
      <c r="G237">
        <f t="shared" ca="1" si="13"/>
        <v>13.277091645338928</v>
      </c>
      <c r="H237">
        <f t="shared" ca="1" si="14"/>
        <v>8.3476579050956907</v>
      </c>
      <c r="I237">
        <f t="shared" ca="1" si="15"/>
        <v>13.16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8"/>
  <sheetViews>
    <sheetView workbookViewId="0">
      <selection activeCell="B2" activeCellId="1" sqref="A1:A1048576 B1:B1048576"/>
    </sheetView>
  </sheetViews>
  <sheetFormatPr defaultRowHeight="15" x14ac:dyDescent="0.25"/>
  <cols>
    <col min="1" max="1" width="9.42578125" bestFit="1" customWidth="1"/>
  </cols>
  <sheetData>
    <row r="1" spans="1:4" x14ac:dyDescent="0.25">
      <c r="A1" s="3" t="s">
        <v>21</v>
      </c>
      <c r="B1" s="3"/>
      <c r="C1" s="3"/>
      <c r="D1" s="3"/>
    </row>
    <row r="2" spans="1:4" x14ac:dyDescent="0.25">
      <c r="A2" t="str" cm="1">
        <f t="array" aca="1" ref="A2:D238" ca="1">_xlfn.STOCKHISTORY("NG", DATE(YEAR(TODAY()),1,1), TODAY(),0,1,0,1,3,4)</f>
        <v>Date</v>
      </c>
      <c r="B2" t="str">
        <f ca="1"/>
        <v>Close</v>
      </c>
      <c r="C2" t="str">
        <f ca="1"/>
        <v>High</v>
      </c>
      <c r="D2" t="str">
        <f ca="1"/>
        <v>Low</v>
      </c>
    </row>
    <row r="3" spans="1:4" x14ac:dyDescent="0.25">
      <c r="A3" vm="1">
        <f ca="1"/>
        <v>45659</v>
      </c>
      <c r="B3" vm="1049">
        <f ca="1"/>
        <v>3.43</v>
      </c>
      <c r="C3" vm="1050">
        <f ca="1"/>
        <v>3.52</v>
      </c>
      <c r="D3" vm="1051">
        <f ca="1"/>
        <v>3.34</v>
      </c>
    </row>
    <row r="4" spans="1:4" x14ac:dyDescent="0.25">
      <c r="A4" vm="5">
        <f ca="1"/>
        <v>45660</v>
      </c>
      <c r="B4" vm="1052">
        <f ca="1"/>
        <v>3.41</v>
      </c>
      <c r="C4" vm="1053">
        <f ca="1"/>
        <v>3.4449999999999998</v>
      </c>
      <c r="D4" vm="1054">
        <f ca="1"/>
        <v>3.37</v>
      </c>
    </row>
    <row r="5" spans="1:4" x14ac:dyDescent="0.25">
      <c r="A5" vm="9">
        <f ca="1"/>
        <v>45663</v>
      </c>
      <c r="B5" vm="1055">
        <f ca="1"/>
        <v>3.3</v>
      </c>
      <c r="C5" vm="1053">
        <f ca="1"/>
        <v>3.4449999999999998</v>
      </c>
      <c r="D5" vm="1056">
        <f ca="1"/>
        <v>3.29</v>
      </c>
    </row>
    <row r="6" spans="1:4" x14ac:dyDescent="0.25">
      <c r="A6" vm="13">
        <f ca="1"/>
        <v>45664</v>
      </c>
      <c r="B6" vm="1051">
        <f ca="1"/>
        <v>3.34</v>
      </c>
      <c r="C6" vm="1057">
        <f ca="1"/>
        <v>3.4599000000000002</v>
      </c>
      <c r="D6" vm="1058">
        <f ca="1"/>
        <v>3.32</v>
      </c>
    </row>
    <row r="7" spans="1:4" x14ac:dyDescent="0.25">
      <c r="A7" vm="15">
        <f ca="1"/>
        <v>45665</v>
      </c>
      <c r="B7" vm="1054">
        <f ca="1"/>
        <v>3.37</v>
      </c>
      <c r="C7" vm="1059">
        <f ca="1"/>
        <v>3.4</v>
      </c>
      <c r="D7" vm="1060">
        <f ca="1"/>
        <v>3.3250000000000002</v>
      </c>
    </row>
    <row r="8" spans="1:4" x14ac:dyDescent="0.25">
      <c r="A8" vm="19">
        <f ca="1"/>
        <v>45667</v>
      </c>
      <c r="B8" vm="1061">
        <f ca="1"/>
        <v>3.47</v>
      </c>
      <c r="C8" vm="1062">
        <f ca="1"/>
        <v>3.55</v>
      </c>
      <c r="D8" vm="1051">
        <f ca="1"/>
        <v>3.34</v>
      </c>
    </row>
    <row r="9" spans="1:4" x14ac:dyDescent="0.25">
      <c r="A9" vm="23">
        <f ca="1"/>
        <v>45670</v>
      </c>
      <c r="B9" vm="1063">
        <f ca="1"/>
        <v>3.26</v>
      </c>
      <c r="C9" vm="1064">
        <f ca="1"/>
        <v>3.4249999999999998</v>
      </c>
      <c r="D9" vm="1065">
        <f ca="1"/>
        <v>3.24</v>
      </c>
    </row>
    <row r="10" spans="1:4" x14ac:dyDescent="0.25">
      <c r="A10" vm="27">
        <f ca="1"/>
        <v>45671</v>
      </c>
      <c r="B10" vm="1055">
        <f ca="1"/>
        <v>3.3</v>
      </c>
      <c r="C10" vm="1058">
        <f ca="1"/>
        <v>3.32</v>
      </c>
      <c r="D10" vm="1066">
        <f ca="1"/>
        <v>3.19</v>
      </c>
    </row>
    <row r="11" spans="1:4" x14ac:dyDescent="0.25">
      <c r="A11" vm="31">
        <f ca="1"/>
        <v>45672</v>
      </c>
      <c r="B11" vm="1067">
        <f ca="1"/>
        <v>3.31</v>
      </c>
      <c r="C11" vm="1068">
        <f ca="1"/>
        <v>3.3889</v>
      </c>
      <c r="D11" vm="1055">
        <f ca="1"/>
        <v>3.3</v>
      </c>
    </row>
    <row r="12" spans="1:4" x14ac:dyDescent="0.25">
      <c r="A12" vm="35">
        <f ca="1"/>
        <v>45673</v>
      </c>
      <c r="B12" vm="1055">
        <f ca="1"/>
        <v>3.3</v>
      </c>
      <c r="C12" vm="1069">
        <f ca="1"/>
        <v>3.3450000000000002</v>
      </c>
      <c r="D12" vm="1065">
        <f ca="1"/>
        <v>3.24</v>
      </c>
    </row>
    <row r="13" spans="1:4" x14ac:dyDescent="0.25">
      <c r="A13" vm="39">
        <f ca="1"/>
        <v>45674</v>
      </c>
      <c r="B13" vm="1070">
        <f ca="1"/>
        <v>3.28</v>
      </c>
      <c r="C13" vm="1071">
        <f ca="1"/>
        <v>3.3149999999999999</v>
      </c>
      <c r="D13" vm="1072">
        <f ca="1"/>
        <v>3.25</v>
      </c>
    </row>
    <row r="14" spans="1:4" x14ac:dyDescent="0.25">
      <c r="A14" vm="43">
        <f ca="1"/>
        <v>45678</v>
      </c>
      <c r="B14" vm="1055">
        <f ca="1"/>
        <v>3.3</v>
      </c>
      <c r="C14" vm="1073">
        <f ca="1"/>
        <v>3.35</v>
      </c>
      <c r="D14" vm="1074">
        <f ca="1"/>
        <v>3.2650000000000001</v>
      </c>
    </row>
    <row r="15" spans="1:4" x14ac:dyDescent="0.25">
      <c r="A15" vm="47">
        <f ca="1"/>
        <v>45679</v>
      </c>
      <c r="B15" vm="1075">
        <f ca="1"/>
        <v>3.22</v>
      </c>
      <c r="C15" vm="1051">
        <f ca="1"/>
        <v>3.34</v>
      </c>
      <c r="D15" vm="1076">
        <f ca="1"/>
        <v>3.2</v>
      </c>
    </row>
    <row r="16" spans="1:4" x14ac:dyDescent="0.25">
      <c r="A16" vm="51">
        <f ca="1"/>
        <v>45680</v>
      </c>
      <c r="B16" vm="1077">
        <f ca="1"/>
        <v>3.15</v>
      </c>
      <c r="C16" vm="1078">
        <f ca="1"/>
        <v>3.33</v>
      </c>
      <c r="D16" vm="1079">
        <f ca="1"/>
        <v>3.1</v>
      </c>
    </row>
    <row r="17" spans="1:4" x14ac:dyDescent="0.25">
      <c r="A17" vm="55">
        <f ca="1"/>
        <v>45681</v>
      </c>
      <c r="B17" vm="1080">
        <f ca="1"/>
        <v>3</v>
      </c>
      <c r="C17" vm="1072">
        <f ca="1"/>
        <v>3.25</v>
      </c>
      <c r="D17" vm="1081">
        <f ca="1"/>
        <v>2.895</v>
      </c>
    </row>
    <row r="18" spans="1:4" x14ac:dyDescent="0.25">
      <c r="A18" vm="59">
        <f ca="1"/>
        <v>45684</v>
      </c>
      <c r="B18" vm="1082">
        <f ca="1"/>
        <v>3.01</v>
      </c>
      <c r="C18" vm="1083">
        <f ca="1"/>
        <v>3.02</v>
      </c>
      <c r="D18" vm="1084">
        <f ca="1"/>
        <v>2.87</v>
      </c>
    </row>
    <row r="19" spans="1:4" x14ac:dyDescent="0.25">
      <c r="A19" vm="63">
        <f ca="1"/>
        <v>45685</v>
      </c>
      <c r="B19" vm="1085">
        <f ca="1"/>
        <v>3.06</v>
      </c>
      <c r="C19" vm="1079">
        <f ca="1"/>
        <v>3.1</v>
      </c>
      <c r="D19" vm="1086">
        <f ca="1"/>
        <v>2.98</v>
      </c>
    </row>
    <row r="20" spans="1:4" x14ac:dyDescent="0.25">
      <c r="A20" vm="67">
        <f ca="1"/>
        <v>45686</v>
      </c>
      <c r="B20" vm="1087">
        <f ca="1"/>
        <v>3.08</v>
      </c>
      <c r="C20" vm="1088">
        <f ca="1"/>
        <v>3.1349999999999998</v>
      </c>
      <c r="D20" vm="1089">
        <f ca="1"/>
        <v>3.0150000000000001</v>
      </c>
    </row>
    <row r="21" spans="1:4" x14ac:dyDescent="0.25">
      <c r="A21" vm="71">
        <f ca="1"/>
        <v>45687</v>
      </c>
      <c r="B21" vm="1090">
        <f ca="1"/>
        <v>3.13</v>
      </c>
      <c r="C21" vm="1072">
        <f ca="1"/>
        <v>3.25</v>
      </c>
      <c r="D21" vm="1091">
        <f ca="1"/>
        <v>3.0950000000000002</v>
      </c>
    </row>
    <row r="22" spans="1:4" x14ac:dyDescent="0.25">
      <c r="A22" vm="75">
        <f ca="1"/>
        <v>45688</v>
      </c>
      <c r="B22" vm="1090">
        <f ca="1"/>
        <v>3.13</v>
      </c>
      <c r="C22" vm="1092">
        <f ca="1"/>
        <v>3.23</v>
      </c>
      <c r="D22" vm="1079">
        <f ca="1"/>
        <v>3.1</v>
      </c>
    </row>
    <row r="23" spans="1:4" x14ac:dyDescent="0.25">
      <c r="A23" vm="78">
        <f ca="1"/>
        <v>45691</v>
      </c>
      <c r="B23" vm="1076">
        <f ca="1"/>
        <v>3.2</v>
      </c>
      <c r="C23" vm="1063">
        <f ca="1"/>
        <v>3.26</v>
      </c>
      <c r="D23" vm="1093">
        <f ca="1"/>
        <v>3.07</v>
      </c>
    </row>
    <row r="24" spans="1:4" x14ac:dyDescent="0.25">
      <c r="A24" vm="82">
        <f ca="1"/>
        <v>45692</v>
      </c>
      <c r="B24" vm="1075">
        <f ca="1"/>
        <v>3.22</v>
      </c>
      <c r="C24" vm="1072">
        <f ca="1"/>
        <v>3.25</v>
      </c>
      <c r="D24" vm="1088">
        <f ca="1"/>
        <v>3.1349999999999998</v>
      </c>
    </row>
    <row r="25" spans="1:4" x14ac:dyDescent="0.25">
      <c r="A25" vm="85">
        <f ca="1"/>
        <v>45693</v>
      </c>
      <c r="B25" vm="1076">
        <f ca="1"/>
        <v>3.2</v>
      </c>
      <c r="C25" vm="1094">
        <f ca="1"/>
        <v>3.3201000000000001</v>
      </c>
      <c r="D25" vm="1095">
        <f ca="1"/>
        <v>3.1800999999999999</v>
      </c>
    </row>
    <row r="26" spans="1:4" x14ac:dyDescent="0.25">
      <c r="A26" vm="88">
        <f ca="1"/>
        <v>45694</v>
      </c>
      <c r="B26" vm="1078">
        <f ca="1"/>
        <v>3.33</v>
      </c>
      <c r="C26" vm="1068">
        <f ca="1"/>
        <v>3.3889</v>
      </c>
      <c r="D26" vm="1077">
        <f ca="1"/>
        <v>3.15</v>
      </c>
    </row>
    <row r="27" spans="1:4" x14ac:dyDescent="0.25">
      <c r="A27" vm="92">
        <f ca="1"/>
        <v>45695</v>
      </c>
      <c r="B27" vm="1096">
        <f ca="1"/>
        <v>3.17</v>
      </c>
      <c r="C27" vm="1097">
        <f ca="1"/>
        <v>3.3519999999999999</v>
      </c>
      <c r="D27" vm="1098">
        <f ca="1"/>
        <v>3.14</v>
      </c>
    </row>
    <row r="28" spans="1:4" x14ac:dyDescent="0.25">
      <c r="A28" vm="95">
        <f ca="1"/>
        <v>45698</v>
      </c>
      <c r="B28" vm="1063">
        <f ca="1"/>
        <v>3.26</v>
      </c>
      <c r="C28" vm="1099">
        <f ca="1"/>
        <v>3.27</v>
      </c>
      <c r="D28" vm="1088">
        <f ca="1"/>
        <v>3.1349999999999998</v>
      </c>
    </row>
    <row r="29" spans="1:4" x14ac:dyDescent="0.25">
      <c r="A29" vm="98">
        <f ca="1"/>
        <v>45699</v>
      </c>
      <c r="B29" vm="1100">
        <f ca="1"/>
        <v>3.16</v>
      </c>
      <c r="C29" vm="1070">
        <f ca="1"/>
        <v>3.28</v>
      </c>
      <c r="D29" vm="1098">
        <f ca="1"/>
        <v>3.14</v>
      </c>
    </row>
    <row r="30" spans="1:4" x14ac:dyDescent="0.25">
      <c r="A30" vm="101">
        <f ca="1"/>
        <v>45700</v>
      </c>
      <c r="B30" vm="1099">
        <f ca="1"/>
        <v>3.27</v>
      </c>
      <c r="C30" vm="1070">
        <f ca="1"/>
        <v>3.28</v>
      </c>
      <c r="D30" vm="1101">
        <f ca="1"/>
        <v>3.12</v>
      </c>
    </row>
    <row r="31" spans="1:4" x14ac:dyDescent="0.25">
      <c r="A31" vm="105">
        <f ca="1"/>
        <v>45701</v>
      </c>
      <c r="B31" vm="1073">
        <f ca="1"/>
        <v>3.35</v>
      </c>
      <c r="C31" vm="1102">
        <f ca="1"/>
        <v>3.36</v>
      </c>
      <c r="D31" vm="1075">
        <f ca="1"/>
        <v>3.22</v>
      </c>
    </row>
    <row r="32" spans="1:4" x14ac:dyDescent="0.25">
      <c r="A32" vm="109">
        <f ca="1"/>
        <v>45702</v>
      </c>
      <c r="B32" vm="1077">
        <f ca="1"/>
        <v>3.15</v>
      </c>
      <c r="C32" vm="1059">
        <f ca="1"/>
        <v>3.4</v>
      </c>
      <c r="D32" vm="1077">
        <f ca="1"/>
        <v>3.15</v>
      </c>
    </row>
    <row r="33" spans="1:4" x14ac:dyDescent="0.25">
      <c r="A33" vm="111">
        <f ca="1"/>
        <v>45706</v>
      </c>
      <c r="B33" vm="1075">
        <f ca="1"/>
        <v>3.22</v>
      </c>
      <c r="C33" vm="1065">
        <f ca="1"/>
        <v>3.24</v>
      </c>
      <c r="D33" vm="1077">
        <f ca="1"/>
        <v>3.15</v>
      </c>
    </row>
    <row r="34" spans="1:4" x14ac:dyDescent="0.25">
      <c r="A34" vm="115">
        <f ca="1"/>
        <v>45707</v>
      </c>
      <c r="B34" vm="1103">
        <f ca="1"/>
        <v>3.18</v>
      </c>
      <c r="C34" vm="1104">
        <f ca="1"/>
        <v>3.2250000000000001</v>
      </c>
      <c r="D34" vm="1101">
        <f ca="1"/>
        <v>3.12</v>
      </c>
    </row>
    <row r="35" spans="1:4" x14ac:dyDescent="0.25">
      <c r="A35" vm="119">
        <f ca="1"/>
        <v>45708</v>
      </c>
      <c r="B35" vm="1065">
        <f ca="1"/>
        <v>3.24</v>
      </c>
      <c r="C35" vm="1070">
        <f ca="1"/>
        <v>3.28</v>
      </c>
      <c r="D35" vm="1100">
        <f ca="1"/>
        <v>3.16</v>
      </c>
    </row>
    <row r="36" spans="1:4" x14ac:dyDescent="0.25">
      <c r="A36" vm="123">
        <f ca="1"/>
        <v>45709</v>
      </c>
      <c r="B36" vm="1105">
        <f ca="1"/>
        <v>3.04</v>
      </c>
      <c r="C36" vm="1072">
        <f ca="1"/>
        <v>3.25</v>
      </c>
      <c r="D36" vm="1082">
        <f ca="1"/>
        <v>3.01</v>
      </c>
    </row>
    <row r="37" spans="1:4" x14ac:dyDescent="0.25">
      <c r="A37" vm="127">
        <f ca="1"/>
        <v>45712</v>
      </c>
      <c r="B37" vm="1106">
        <f ca="1"/>
        <v>2.99</v>
      </c>
      <c r="C37" vm="1107">
        <f ca="1"/>
        <v>3.0790000000000002</v>
      </c>
      <c r="D37" vm="1108">
        <f ca="1"/>
        <v>2.88</v>
      </c>
    </row>
    <row r="38" spans="1:4" x14ac:dyDescent="0.25">
      <c r="A38" vm="131">
        <f ca="1"/>
        <v>45713</v>
      </c>
      <c r="B38" vm="1109">
        <f ca="1"/>
        <v>2.97</v>
      </c>
      <c r="C38" vm="1082">
        <f ca="1"/>
        <v>3.01</v>
      </c>
      <c r="D38" vm="1110">
        <f ca="1"/>
        <v>2.92</v>
      </c>
    </row>
    <row r="39" spans="1:4" x14ac:dyDescent="0.25">
      <c r="A39" vm="135">
        <f ca="1"/>
        <v>45714</v>
      </c>
      <c r="B39" vm="1111">
        <f ca="1"/>
        <v>3.03</v>
      </c>
      <c r="C39" vm="1112">
        <f ca="1"/>
        <v>3.0550000000000002</v>
      </c>
      <c r="D39" vm="1113">
        <f ca="1"/>
        <v>2.94</v>
      </c>
    </row>
    <row r="40" spans="1:4" x14ac:dyDescent="0.25">
      <c r="A40" vm="139">
        <f ca="1"/>
        <v>45715</v>
      </c>
      <c r="B40" vm="1114">
        <f ca="1"/>
        <v>2.95</v>
      </c>
      <c r="C40" vm="1089">
        <f ca="1"/>
        <v>3.0150000000000001</v>
      </c>
      <c r="D40" vm="1113">
        <f ca="1"/>
        <v>2.94</v>
      </c>
    </row>
    <row r="41" spans="1:4" x14ac:dyDescent="0.25">
      <c r="A41" vm="143">
        <f ca="1"/>
        <v>45716</v>
      </c>
      <c r="B41" vm="1080">
        <f ca="1"/>
        <v>3</v>
      </c>
      <c r="C41" vm="1082">
        <f ca="1"/>
        <v>3.01</v>
      </c>
      <c r="D41" vm="1115">
        <f ca="1"/>
        <v>2.91</v>
      </c>
    </row>
    <row r="42" spans="1:4" x14ac:dyDescent="0.25">
      <c r="A42" vm="147">
        <f ca="1"/>
        <v>45719</v>
      </c>
      <c r="B42" vm="1105">
        <f ca="1"/>
        <v>3.04</v>
      </c>
      <c r="C42" vm="1090">
        <f ca="1"/>
        <v>3.13</v>
      </c>
      <c r="D42" vm="1111">
        <f ca="1"/>
        <v>3.03</v>
      </c>
    </row>
    <row r="43" spans="1:4" x14ac:dyDescent="0.25">
      <c r="A43" vm="151">
        <f ca="1"/>
        <v>45720</v>
      </c>
      <c r="B43" vm="1079">
        <f ca="1"/>
        <v>3.1</v>
      </c>
      <c r="C43" vm="1098">
        <f ca="1"/>
        <v>3.14</v>
      </c>
      <c r="D43" vm="1111">
        <f ca="1"/>
        <v>3.03</v>
      </c>
    </row>
    <row r="44" spans="1:4" x14ac:dyDescent="0.25">
      <c r="A44" vm="155">
        <f ca="1"/>
        <v>45721</v>
      </c>
      <c r="B44" vm="1055">
        <f ca="1"/>
        <v>3.3</v>
      </c>
      <c r="C44" vm="1073">
        <f ca="1"/>
        <v>3.35</v>
      </c>
      <c r="D44" vm="1116">
        <f ca="1"/>
        <v>3.09</v>
      </c>
    </row>
    <row r="45" spans="1:4" x14ac:dyDescent="0.25">
      <c r="A45" vm="159">
        <f ca="1"/>
        <v>45722</v>
      </c>
      <c r="B45" vm="1051">
        <f ca="1"/>
        <v>3.34</v>
      </c>
      <c r="C45" vm="1117">
        <f ca="1"/>
        <v>3.38</v>
      </c>
      <c r="D45" vm="1099">
        <f ca="1"/>
        <v>3.27</v>
      </c>
    </row>
    <row r="46" spans="1:4" x14ac:dyDescent="0.25">
      <c r="A46" vm="162">
        <f ca="1"/>
        <v>45723</v>
      </c>
      <c r="B46" vm="1118">
        <f ca="1"/>
        <v>3.57</v>
      </c>
      <c r="C46" vm="1119">
        <f ca="1"/>
        <v>3.6</v>
      </c>
      <c r="D46" vm="1078">
        <f ca="1"/>
        <v>3.33</v>
      </c>
    </row>
    <row r="47" spans="1:4" x14ac:dyDescent="0.25">
      <c r="A47" vm="165">
        <f ca="1"/>
        <v>45726</v>
      </c>
      <c r="B47" vm="1070">
        <f ca="1"/>
        <v>3.28</v>
      </c>
      <c r="C47" vm="1120">
        <f ca="1"/>
        <v>3.54</v>
      </c>
      <c r="D47" vm="1065">
        <f ca="1"/>
        <v>3.24</v>
      </c>
    </row>
    <row r="48" spans="1:4" x14ac:dyDescent="0.25">
      <c r="A48" vm="169">
        <f ca="1"/>
        <v>45727</v>
      </c>
      <c r="B48" vm="1070">
        <f ca="1"/>
        <v>3.28</v>
      </c>
      <c r="C48" vm="1121">
        <f ca="1"/>
        <v>3.4049999999999998</v>
      </c>
      <c r="D48" vm="1072">
        <f ca="1"/>
        <v>3.25</v>
      </c>
    </row>
    <row r="49" spans="1:4" x14ac:dyDescent="0.25">
      <c r="A49" vm="172">
        <f ca="1"/>
        <v>45728</v>
      </c>
      <c r="B49" vm="1063">
        <f ca="1"/>
        <v>3.26</v>
      </c>
      <c r="C49" vm="1122">
        <f ca="1"/>
        <v>3.3106</v>
      </c>
      <c r="D49" vm="1077">
        <f ca="1"/>
        <v>3.15</v>
      </c>
    </row>
    <row r="50" spans="1:4" x14ac:dyDescent="0.25">
      <c r="A50" vm="176">
        <f ca="1"/>
        <v>45729</v>
      </c>
      <c r="B50" vm="1123">
        <f ca="1"/>
        <v>3.45</v>
      </c>
      <c r="C50" vm="1124">
        <f ca="1"/>
        <v>3.5</v>
      </c>
      <c r="D50" vm="1125">
        <f ca="1"/>
        <v>3.2759999999999998</v>
      </c>
    </row>
    <row r="51" spans="1:4" x14ac:dyDescent="0.25">
      <c r="A51" vm="178">
        <f ca="1"/>
        <v>45730</v>
      </c>
      <c r="B51" vm="1054">
        <f ca="1"/>
        <v>3.37</v>
      </c>
      <c r="C51" vm="1126">
        <f ca="1"/>
        <v>3.5350000000000001</v>
      </c>
      <c r="D51" vm="1078">
        <f ca="1"/>
        <v>3.33</v>
      </c>
    </row>
    <row r="52" spans="1:4" x14ac:dyDescent="0.25">
      <c r="A52" vm="182">
        <f ca="1"/>
        <v>45733</v>
      </c>
      <c r="B52" vm="1054">
        <f ca="1"/>
        <v>3.37</v>
      </c>
      <c r="C52" vm="1059">
        <f ca="1"/>
        <v>3.4</v>
      </c>
      <c r="D52" vm="1055">
        <f ca="1"/>
        <v>3.3</v>
      </c>
    </row>
    <row r="53" spans="1:4" x14ac:dyDescent="0.25">
      <c r="A53" vm="185">
        <f ca="1"/>
        <v>45734</v>
      </c>
      <c r="B53" vm="1070">
        <f ca="1"/>
        <v>3.28</v>
      </c>
      <c r="C53" vm="1127">
        <f ca="1"/>
        <v>3.4666000000000001</v>
      </c>
      <c r="D53" vm="1065">
        <f ca="1"/>
        <v>3.24</v>
      </c>
    </row>
    <row r="54" spans="1:4" x14ac:dyDescent="0.25">
      <c r="A54" vm="189">
        <f ca="1"/>
        <v>45735</v>
      </c>
      <c r="B54" vm="1128">
        <f ca="1"/>
        <v>3.42</v>
      </c>
      <c r="C54" vm="1128">
        <f ca="1"/>
        <v>3.42</v>
      </c>
      <c r="D54" vm="1063">
        <f ca="1"/>
        <v>3.26</v>
      </c>
    </row>
    <row r="55" spans="1:4" x14ac:dyDescent="0.25">
      <c r="A55" vm="193">
        <f ca="1"/>
        <v>45736</v>
      </c>
      <c r="B55" vm="1128">
        <f ca="1"/>
        <v>3.42</v>
      </c>
      <c r="C55" vm="1124">
        <f ca="1"/>
        <v>3.5</v>
      </c>
      <c r="D55" vm="1058">
        <f ca="1"/>
        <v>3.32</v>
      </c>
    </row>
    <row r="56" spans="1:4" x14ac:dyDescent="0.25">
      <c r="A56" vm="197">
        <f ca="1"/>
        <v>45737</v>
      </c>
      <c r="B56" vm="1129">
        <f ca="1"/>
        <v>3.39</v>
      </c>
      <c r="C56" vm="1049">
        <f ca="1"/>
        <v>3.43</v>
      </c>
      <c r="D56" vm="1058">
        <f ca="1"/>
        <v>3.32</v>
      </c>
    </row>
    <row r="57" spans="1:4" x14ac:dyDescent="0.25">
      <c r="A57" vm="199">
        <f ca="1"/>
        <v>45740</v>
      </c>
      <c r="B57" vm="1063">
        <f ca="1"/>
        <v>3.26</v>
      </c>
      <c r="C57" vm="1130">
        <f ca="1"/>
        <v>3.4499</v>
      </c>
      <c r="D57" vm="1065">
        <f ca="1"/>
        <v>3.24</v>
      </c>
    </row>
    <row r="58" spans="1:4" x14ac:dyDescent="0.25">
      <c r="A58" vm="203">
        <f ca="1"/>
        <v>45741</v>
      </c>
      <c r="B58" vm="1131">
        <f ca="1"/>
        <v>3.11</v>
      </c>
      <c r="C58" vm="1073">
        <f ca="1"/>
        <v>3.35</v>
      </c>
      <c r="D58" vm="1116">
        <f ca="1"/>
        <v>3.09</v>
      </c>
    </row>
    <row r="59" spans="1:4" x14ac:dyDescent="0.25">
      <c r="A59" vm="207">
        <f ca="1"/>
        <v>45742</v>
      </c>
      <c r="B59" vm="1085">
        <f ca="1"/>
        <v>3.06</v>
      </c>
      <c r="C59" vm="1066">
        <f ca="1"/>
        <v>3.19</v>
      </c>
      <c r="D59" vm="1105">
        <f ca="1"/>
        <v>3.04</v>
      </c>
    </row>
    <row r="60" spans="1:4" x14ac:dyDescent="0.25">
      <c r="A60" vm="209">
        <f ca="1"/>
        <v>45743</v>
      </c>
      <c r="B60" vm="1079">
        <f ca="1"/>
        <v>3.1</v>
      </c>
      <c r="C60" vm="1077">
        <f ca="1"/>
        <v>3.15</v>
      </c>
      <c r="D60" vm="1132">
        <f ca="1"/>
        <v>3.0350000000000001</v>
      </c>
    </row>
    <row r="61" spans="1:4" x14ac:dyDescent="0.25">
      <c r="A61" vm="212">
        <f ca="1"/>
        <v>45744</v>
      </c>
      <c r="B61" vm="1114">
        <f ca="1"/>
        <v>2.95</v>
      </c>
      <c r="C61" vm="1090">
        <f ca="1"/>
        <v>3.13</v>
      </c>
      <c r="D61" vm="1084">
        <f ca="1"/>
        <v>2.87</v>
      </c>
    </row>
    <row r="62" spans="1:4" x14ac:dyDescent="0.25">
      <c r="A62" vm="216">
        <f ca="1"/>
        <v>45747</v>
      </c>
      <c r="B62" vm="1110">
        <f ca="1"/>
        <v>2.92</v>
      </c>
      <c r="C62" vm="1106">
        <f ca="1"/>
        <v>2.99</v>
      </c>
      <c r="D62" vm="1133">
        <f ca="1"/>
        <v>2.8</v>
      </c>
    </row>
    <row r="63" spans="1:4" x14ac:dyDescent="0.25">
      <c r="A63" vm="220">
        <f ca="1"/>
        <v>45748</v>
      </c>
      <c r="B63" vm="1086">
        <f ca="1"/>
        <v>2.98</v>
      </c>
      <c r="C63" vm="1134">
        <f ca="1"/>
        <v>3.1150000000000002</v>
      </c>
      <c r="D63" vm="1135">
        <f ca="1"/>
        <v>2.85</v>
      </c>
    </row>
    <row r="64" spans="1:4" x14ac:dyDescent="0.25">
      <c r="A64" vm="223">
        <f ca="1"/>
        <v>45749</v>
      </c>
      <c r="B64" vm="1110">
        <f ca="1"/>
        <v>2.92</v>
      </c>
      <c r="C64" vm="1109">
        <f ca="1"/>
        <v>2.97</v>
      </c>
      <c r="D64" vm="1135">
        <f ca="1"/>
        <v>2.85</v>
      </c>
    </row>
    <row r="65" spans="1:4" x14ac:dyDescent="0.25">
      <c r="A65" vm="224">
        <f ca="1"/>
        <v>45750</v>
      </c>
      <c r="B65" vm="1136">
        <f ca="1"/>
        <v>2.84</v>
      </c>
      <c r="C65" vm="1137">
        <f ca="1"/>
        <v>2.9350000000000001</v>
      </c>
      <c r="D65" vm="1138">
        <f ca="1"/>
        <v>2.8149999999999999</v>
      </c>
    </row>
    <row r="66" spans="1:4" x14ac:dyDescent="0.25">
      <c r="A66" vm="227">
        <f ca="1"/>
        <v>45751</v>
      </c>
      <c r="B66" vm="1139">
        <f ca="1"/>
        <v>2.61</v>
      </c>
      <c r="C66" vm="1140">
        <f ca="1"/>
        <v>2.8250000000000002</v>
      </c>
      <c r="D66" vm="1141">
        <f ca="1"/>
        <v>2.5499999999999998</v>
      </c>
    </row>
    <row r="67" spans="1:4" x14ac:dyDescent="0.25">
      <c r="A67" vm="231">
        <f ca="1"/>
        <v>45754</v>
      </c>
      <c r="B67" vm="1142">
        <f ca="1"/>
        <v>2.58</v>
      </c>
      <c r="C67" vm="1143">
        <f ca="1"/>
        <v>2.76</v>
      </c>
      <c r="D67" vm="1144">
        <f ca="1"/>
        <v>2.48</v>
      </c>
    </row>
    <row r="68" spans="1:4" x14ac:dyDescent="0.25">
      <c r="A68" vm="235">
        <f ca="1"/>
        <v>45755</v>
      </c>
      <c r="B68" vm="1145">
        <f ca="1"/>
        <v>2.2799999999999998</v>
      </c>
      <c r="C68" vm="1146">
        <f ca="1"/>
        <v>2.6850000000000001</v>
      </c>
      <c r="D68" vm="1147">
        <f ca="1"/>
        <v>2.2599999999999998</v>
      </c>
    </row>
    <row r="69" spans="1:4" x14ac:dyDescent="0.25">
      <c r="A69" vm="239">
        <f ca="1"/>
        <v>45756</v>
      </c>
      <c r="B69" vm="1148">
        <f ca="1"/>
        <v>2.5099999999999998</v>
      </c>
      <c r="C69" vm="1149">
        <f ca="1"/>
        <v>2.54</v>
      </c>
      <c r="D69" vm="1150">
        <f ca="1"/>
        <v>2.2601</v>
      </c>
    </row>
    <row r="70" spans="1:4" x14ac:dyDescent="0.25">
      <c r="A70" vm="243">
        <f ca="1"/>
        <v>45757</v>
      </c>
      <c r="B70" vm="1148">
        <f ca="1"/>
        <v>2.5099999999999998</v>
      </c>
      <c r="C70" vm="1139">
        <f ca="1"/>
        <v>2.61</v>
      </c>
      <c r="D70" vm="1151">
        <f ca="1"/>
        <v>2.4700000000000002</v>
      </c>
    </row>
    <row r="71" spans="1:4" x14ac:dyDescent="0.25">
      <c r="A71" vm="247">
        <f ca="1"/>
        <v>45758</v>
      </c>
      <c r="B71" vm="1152">
        <f ca="1"/>
        <v>2.81</v>
      </c>
      <c r="C71" vm="1153">
        <f ca="1"/>
        <v>2.9</v>
      </c>
      <c r="D71" vm="1154">
        <f ca="1"/>
        <v>2.6</v>
      </c>
    </row>
    <row r="72" spans="1:4" x14ac:dyDescent="0.25">
      <c r="A72" vm="251">
        <f ca="1"/>
        <v>45761</v>
      </c>
      <c r="B72" vm="1136">
        <f ca="1"/>
        <v>2.84</v>
      </c>
      <c r="C72" vm="1080">
        <f ca="1"/>
        <v>3</v>
      </c>
      <c r="D72" vm="1155">
        <f ca="1"/>
        <v>2.75</v>
      </c>
    </row>
    <row r="73" spans="1:4" x14ac:dyDescent="0.25">
      <c r="A73" vm="255">
        <f ca="1"/>
        <v>45762</v>
      </c>
      <c r="B73" vm="1108">
        <f ca="1"/>
        <v>2.88</v>
      </c>
      <c r="C73" vm="1114">
        <f ca="1"/>
        <v>2.95</v>
      </c>
      <c r="D73" vm="1136">
        <f ca="1"/>
        <v>2.84</v>
      </c>
    </row>
    <row r="74" spans="1:4" x14ac:dyDescent="0.25">
      <c r="A74" vm="259">
        <f ca="1"/>
        <v>45763</v>
      </c>
      <c r="B74" vm="1082">
        <f ca="1"/>
        <v>3.01</v>
      </c>
      <c r="C74" vm="1079">
        <f ca="1"/>
        <v>3.1</v>
      </c>
      <c r="D74" vm="1110">
        <f ca="1"/>
        <v>2.92</v>
      </c>
    </row>
    <row r="75" spans="1:4" x14ac:dyDescent="0.25">
      <c r="A75" vm="263">
        <f ca="1"/>
        <v>45764</v>
      </c>
      <c r="B75" vm="1086">
        <f ca="1"/>
        <v>2.98</v>
      </c>
      <c r="C75" vm="1156">
        <f ca="1"/>
        <v>3.05</v>
      </c>
      <c r="D75" vm="1157">
        <f ca="1"/>
        <v>2.89</v>
      </c>
    </row>
    <row r="76" spans="1:4" x14ac:dyDescent="0.25">
      <c r="A76" vm="267">
        <f ca="1"/>
        <v>45768</v>
      </c>
      <c r="B76" vm="1131">
        <f ca="1"/>
        <v>3.11</v>
      </c>
      <c r="C76" vm="1098">
        <f ca="1"/>
        <v>3.14</v>
      </c>
      <c r="D76" vm="1082">
        <f ca="1"/>
        <v>3.01</v>
      </c>
    </row>
    <row r="77" spans="1:4" x14ac:dyDescent="0.25">
      <c r="A77" vm="271">
        <f ca="1"/>
        <v>45769</v>
      </c>
      <c r="B77" vm="1158">
        <f ca="1"/>
        <v>4.3499999999999996</v>
      </c>
      <c r="C77" vm="1159">
        <f ca="1"/>
        <v>4.57</v>
      </c>
      <c r="D77" vm="1055">
        <f ca="1"/>
        <v>3.3</v>
      </c>
    </row>
    <row r="78" spans="1:4" x14ac:dyDescent="0.25">
      <c r="A78" vm="274">
        <f ca="1"/>
        <v>45770</v>
      </c>
      <c r="B78" vm="1160">
        <f ca="1"/>
        <v>4.67</v>
      </c>
      <c r="C78" vm="1161">
        <f ca="1"/>
        <v>5.0549999999999997</v>
      </c>
      <c r="D78" vm="1162">
        <f ca="1"/>
        <v>4.1500000000000004</v>
      </c>
    </row>
    <row r="79" spans="1:4" x14ac:dyDescent="0.25">
      <c r="A79" vm="278">
        <f ca="1"/>
        <v>45771</v>
      </c>
      <c r="B79" vm="1163">
        <f ca="1"/>
        <v>4.9800000000000004</v>
      </c>
      <c r="C79" vm="1164">
        <f ca="1"/>
        <v>5.0599999999999996</v>
      </c>
      <c r="D79" vm="1165">
        <f ca="1"/>
        <v>4.6100000000000003</v>
      </c>
    </row>
    <row r="80" spans="1:4" x14ac:dyDescent="0.25">
      <c r="A80" vm="282">
        <f ca="1"/>
        <v>45772</v>
      </c>
      <c r="B80" vm="1166">
        <f ca="1"/>
        <v>4.4400000000000004</v>
      </c>
      <c r="C80" vm="1167">
        <f ca="1"/>
        <v>4.91</v>
      </c>
      <c r="D80" vm="1158">
        <f ca="1"/>
        <v>4.3499999999999996</v>
      </c>
    </row>
    <row r="81" spans="1:4" x14ac:dyDescent="0.25">
      <c r="A81" vm="286">
        <f ca="1"/>
        <v>45775</v>
      </c>
      <c r="B81" vm="1158">
        <f ca="1"/>
        <v>4.3499999999999996</v>
      </c>
      <c r="C81" vm="1168">
        <f ca="1"/>
        <v>4.49</v>
      </c>
      <c r="D81" vm="1169">
        <f ca="1"/>
        <v>4.1749999999999998</v>
      </c>
    </row>
    <row r="82" spans="1:4" x14ac:dyDescent="0.25">
      <c r="A82" vm="290">
        <f ca="1"/>
        <v>45776</v>
      </c>
      <c r="B82" vm="1170">
        <f ca="1"/>
        <v>4.33</v>
      </c>
      <c r="C82" vm="1171">
        <f ca="1"/>
        <v>4.38</v>
      </c>
      <c r="D82" vm="1172">
        <f ca="1"/>
        <v>4.1900000000000004</v>
      </c>
    </row>
    <row r="83" spans="1:4" x14ac:dyDescent="0.25">
      <c r="A83" vm="292">
        <f ca="1"/>
        <v>45777</v>
      </c>
      <c r="B83" vm="1173">
        <f ca="1"/>
        <v>4.2300000000000004</v>
      </c>
      <c r="C83" vm="1174">
        <f ca="1"/>
        <v>4.4199000000000002</v>
      </c>
      <c r="D83" vm="1175">
        <f ca="1"/>
        <v>4.08</v>
      </c>
    </row>
    <row r="84" spans="1:4" x14ac:dyDescent="0.25">
      <c r="A84" vm="295">
        <f ca="1"/>
        <v>45778</v>
      </c>
      <c r="B84" vm="1176">
        <f ca="1"/>
        <v>4.18</v>
      </c>
      <c r="C84" vm="1177">
        <f ca="1"/>
        <v>4.3</v>
      </c>
      <c r="D84" vm="1178">
        <f ca="1"/>
        <v>4.085</v>
      </c>
    </row>
    <row r="85" spans="1:4" x14ac:dyDescent="0.25">
      <c r="A85" vm="298">
        <f ca="1"/>
        <v>45779</v>
      </c>
      <c r="B85" vm="1179">
        <f ca="1"/>
        <v>4.1100000000000003</v>
      </c>
      <c r="C85" vm="1180">
        <f ca="1"/>
        <v>4.2699999999999996</v>
      </c>
      <c r="D85" vm="1181">
        <f ca="1"/>
        <v>4.0949999999999998</v>
      </c>
    </row>
    <row r="86" spans="1:4" x14ac:dyDescent="0.25">
      <c r="A86" vm="302">
        <f ca="1"/>
        <v>45782</v>
      </c>
      <c r="B86" vm="1182">
        <f ca="1"/>
        <v>4.12</v>
      </c>
      <c r="C86" vm="1158">
        <f ca="1"/>
        <v>4.3499999999999996</v>
      </c>
      <c r="D86" vm="1182">
        <f ca="1"/>
        <v>4.12</v>
      </c>
    </row>
    <row r="87" spans="1:4" x14ac:dyDescent="0.25">
      <c r="A87" vm="304">
        <f ca="1"/>
        <v>45783</v>
      </c>
      <c r="B87" vm="1183">
        <f ca="1"/>
        <v>4.21</v>
      </c>
      <c r="C87" vm="1180">
        <f ca="1"/>
        <v>4.2699999999999996</v>
      </c>
      <c r="D87" vm="1184">
        <f ca="1"/>
        <v>4.0999999999999996</v>
      </c>
    </row>
    <row r="88" spans="1:4" x14ac:dyDescent="0.25">
      <c r="A88" vm="307">
        <f ca="1"/>
        <v>45784</v>
      </c>
      <c r="B88" vm="1185">
        <f ca="1"/>
        <v>3.91</v>
      </c>
      <c r="C88" vm="1186">
        <f ca="1"/>
        <v>4.29</v>
      </c>
      <c r="D88" vm="1187">
        <f ca="1"/>
        <v>3.8149999999999999</v>
      </c>
    </row>
    <row r="89" spans="1:4" x14ac:dyDescent="0.25">
      <c r="A89" vm="310">
        <f ca="1"/>
        <v>45785</v>
      </c>
      <c r="B89" vm="1188">
        <f ca="1"/>
        <v>3.76</v>
      </c>
      <c r="C89" vm="1189">
        <f ca="1"/>
        <v>4.05</v>
      </c>
      <c r="D89" vm="1190">
        <f ca="1"/>
        <v>3.72</v>
      </c>
    </row>
    <row r="90" spans="1:4" x14ac:dyDescent="0.25">
      <c r="A90" vm="314">
        <f ca="1"/>
        <v>45786</v>
      </c>
      <c r="B90" vm="1191">
        <f ca="1"/>
        <v>3.78</v>
      </c>
      <c r="C90" vm="1192">
        <f ca="1"/>
        <v>3.89</v>
      </c>
      <c r="D90" vm="1193">
        <f ca="1"/>
        <v>3.7450000000000001</v>
      </c>
    </row>
    <row r="91" spans="1:4" x14ac:dyDescent="0.25">
      <c r="A91" vm="316">
        <f ca="1"/>
        <v>45789</v>
      </c>
      <c r="B91" vm="1194">
        <f ca="1"/>
        <v>3.46</v>
      </c>
      <c r="C91" vm="1191">
        <f ca="1"/>
        <v>3.78</v>
      </c>
      <c r="D91" vm="1054">
        <f ca="1"/>
        <v>3.37</v>
      </c>
    </row>
    <row r="92" spans="1:4" x14ac:dyDescent="0.25">
      <c r="A92" vm="320">
        <f ca="1"/>
        <v>45790</v>
      </c>
      <c r="B92" vm="1124">
        <f ca="1"/>
        <v>3.5</v>
      </c>
      <c r="C92" vm="1119">
        <f ca="1"/>
        <v>3.6</v>
      </c>
      <c r="D92" vm="1195">
        <f ca="1"/>
        <v>3.48</v>
      </c>
    </row>
    <row r="93" spans="1:4" x14ac:dyDescent="0.25">
      <c r="A93" vm="324">
        <f ca="1"/>
        <v>45791</v>
      </c>
      <c r="B93" vm="1124">
        <f ca="1"/>
        <v>3.5</v>
      </c>
      <c r="C93" vm="1196">
        <f ca="1"/>
        <v>3.5449999999999999</v>
      </c>
      <c r="D93" vm="1197">
        <f ca="1"/>
        <v>3.3650000000000002</v>
      </c>
    </row>
    <row r="94" spans="1:4" x14ac:dyDescent="0.25">
      <c r="A94" vm="328">
        <f ca="1"/>
        <v>45792</v>
      </c>
      <c r="B94" vm="1062">
        <f ca="1"/>
        <v>3.55</v>
      </c>
      <c r="C94" vm="1198">
        <f ca="1"/>
        <v>3.61</v>
      </c>
      <c r="D94" vm="1059">
        <f ca="1"/>
        <v>3.4</v>
      </c>
    </row>
    <row r="95" spans="1:4" x14ac:dyDescent="0.25">
      <c r="A95" vm="332">
        <f ca="1"/>
        <v>45793</v>
      </c>
      <c r="B95" vm="1119">
        <f ca="1"/>
        <v>3.6</v>
      </c>
      <c r="C95" vm="1199">
        <f ca="1"/>
        <v>3.63</v>
      </c>
      <c r="D95" vm="1123">
        <f ca="1"/>
        <v>3.45</v>
      </c>
    </row>
    <row r="96" spans="1:4" x14ac:dyDescent="0.25">
      <c r="A96" vm="336">
        <f ca="1"/>
        <v>45796</v>
      </c>
      <c r="B96" vm="1200">
        <f ca="1"/>
        <v>3.64</v>
      </c>
      <c r="C96" vm="1201">
        <f ca="1"/>
        <v>3.7</v>
      </c>
      <c r="D96" vm="1120">
        <f ca="1"/>
        <v>3.54</v>
      </c>
    </row>
    <row r="97" spans="1:4" x14ac:dyDescent="0.25">
      <c r="A97" vm="340">
        <f ca="1"/>
        <v>45797</v>
      </c>
      <c r="B97" vm="1201">
        <f ca="1"/>
        <v>3.7</v>
      </c>
      <c r="C97" vm="1202">
        <f ca="1"/>
        <v>3.7549999999999999</v>
      </c>
      <c r="D97" vm="1203">
        <f ca="1"/>
        <v>3.6349999999999998</v>
      </c>
    </row>
    <row r="98" spans="1:4" x14ac:dyDescent="0.25">
      <c r="A98" vm="344">
        <f ca="1"/>
        <v>45798</v>
      </c>
      <c r="B98" vm="1204">
        <f ca="1"/>
        <v>3.59</v>
      </c>
      <c r="C98" vm="1205">
        <f ca="1"/>
        <v>3.75</v>
      </c>
      <c r="D98" vm="1206">
        <f ca="1"/>
        <v>3.51</v>
      </c>
    </row>
    <row r="99" spans="1:4" x14ac:dyDescent="0.25">
      <c r="A99" vm="346">
        <f ca="1"/>
        <v>45799</v>
      </c>
      <c r="B99" vm="1119">
        <f ca="1"/>
        <v>3.6</v>
      </c>
      <c r="C99" vm="1207">
        <f ca="1"/>
        <v>3.6949999999999998</v>
      </c>
      <c r="D99" vm="1208">
        <f ca="1"/>
        <v>3.53</v>
      </c>
    </row>
    <row r="100" spans="1:4" x14ac:dyDescent="0.25">
      <c r="A100" vm="349">
        <f ca="1"/>
        <v>45800</v>
      </c>
      <c r="B100" vm="1209">
        <f ca="1"/>
        <v>3.58</v>
      </c>
      <c r="C100" vm="1210">
        <f ca="1"/>
        <v>3.6678999999999999</v>
      </c>
      <c r="D100" vm="1211">
        <f ca="1"/>
        <v>3.5301</v>
      </c>
    </row>
    <row r="101" spans="1:4" x14ac:dyDescent="0.25">
      <c r="A101" vm="353">
        <f ca="1"/>
        <v>45804</v>
      </c>
      <c r="B101" vm="1208">
        <f ca="1"/>
        <v>3.53</v>
      </c>
      <c r="C101" vm="1212">
        <f ca="1"/>
        <v>3.5649999999999999</v>
      </c>
      <c r="D101" vm="1213">
        <f ca="1"/>
        <v>3.415</v>
      </c>
    </row>
    <row r="102" spans="1:4" x14ac:dyDescent="0.25">
      <c r="A102" vm="357">
        <f ca="1"/>
        <v>45805</v>
      </c>
      <c r="B102" vm="1209">
        <f ca="1"/>
        <v>3.58</v>
      </c>
      <c r="C102" vm="1200">
        <f ca="1"/>
        <v>3.64</v>
      </c>
      <c r="D102" vm="1206">
        <f ca="1"/>
        <v>3.51</v>
      </c>
    </row>
    <row r="103" spans="1:4" x14ac:dyDescent="0.25">
      <c r="A103" vm="361">
        <f ca="1"/>
        <v>45806</v>
      </c>
      <c r="B103" vm="1062">
        <f ca="1"/>
        <v>3.55</v>
      </c>
      <c r="C103" vm="1214">
        <f ca="1"/>
        <v>3.6549999999999998</v>
      </c>
      <c r="D103" vm="1215">
        <f ca="1"/>
        <v>3.5335000000000001</v>
      </c>
    </row>
    <row r="104" spans="1:4" x14ac:dyDescent="0.25">
      <c r="A104" vm="365">
        <f ca="1"/>
        <v>45807</v>
      </c>
      <c r="B104" vm="1209">
        <f ca="1"/>
        <v>3.58</v>
      </c>
      <c r="C104" vm="1203">
        <f ca="1"/>
        <v>3.6349999999999998</v>
      </c>
      <c r="D104" vm="1216">
        <f ca="1"/>
        <v>3.49</v>
      </c>
    </row>
    <row r="105" spans="1:4" x14ac:dyDescent="0.25">
      <c r="A105" vm="369">
        <f ca="1"/>
        <v>45810</v>
      </c>
      <c r="B105" vm="1205">
        <f ca="1"/>
        <v>3.75</v>
      </c>
      <c r="C105" vm="1217">
        <f ca="1"/>
        <v>3.8</v>
      </c>
      <c r="D105" vm="1214">
        <f ca="1"/>
        <v>3.6549999999999998</v>
      </c>
    </row>
    <row r="106" spans="1:4" x14ac:dyDescent="0.25">
      <c r="A106" vm="372">
        <f ca="1"/>
        <v>45811</v>
      </c>
      <c r="B106" vm="1218">
        <f ca="1"/>
        <v>3.77</v>
      </c>
      <c r="C106" vm="1219">
        <f ca="1"/>
        <v>3.875</v>
      </c>
      <c r="D106" vm="1200">
        <f ca="1"/>
        <v>3.64</v>
      </c>
    </row>
    <row r="107" spans="1:4" x14ac:dyDescent="0.25">
      <c r="A107" vm="375">
        <f ca="1"/>
        <v>45812</v>
      </c>
      <c r="B107" vm="1220">
        <f ca="1"/>
        <v>4.6900000000000004</v>
      </c>
      <c r="C107" vm="1221">
        <f ca="1"/>
        <v>4.7699999999999996</v>
      </c>
      <c r="D107" vm="1222">
        <f ca="1"/>
        <v>3.96</v>
      </c>
    </row>
    <row r="108" spans="1:4" x14ac:dyDescent="0.25">
      <c r="A108" vm="378">
        <f ca="1"/>
        <v>45813</v>
      </c>
      <c r="B108" vm="1223">
        <f ca="1"/>
        <v>4.41</v>
      </c>
      <c r="C108" vm="1224">
        <f ca="1"/>
        <v>4.8499999999999996</v>
      </c>
      <c r="D108" vm="1225">
        <f ca="1"/>
        <v>4.3449999999999998</v>
      </c>
    </row>
    <row r="109" spans="1:4" x14ac:dyDescent="0.25">
      <c r="A109" vm="382">
        <f ca="1"/>
        <v>45814</v>
      </c>
      <c r="B109" vm="1183">
        <f ca="1"/>
        <v>4.21</v>
      </c>
      <c r="C109" vm="1226">
        <f ca="1"/>
        <v>4.46</v>
      </c>
      <c r="D109" vm="1227">
        <f ca="1"/>
        <v>4.1399999999999997</v>
      </c>
    </row>
    <row r="110" spans="1:4" x14ac:dyDescent="0.25">
      <c r="A110" vm="386">
        <f ca="1"/>
        <v>45817</v>
      </c>
      <c r="B110" vm="1171">
        <f ca="1"/>
        <v>4.38</v>
      </c>
      <c r="C110" vm="1166">
        <f ca="1"/>
        <v>4.4400000000000004</v>
      </c>
      <c r="D110" vm="1228">
        <f ca="1"/>
        <v>4.2</v>
      </c>
    </row>
    <row r="111" spans="1:4" x14ac:dyDescent="0.25">
      <c r="A111" vm="389">
        <f ca="1"/>
        <v>45818</v>
      </c>
      <c r="B111" vm="1229">
        <f ca="1"/>
        <v>4.32</v>
      </c>
      <c r="C111" vm="1230">
        <f ca="1"/>
        <v>4.5599999999999996</v>
      </c>
      <c r="D111" vm="1231">
        <f ca="1"/>
        <v>4.3099999999999996</v>
      </c>
    </row>
    <row r="112" spans="1:4" x14ac:dyDescent="0.25">
      <c r="A112" vm="391">
        <f ca="1"/>
        <v>45819</v>
      </c>
      <c r="B112" vm="1231">
        <f ca="1"/>
        <v>4.3099999999999996</v>
      </c>
      <c r="C112" vm="1232">
        <f ca="1"/>
        <v>4.45</v>
      </c>
      <c r="D112" vm="1180">
        <f ca="1"/>
        <v>4.2699999999999996</v>
      </c>
    </row>
    <row r="113" spans="1:4" x14ac:dyDescent="0.25">
      <c r="A113" vm="395">
        <f ca="1"/>
        <v>45820</v>
      </c>
      <c r="B113" vm="1233">
        <f ca="1"/>
        <v>4.34</v>
      </c>
      <c r="C113" vm="1234">
        <f ca="1"/>
        <v>4.43</v>
      </c>
      <c r="D113" vm="1177">
        <f ca="1"/>
        <v>4.3</v>
      </c>
    </row>
    <row r="114" spans="1:4" x14ac:dyDescent="0.25">
      <c r="A114" vm="399">
        <f ca="1"/>
        <v>45821</v>
      </c>
      <c r="B114" vm="1234">
        <f ca="1"/>
        <v>4.43</v>
      </c>
      <c r="C114" vm="1235">
        <f ca="1"/>
        <v>4.58</v>
      </c>
      <c r="D114" vm="1236">
        <f ca="1"/>
        <v>4.3250000000000002</v>
      </c>
    </row>
    <row r="115" spans="1:4" x14ac:dyDescent="0.25">
      <c r="A115" vm="403">
        <f ca="1"/>
        <v>45824</v>
      </c>
      <c r="B115" vm="1158">
        <f ca="1"/>
        <v>4.3499999999999996</v>
      </c>
      <c r="C115" vm="1237">
        <f ca="1"/>
        <v>4.5199999999999996</v>
      </c>
      <c r="D115" vm="1229">
        <f ca="1"/>
        <v>4.32</v>
      </c>
    </row>
    <row r="116" spans="1:4" x14ac:dyDescent="0.25">
      <c r="A116" vm="407">
        <f ca="1"/>
        <v>45825</v>
      </c>
      <c r="B116" vm="1238">
        <f ca="1"/>
        <v>4.3899999999999997</v>
      </c>
      <c r="C116" vm="1232">
        <f ca="1"/>
        <v>4.45</v>
      </c>
      <c r="D116" vm="1239">
        <f ca="1"/>
        <v>4.3550000000000004</v>
      </c>
    </row>
    <row r="117" spans="1:4" x14ac:dyDescent="0.25">
      <c r="A117" vm="410">
        <f ca="1"/>
        <v>45826</v>
      </c>
      <c r="B117" vm="1240">
        <f ca="1"/>
        <v>4.3600000000000003</v>
      </c>
      <c r="C117" vm="1226">
        <f ca="1"/>
        <v>4.46</v>
      </c>
      <c r="D117" vm="1231">
        <f ca="1"/>
        <v>4.3099999999999996</v>
      </c>
    </row>
    <row r="118" spans="1:4" x14ac:dyDescent="0.25">
      <c r="A118" vm="412">
        <f ca="1"/>
        <v>45828</v>
      </c>
      <c r="B118" vm="1227">
        <f ca="1"/>
        <v>4.1399999999999997</v>
      </c>
      <c r="C118" vm="1241">
        <f ca="1"/>
        <v>4.415</v>
      </c>
      <c r="D118" vm="1182">
        <f ca="1"/>
        <v>4.12</v>
      </c>
    </row>
    <row r="119" spans="1:4" x14ac:dyDescent="0.25">
      <c r="A119" vm="414">
        <f ca="1"/>
        <v>45831</v>
      </c>
      <c r="B119" vm="1175">
        <f ca="1"/>
        <v>4.08</v>
      </c>
      <c r="C119" vm="1242">
        <f ca="1"/>
        <v>4.2252000000000001</v>
      </c>
      <c r="D119" vm="1189">
        <f ca="1"/>
        <v>4.05</v>
      </c>
    </row>
    <row r="120" spans="1:4" x14ac:dyDescent="0.25">
      <c r="A120" vm="417">
        <f ca="1"/>
        <v>45832</v>
      </c>
      <c r="B120" vm="1243">
        <f ca="1"/>
        <v>3.9</v>
      </c>
      <c r="C120" vm="1244">
        <f ca="1"/>
        <v>3.99</v>
      </c>
      <c r="D120" vm="1245">
        <f ca="1"/>
        <v>3.86</v>
      </c>
    </row>
    <row r="121" spans="1:4" x14ac:dyDescent="0.25">
      <c r="A121" vm="421">
        <f ca="1"/>
        <v>45833</v>
      </c>
      <c r="B121" vm="1201">
        <f ca="1"/>
        <v>3.7</v>
      </c>
      <c r="C121" vm="1246">
        <f ca="1"/>
        <v>3.9350000000000001</v>
      </c>
      <c r="D121" vm="1198">
        <f ca="1"/>
        <v>3.61</v>
      </c>
    </row>
    <row r="122" spans="1:4" x14ac:dyDescent="0.25">
      <c r="A122" vm="422">
        <f ca="1"/>
        <v>45834</v>
      </c>
      <c r="B122" vm="1162">
        <f ca="1"/>
        <v>4.1500000000000004</v>
      </c>
      <c r="C122" vm="1247">
        <f ca="1"/>
        <v>4.165</v>
      </c>
      <c r="D122" vm="1248">
        <f ca="1"/>
        <v>3.71</v>
      </c>
    </row>
    <row r="123" spans="1:4" x14ac:dyDescent="0.25">
      <c r="A123" vm="423">
        <f ca="1"/>
        <v>45835</v>
      </c>
      <c r="B123" vm="1175">
        <f ca="1"/>
        <v>4.08</v>
      </c>
      <c r="C123" vm="1179">
        <f ca="1"/>
        <v>4.1100000000000003</v>
      </c>
      <c r="D123" vm="1249">
        <f ca="1"/>
        <v>3.95</v>
      </c>
    </row>
    <row r="124" spans="1:4" x14ac:dyDescent="0.25">
      <c r="A124" vm="425">
        <f ca="1"/>
        <v>45838</v>
      </c>
      <c r="B124" vm="1250">
        <f ca="1"/>
        <v>4.09</v>
      </c>
      <c r="C124" vm="1176">
        <f ca="1"/>
        <v>4.18</v>
      </c>
      <c r="D124" vm="1189">
        <f ca="1"/>
        <v>4.05</v>
      </c>
    </row>
    <row r="125" spans="1:4" x14ac:dyDescent="0.25">
      <c r="A125" vm="427">
        <f ca="1"/>
        <v>45839</v>
      </c>
      <c r="B125" vm="1162">
        <f ca="1"/>
        <v>4.1500000000000004</v>
      </c>
      <c r="C125" vm="1251">
        <f ca="1"/>
        <v>4.2450000000000001</v>
      </c>
      <c r="D125" vm="1252">
        <f ca="1"/>
        <v>4.07</v>
      </c>
    </row>
    <row r="126" spans="1:4" x14ac:dyDescent="0.25">
      <c r="A126" vm="430">
        <f ca="1"/>
        <v>45840</v>
      </c>
      <c r="B126" vm="1253">
        <f ca="1"/>
        <v>4.4800000000000004</v>
      </c>
      <c r="C126" vm="1230">
        <f ca="1"/>
        <v>4.5599999999999996</v>
      </c>
      <c r="D126" vm="1162">
        <f ca="1"/>
        <v>4.1500000000000004</v>
      </c>
    </row>
    <row r="127" spans="1:4" x14ac:dyDescent="0.25">
      <c r="A127" vm="432">
        <f ca="1"/>
        <v>45841</v>
      </c>
      <c r="B127" vm="1237">
        <f ca="1"/>
        <v>4.5199999999999996</v>
      </c>
      <c r="C127" vm="1254">
        <f ca="1"/>
        <v>4.7050000000000001</v>
      </c>
      <c r="D127" vm="1255">
        <f ca="1"/>
        <v>4.4000000000000004</v>
      </c>
    </row>
    <row r="128" spans="1:4" x14ac:dyDescent="0.25">
      <c r="A128" vm="434">
        <f ca="1"/>
        <v>45845</v>
      </c>
      <c r="B128" vm="1256">
        <f ca="1"/>
        <v>4.55</v>
      </c>
      <c r="C128" vm="1165">
        <f ca="1"/>
        <v>4.6100000000000003</v>
      </c>
      <c r="D128" vm="1166">
        <f ca="1"/>
        <v>4.4400000000000004</v>
      </c>
    </row>
    <row r="129" spans="1:4" x14ac:dyDescent="0.25">
      <c r="A129" vm="437">
        <f ca="1"/>
        <v>45846</v>
      </c>
      <c r="B129" vm="1166">
        <f ca="1"/>
        <v>4.4400000000000004</v>
      </c>
      <c r="C129" vm="1257">
        <f ca="1"/>
        <v>4.59</v>
      </c>
      <c r="D129" vm="1233">
        <f ca="1"/>
        <v>4.34</v>
      </c>
    </row>
    <row r="130" spans="1:4" x14ac:dyDescent="0.25">
      <c r="A130" vm="441">
        <f ca="1"/>
        <v>45847</v>
      </c>
      <c r="B130" vm="1257">
        <f ca="1"/>
        <v>4.59</v>
      </c>
      <c r="C130" vm="1258">
        <f ca="1"/>
        <v>4.625</v>
      </c>
      <c r="D130" vm="1259">
        <f ca="1"/>
        <v>4.37</v>
      </c>
    </row>
    <row r="131" spans="1:4" x14ac:dyDescent="0.25">
      <c r="A131" vm="444">
        <f ca="1"/>
        <v>45848</v>
      </c>
      <c r="B131" vm="1260">
        <f ca="1"/>
        <v>4.72</v>
      </c>
      <c r="C131" vm="1261">
        <f ca="1"/>
        <v>4.7350000000000003</v>
      </c>
      <c r="D131" vm="1257">
        <f ca="1"/>
        <v>4.59</v>
      </c>
    </row>
    <row r="132" spans="1:4" x14ac:dyDescent="0.25">
      <c r="A132" vm="446">
        <f ca="1"/>
        <v>45849</v>
      </c>
      <c r="B132" vm="1262">
        <f ca="1"/>
        <v>4.8</v>
      </c>
      <c r="C132" vm="1263">
        <f ca="1"/>
        <v>4.8449999999999998</v>
      </c>
      <c r="D132" vm="1264">
        <f ca="1"/>
        <v>4.68</v>
      </c>
    </row>
    <row r="133" spans="1:4" x14ac:dyDescent="0.25">
      <c r="A133" vm="449">
        <f ca="1"/>
        <v>45852</v>
      </c>
      <c r="B133" vm="1167">
        <f ca="1"/>
        <v>4.91</v>
      </c>
      <c r="C133" vm="1265">
        <f ca="1"/>
        <v>5.01</v>
      </c>
      <c r="D133" vm="1266">
        <f ca="1"/>
        <v>4.7949999999999999</v>
      </c>
    </row>
    <row r="134" spans="1:4" x14ac:dyDescent="0.25">
      <c r="A134" vm="452">
        <f ca="1"/>
        <v>45853</v>
      </c>
      <c r="B134" vm="1267">
        <f ca="1"/>
        <v>4.95</v>
      </c>
      <c r="C134" vm="1268">
        <f ca="1"/>
        <v>5.0049999999999999</v>
      </c>
      <c r="D134" vm="1269">
        <f ca="1"/>
        <v>4.84</v>
      </c>
    </row>
    <row r="135" spans="1:4" x14ac:dyDescent="0.25">
      <c r="A135" vm="454">
        <f ca="1"/>
        <v>45854</v>
      </c>
      <c r="B135" vm="1270">
        <f ca="1"/>
        <v>5.23</v>
      </c>
      <c r="C135" vm="1271">
        <f ca="1"/>
        <v>5.2649999999999997</v>
      </c>
      <c r="D135" vm="1272">
        <f ca="1"/>
        <v>4.99</v>
      </c>
    </row>
    <row r="136" spans="1:4" x14ac:dyDescent="0.25">
      <c r="A136" vm="457">
        <f ca="1"/>
        <v>45855</v>
      </c>
      <c r="B136" vm="1273">
        <f ca="1"/>
        <v>5.47</v>
      </c>
      <c r="C136" vm="1274">
        <f ca="1"/>
        <v>5.49</v>
      </c>
      <c r="D136" vm="1275">
        <f ca="1"/>
        <v>5.1150000000000002</v>
      </c>
    </row>
    <row r="137" spans="1:4" x14ac:dyDescent="0.25">
      <c r="A137" vm="460">
        <f ca="1"/>
        <v>45856</v>
      </c>
      <c r="B137" vm="1276">
        <f ca="1"/>
        <v>5.39</v>
      </c>
      <c r="C137" vm="1277">
        <f ca="1"/>
        <v>5.5899000000000001</v>
      </c>
      <c r="D137" vm="1278">
        <f ca="1"/>
        <v>5.3</v>
      </c>
    </row>
    <row r="138" spans="1:4" x14ac:dyDescent="0.25">
      <c r="A138" vm="462">
        <f ca="1"/>
        <v>45859</v>
      </c>
      <c r="B138" vm="1279">
        <f ca="1"/>
        <v>5.85</v>
      </c>
      <c r="C138" vm="1280">
        <f ca="1"/>
        <v>5.91</v>
      </c>
      <c r="D138" vm="1281">
        <f ca="1"/>
        <v>5.43</v>
      </c>
    </row>
    <row r="139" spans="1:4" x14ac:dyDescent="0.25">
      <c r="A139" vm="466">
        <f ca="1"/>
        <v>45860</v>
      </c>
      <c r="B139" vm="1282">
        <f ca="1"/>
        <v>6.11</v>
      </c>
      <c r="C139" vm="1283">
        <f ca="1"/>
        <v>6.16</v>
      </c>
      <c r="D139" vm="1284">
        <f ca="1"/>
        <v>5.82</v>
      </c>
    </row>
    <row r="140" spans="1:4" x14ac:dyDescent="0.25">
      <c r="A140" vm="469">
        <f ca="1"/>
        <v>45861</v>
      </c>
      <c r="B140" vm="1285">
        <f ca="1"/>
        <v>5.78</v>
      </c>
      <c r="C140" vm="1283">
        <f ca="1"/>
        <v>6.16</v>
      </c>
      <c r="D140" vm="1286">
        <f ca="1"/>
        <v>5.76</v>
      </c>
    </row>
    <row r="141" spans="1:4" x14ac:dyDescent="0.25">
      <c r="A141" vm="473">
        <f ca="1"/>
        <v>45862</v>
      </c>
      <c r="B141" vm="1287">
        <f ca="1"/>
        <v>5.6</v>
      </c>
      <c r="C141" vm="1288">
        <f ca="1"/>
        <v>5.79</v>
      </c>
      <c r="D141" vm="1289">
        <f ca="1"/>
        <v>5.56</v>
      </c>
    </row>
    <row r="142" spans="1:4" x14ac:dyDescent="0.25">
      <c r="A142" vm="477">
        <f ca="1"/>
        <v>45863</v>
      </c>
      <c r="B142" vm="1290">
        <f ca="1"/>
        <v>5.36</v>
      </c>
      <c r="C142" vm="1287">
        <f ca="1"/>
        <v>5.6</v>
      </c>
      <c r="D142" vm="1291">
        <f ca="1"/>
        <v>5.2850000000000001</v>
      </c>
    </row>
    <row r="143" spans="1:4" x14ac:dyDescent="0.25">
      <c r="A143" vm="481">
        <f ca="1"/>
        <v>45866</v>
      </c>
      <c r="B143" vm="1270">
        <f ca="1"/>
        <v>5.23</v>
      </c>
      <c r="C143" vm="1292">
        <f ca="1"/>
        <v>5.31</v>
      </c>
      <c r="D143" vm="1293">
        <f ca="1"/>
        <v>5.15</v>
      </c>
    </row>
    <row r="144" spans="1:4" x14ac:dyDescent="0.25">
      <c r="A144" vm="483">
        <f ca="1"/>
        <v>45867</v>
      </c>
      <c r="B144" vm="1294">
        <f ca="1"/>
        <v>5.25</v>
      </c>
      <c r="C144" vm="1295">
        <f ca="1"/>
        <v>5.38</v>
      </c>
      <c r="D144" vm="1296">
        <f ca="1"/>
        <v>5.17</v>
      </c>
    </row>
    <row r="145" spans="1:4" x14ac:dyDescent="0.25">
      <c r="A145" vm="486">
        <f ca="1"/>
        <v>45868</v>
      </c>
      <c r="B145" vm="1297">
        <f ca="1"/>
        <v>5.12</v>
      </c>
      <c r="C145" vm="1298">
        <f ca="1"/>
        <v>5.3997999999999999</v>
      </c>
      <c r="D145" vm="1299">
        <f ca="1"/>
        <v>5.07</v>
      </c>
    </row>
    <row r="146" spans="1:4" x14ac:dyDescent="0.25">
      <c r="A146" vm="489">
        <f ca="1"/>
        <v>45869</v>
      </c>
      <c r="B146" vm="1300">
        <f ca="1"/>
        <v>5.19</v>
      </c>
      <c r="C146" vm="1301">
        <f ca="1"/>
        <v>5.2450000000000001</v>
      </c>
      <c r="D146" vm="1302">
        <f ca="1"/>
        <v>5.0949999999999998</v>
      </c>
    </row>
    <row r="147" spans="1:4" x14ac:dyDescent="0.25">
      <c r="A147" vm="490">
        <f ca="1"/>
        <v>45870</v>
      </c>
      <c r="B147" vm="1303">
        <f ca="1"/>
        <v>5.27</v>
      </c>
      <c r="C147" vm="1276">
        <f ca="1"/>
        <v>5.39</v>
      </c>
      <c r="D147" vm="1304">
        <f ca="1"/>
        <v>5.14</v>
      </c>
    </row>
    <row r="148" spans="1:4" x14ac:dyDescent="0.25">
      <c r="A148" vm="491">
        <f ca="1"/>
        <v>45873</v>
      </c>
      <c r="B148" vm="1305">
        <f ca="1"/>
        <v>5.48</v>
      </c>
      <c r="C148" vm="1306">
        <f ca="1"/>
        <v>5.59</v>
      </c>
      <c r="D148" vm="1307">
        <f ca="1"/>
        <v>5.3879999999999999</v>
      </c>
    </row>
    <row r="149" spans="1:4" x14ac:dyDescent="0.25">
      <c r="A149" vm="492">
        <f ca="1"/>
        <v>45874</v>
      </c>
      <c r="B149" vm="1286">
        <f ca="1"/>
        <v>5.76</v>
      </c>
      <c r="C149" vm="1308">
        <f ca="1"/>
        <v>5.81</v>
      </c>
      <c r="D149" vm="1309">
        <f ca="1"/>
        <v>5.35</v>
      </c>
    </row>
    <row r="150" spans="1:4" x14ac:dyDescent="0.25">
      <c r="A150" vm="495">
        <f ca="1"/>
        <v>45875</v>
      </c>
      <c r="B150" vm="1310">
        <f ca="1"/>
        <v>5.75</v>
      </c>
      <c r="C150" vm="1311">
        <f ca="1"/>
        <v>5.8</v>
      </c>
      <c r="D150" vm="1312">
        <f ca="1"/>
        <v>5.6428000000000003</v>
      </c>
    </row>
    <row r="151" spans="1:4" x14ac:dyDescent="0.25">
      <c r="A151" vm="499">
        <f ca="1"/>
        <v>45876</v>
      </c>
      <c r="B151" vm="1313">
        <f ca="1"/>
        <v>5.71</v>
      </c>
      <c r="C151" vm="1314">
        <f ca="1"/>
        <v>5.83</v>
      </c>
      <c r="D151" vm="1315">
        <f ca="1"/>
        <v>5.6349999999999998</v>
      </c>
    </row>
    <row r="152" spans="1:4" x14ac:dyDescent="0.25">
      <c r="A152" vm="501">
        <f ca="1"/>
        <v>45877</v>
      </c>
      <c r="B152" vm="1316">
        <f ca="1"/>
        <v>5.66</v>
      </c>
      <c r="C152" vm="1317">
        <f ca="1"/>
        <v>5.835</v>
      </c>
      <c r="D152" vm="1287">
        <f ca="1"/>
        <v>5.6</v>
      </c>
    </row>
    <row r="153" spans="1:4" x14ac:dyDescent="0.25">
      <c r="A153" vm="504">
        <f ca="1"/>
        <v>45880</v>
      </c>
      <c r="B153" vm="1285">
        <f ca="1"/>
        <v>5.78</v>
      </c>
      <c r="C153" vm="1318">
        <f ca="1"/>
        <v>5.8898999999999999</v>
      </c>
      <c r="D153" vm="1319">
        <f ca="1"/>
        <v>5.53</v>
      </c>
    </row>
    <row r="154" spans="1:4" x14ac:dyDescent="0.25">
      <c r="A154" vm="505">
        <f ca="1"/>
        <v>45881</v>
      </c>
      <c r="B154" vm="1320">
        <f ca="1"/>
        <v>5.89</v>
      </c>
      <c r="C154" vm="1321">
        <f ca="1"/>
        <v>5.92</v>
      </c>
      <c r="D154" vm="1286">
        <f ca="1"/>
        <v>5.76</v>
      </c>
    </row>
    <row r="155" spans="1:4" x14ac:dyDescent="0.25">
      <c r="A155" vm="507">
        <f ca="1"/>
        <v>45882</v>
      </c>
      <c r="B155" vm="1321">
        <f ca="1"/>
        <v>5.92</v>
      </c>
      <c r="C155" vm="1322">
        <f ca="1"/>
        <v>6</v>
      </c>
      <c r="D155" vm="1323">
        <f ca="1"/>
        <v>5.8150000000000004</v>
      </c>
    </row>
    <row r="156" spans="1:4" x14ac:dyDescent="0.25">
      <c r="A156" vm="509">
        <f ca="1"/>
        <v>45883</v>
      </c>
      <c r="B156" vm="1324">
        <f ca="1"/>
        <v>5.97</v>
      </c>
      <c r="C156" vm="1325">
        <f ca="1"/>
        <v>6.05</v>
      </c>
      <c r="D156" vm="1326">
        <f ca="1"/>
        <v>5.84</v>
      </c>
    </row>
    <row r="157" spans="1:4" x14ac:dyDescent="0.25">
      <c r="A157" vm="510">
        <f ca="1"/>
        <v>45884</v>
      </c>
      <c r="B157" vm="1327">
        <f ca="1"/>
        <v>6.01</v>
      </c>
      <c r="C157" vm="1328">
        <f ca="1"/>
        <v>6.06</v>
      </c>
      <c r="D157" vm="1320">
        <f ca="1"/>
        <v>5.89</v>
      </c>
    </row>
    <row r="158" spans="1:4" x14ac:dyDescent="0.25">
      <c r="A158" vm="514">
        <f ca="1"/>
        <v>45887</v>
      </c>
      <c r="B158" vm="1325">
        <f ca="1"/>
        <v>6.05</v>
      </c>
      <c r="C158" vm="1329">
        <f ca="1"/>
        <v>6.12</v>
      </c>
      <c r="D158" vm="1330">
        <f ca="1"/>
        <v>5.95</v>
      </c>
    </row>
    <row r="159" spans="1:4" x14ac:dyDescent="0.25">
      <c r="A159" vm="517">
        <f ca="1"/>
        <v>45888</v>
      </c>
      <c r="B159" vm="1280">
        <f ca="1"/>
        <v>5.91</v>
      </c>
      <c r="C159" vm="1331">
        <f ca="1"/>
        <v>6.08</v>
      </c>
      <c r="D159" vm="1279">
        <f ca="1"/>
        <v>5.85</v>
      </c>
    </row>
    <row r="160" spans="1:4" x14ac:dyDescent="0.25">
      <c r="A160" vm="520">
        <f ca="1"/>
        <v>45889</v>
      </c>
      <c r="B160" vm="1321">
        <f ca="1"/>
        <v>5.92</v>
      </c>
      <c r="C160" vm="1332">
        <f ca="1"/>
        <v>5.9950000000000001</v>
      </c>
      <c r="D160" vm="1320">
        <f ca="1"/>
        <v>5.89</v>
      </c>
    </row>
    <row r="161" spans="1:4" x14ac:dyDescent="0.25">
      <c r="A161" vm="522">
        <f ca="1"/>
        <v>45890</v>
      </c>
      <c r="B161" vm="1330">
        <f ca="1"/>
        <v>5.95</v>
      </c>
      <c r="C161" vm="1333">
        <f ca="1"/>
        <v>6.0198999999999998</v>
      </c>
      <c r="D161" vm="1308">
        <f ca="1"/>
        <v>5.81</v>
      </c>
    </row>
    <row r="162" spans="1:4" x14ac:dyDescent="0.25">
      <c r="A162" vm="524">
        <f ca="1"/>
        <v>45891</v>
      </c>
      <c r="B162" vm="1334">
        <f ca="1"/>
        <v>6.09</v>
      </c>
      <c r="C162" vm="1335">
        <f ca="1"/>
        <v>6.15</v>
      </c>
      <c r="D162" vm="1336">
        <f ca="1"/>
        <v>5.8550000000000004</v>
      </c>
    </row>
    <row r="163" spans="1:4" x14ac:dyDescent="0.25">
      <c r="A163" vm="527">
        <f ca="1"/>
        <v>45894</v>
      </c>
      <c r="B163" vm="1337">
        <f ca="1"/>
        <v>6.4</v>
      </c>
      <c r="C163" vm="1338">
        <f ca="1"/>
        <v>6.56</v>
      </c>
      <c r="D163" vm="1331">
        <f ca="1"/>
        <v>6.08</v>
      </c>
    </row>
    <row r="164" spans="1:4" x14ac:dyDescent="0.25">
      <c r="A164" vm="529">
        <f ca="1"/>
        <v>45895</v>
      </c>
      <c r="B164" vm="1338">
        <f ca="1"/>
        <v>6.56</v>
      </c>
      <c r="C164" vm="1339">
        <f ca="1"/>
        <v>6.625</v>
      </c>
      <c r="D164" vm="1337">
        <f ca="1"/>
        <v>6.4</v>
      </c>
    </row>
    <row r="165" spans="1:4" x14ac:dyDescent="0.25">
      <c r="A165" vm="531">
        <f ca="1"/>
        <v>45896</v>
      </c>
      <c r="B165" vm="1340">
        <f ca="1"/>
        <v>6.59</v>
      </c>
      <c r="C165" vm="1341">
        <f ca="1"/>
        <v>6.5949999999999998</v>
      </c>
      <c r="D165" vm="1342">
        <f ca="1"/>
        <v>6.4050000000000002</v>
      </c>
    </row>
    <row r="166" spans="1:4" x14ac:dyDescent="0.25">
      <c r="A166" vm="534">
        <f ca="1"/>
        <v>45897</v>
      </c>
      <c r="B166" vm="1343">
        <f ca="1"/>
        <v>6.46</v>
      </c>
      <c r="C166" vm="1344">
        <f ca="1"/>
        <v>6.6749999999999998</v>
      </c>
      <c r="D166" vm="1345">
        <f ca="1"/>
        <v>6.4349999999999996</v>
      </c>
    </row>
    <row r="167" spans="1:4" x14ac:dyDescent="0.25">
      <c r="A167" vm="536">
        <f ca="1"/>
        <v>45898</v>
      </c>
      <c r="B167" vm="1346">
        <f ca="1"/>
        <v>6.84</v>
      </c>
      <c r="C167" vm="1347">
        <f ca="1"/>
        <v>6.9349999999999996</v>
      </c>
      <c r="D167" vm="1348">
        <f ca="1"/>
        <v>6.47</v>
      </c>
    </row>
    <row r="168" spans="1:4" x14ac:dyDescent="0.25">
      <c r="A168" vm="538">
        <f ca="1"/>
        <v>45902</v>
      </c>
      <c r="B168" vm="1349">
        <f ca="1"/>
        <v>6.69</v>
      </c>
      <c r="C168" vm="1350">
        <f ca="1"/>
        <v>6.95</v>
      </c>
      <c r="D168" vm="1351">
        <f ca="1"/>
        <v>6.55</v>
      </c>
    </row>
    <row r="169" spans="1:4" x14ac:dyDescent="0.25">
      <c r="A169" vm="541">
        <f ca="1"/>
        <v>45903</v>
      </c>
      <c r="B169" vm="1352">
        <f ca="1"/>
        <v>6.7</v>
      </c>
      <c r="C169" vm="1353">
        <f ca="1"/>
        <v>6.85</v>
      </c>
      <c r="D169" vm="1354">
        <f ca="1"/>
        <v>6.585</v>
      </c>
    </row>
    <row r="170" spans="1:4" x14ac:dyDescent="0.25">
      <c r="A170" vm="543">
        <f ca="1"/>
        <v>45904</v>
      </c>
      <c r="B170" vm="1355">
        <f ca="1"/>
        <v>6.75</v>
      </c>
      <c r="C170" vm="1356">
        <f ca="1"/>
        <v>6.78</v>
      </c>
      <c r="D170" vm="1338">
        <f ca="1"/>
        <v>6.56</v>
      </c>
    </row>
    <row r="171" spans="1:4" x14ac:dyDescent="0.25">
      <c r="A171" vm="545">
        <f ca="1"/>
        <v>45905</v>
      </c>
      <c r="B171" vm="1357">
        <f ca="1"/>
        <v>6.76</v>
      </c>
      <c r="C171" vm="1358">
        <f ca="1"/>
        <v>6.87</v>
      </c>
      <c r="D171" vm="1359">
        <f ca="1"/>
        <v>6.67</v>
      </c>
    </row>
    <row r="172" spans="1:4" x14ac:dyDescent="0.25">
      <c r="A172" vm="546">
        <f ca="1"/>
        <v>45908</v>
      </c>
      <c r="B172" vm="1360">
        <f ca="1"/>
        <v>6.73</v>
      </c>
      <c r="C172" vm="1361">
        <f ca="1"/>
        <v>6.8849999999999998</v>
      </c>
      <c r="D172" vm="1359">
        <f ca="1"/>
        <v>6.67</v>
      </c>
    </row>
    <row r="173" spans="1:4" x14ac:dyDescent="0.25">
      <c r="A173" vm="548">
        <f ca="1"/>
        <v>45909</v>
      </c>
      <c r="B173" vm="1362">
        <f ca="1"/>
        <v>6.74</v>
      </c>
      <c r="C173" vm="1363">
        <f ca="1"/>
        <v>6.8598999999999997</v>
      </c>
      <c r="D173" vm="1364">
        <f ca="1"/>
        <v>6.64</v>
      </c>
    </row>
    <row r="174" spans="1:4" x14ac:dyDescent="0.25">
      <c r="A174" vm="550">
        <f ca="1"/>
        <v>45910</v>
      </c>
      <c r="B174" vm="1365">
        <f ca="1"/>
        <v>6.61</v>
      </c>
      <c r="C174" vm="1366">
        <f ca="1"/>
        <v>6.98</v>
      </c>
      <c r="D174" vm="1354">
        <f ca="1"/>
        <v>6.585</v>
      </c>
    </row>
    <row r="175" spans="1:4" x14ac:dyDescent="0.25">
      <c r="A175" vm="551">
        <f ca="1"/>
        <v>45911</v>
      </c>
      <c r="B175" vm="1366">
        <f ca="1"/>
        <v>6.98</v>
      </c>
      <c r="C175" vm="1367">
        <f ca="1"/>
        <v>7.05</v>
      </c>
      <c r="D175" vm="1340">
        <f ca="1"/>
        <v>6.59</v>
      </c>
    </row>
    <row r="176" spans="1:4" x14ac:dyDescent="0.25">
      <c r="A176" vm="554">
        <f ca="1"/>
        <v>45912</v>
      </c>
      <c r="B176" vm="1368">
        <f ca="1"/>
        <v>6.92</v>
      </c>
      <c r="C176" vm="1367">
        <f ca="1"/>
        <v>7.05</v>
      </c>
      <c r="D176" vm="242">
        <f ca="1"/>
        <v>6.83</v>
      </c>
    </row>
    <row r="177" spans="1:4" x14ac:dyDescent="0.25">
      <c r="A177" vm="555">
        <f ca="1"/>
        <v>45915</v>
      </c>
      <c r="B177" vm="1369">
        <f ca="1"/>
        <v>7.3</v>
      </c>
      <c r="C177" vm="1370">
        <f ca="1"/>
        <v>7.33</v>
      </c>
      <c r="D177" vm="1368">
        <f ca="1"/>
        <v>6.92</v>
      </c>
    </row>
    <row r="178" spans="1:4" x14ac:dyDescent="0.25">
      <c r="A178" vm="556">
        <f ca="1"/>
        <v>45916</v>
      </c>
      <c r="B178" vm="234">
        <f ca="1"/>
        <v>7.14</v>
      </c>
      <c r="C178" vm="1371">
        <f ca="1"/>
        <v>7.31</v>
      </c>
      <c r="D178" vm="1372">
        <f ca="1"/>
        <v>7.1050000000000004</v>
      </c>
    </row>
    <row r="179" spans="1:4" x14ac:dyDescent="0.25">
      <c r="A179" vm="559">
        <f ca="1"/>
        <v>45917</v>
      </c>
      <c r="B179" vm="1373">
        <f ca="1"/>
        <v>7.04</v>
      </c>
      <c r="C179" vm="1374">
        <f ca="1"/>
        <v>7.36</v>
      </c>
      <c r="D179" vm="1350">
        <f ca="1"/>
        <v>6.95</v>
      </c>
    </row>
    <row r="180" spans="1:4" x14ac:dyDescent="0.25">
      <c r="A180" vm="560">
        <f ca="1"/>
        <v>45918</v>
      </c>
      <c r="B180" vm="1375">
        <f ca="1"/>
        <v>7.25</v>
      </c>
      <c r="C180" vm="1376">
        <f ca="1"/>
        <v>7.27</v>
      </c>
      <c r="D180" vm="1377">
        <f ca="1"/>
        <v>6.9</v>
      </c>
    </row>
    <row r="181" spans="1:4" x14ac:dyDescent="0.25">
      <c r="A181" vm="561">
        <f ca="1"/>
        <v>45919</v>
      </c>
      <c r="B181" vm="1378">
        <f ca="1"/>
        <v>7.53</v>
      </c>
      <c r="C181" vm="1379">
        <f ca="1"/>
        <v>7.55</v>
      </c>
      <c r="D181" vm="1380">
        <f ca="1"/>
        <v>7.26</v>
      </c>
    </row>
    <row r="182" spans="1:4" x14ac:dyDescent="0.25">
      <c r="A182" vm="562">
        <f ca="1"/>
        <v>45922</v>
      </c>
      <c r="B182" vm="1381">
        <f ca="1"/>
        <v>7.64</v>
      </c>
      <c r="C182" vm="1382">
        <f ca="1"/>
        <v>7.81</v>
      </c>
      <c r="D182" vm="1383">
        <f ca="1"/>
        <v>7.5049999999999999</v>
      </c>
    </row>
    <row r="183" spans="1:4" x14ac:dyDescent="0.25">
      <c r="A183" vm="563">
        <f ca="1"/>
        <v>45923</v>
      </c>
      <c r="B183" vm="258">
        <f ca="1"/>
        <v>7.73</v>
      </c>
      <c r="C183" vm="613">
        <f ca="1"/>
        <v>8.0549999999999997</v>
      </c>
      <c r="D183" vm="1384">
        <f ca="1"/>
        <v>7.67</v>
      </c>
    </row>
    <row r="184" spans="1:4" x14ac:dyDescent="0.25">
      <c r="A184" vm="564">
        <f ca="1"/>
        <v>45924</v>
      </c>
      <c r="B184" vm="254">
        <f ca="1"/>
        <v>7.68</v>
      </c>
      <c r="C184" vm="1385">
        <f ca="1"/>
        <v>7.86</v>
      </c>
      <c r="D184" vm="1386">
        <f ca="1"/>
        <v>7.6</v>
      </c>
    </row>
    <row r="185" spans="1:4" x14ac:dyDescent="0.25">
      <c r="A185" vm="566">
        <f ca="1"/>
        <v>45925</v>
      </c>
      <c r="B185" vm="308">
        <f ca="1"/>
        <v>7.94</v>
      </c>
      <c r="C185" vm="620">
        <f ca="1"/>
        <v>7.97</v>
      </c>
      <c r="D185" vm="1387">
        <f ca="1"/>
        <v>7.61</v>
      </c>
    </row>
    <row r="186" spans="1:4" x14ac:dyDescent="0.25">
      <c r="A186" vm="568">
        <f ca="1"/>
        <v>45926</v>
      </c>
      <c r="B186" vm="272">
        <f ca="1"/>
        <v>8.3000000000000007</v>
      </c>
      <c r="C186" vm="352">
        <f ca="1"/>
        <v>8.33</v>
      </c>
      <c r="D186" vm="620">
        <f ca="1"/>
        <v>7.97</v>
      </c>
    </row>
    <row r="187" spans="1:4" x14ac:dyDescent="0.25">
      <c r="A187" vm="571">
        <f ca="1"/>
        <v>45929</v>
      </c>
      <c r="B187" vm="468">
        <f ca="1"/>
        <v>8.48</v>
      </c>
      <c r="C187" vm="351">
        <f ca="1"/>
        <v>8.58</v>
      </c>
      <c r="D187" vm="285">
        <f ca="1"/>
        <v>8.34</v>
      </c>
    </row>
    <row r="188" spans="1:4" x14ac:dyDescent="0.25">
      <c r="A188" vm="573">
        <f ca="1"/>
        <v>45930</v>
      </c>
      <c r="B188" vm="552">
        <f ca="1"/>
        <v>8.8000000000000007</v>
      </c>
      <c r="C188" vm="1388">
        <f ca="1"/>
        <v>9.0549999999999997</v>
      </c>
      <c r="D188" vm="1389">
        <f ca="1"/>
        <v>8.4649999999999999</v>
      </c>
    </row>
    <row r="189" spans="1:4" x14ac:dyDescent="0.25">
      <c r="A189" vm="575">
        <f ca="1"/>
        <v>45931</v>
      </c>
      <c r="B189" vm="1390">
        <f ca="1"/>
        <v>10.119999999999999</v>
      </c>
      <c r="C189" vm="1391">
        <f ca="1"/>
        <v>10.16</v>
      </c>
      <c r="D189" vm="275">
        <f ca="1"/>
        <v>8.27</v>
      </c>
    </row>
    <row r="190" spans="1:4" x14ac:dyDescent="0.25">
      <c r="A190" vm="576">
        <f ca="1"/>
        <v>45932</v>
      </c>
      <c r="B190" vm="484">
        <f ca="1"/>
        <v>9.65</v>
      </c>
      <c r="C190" vm="1392">
        <f ca="1"/>
        <v>10.435</v>
      </c>
      <c r="D190" vm="1393">
        <f ca="1"/>
        <v>9.3244000000000007</v>
      </c>
    </row>
    <row r="191" spans="1:4" x14ac:dyDescent="0.25">
      <c r="A191" vm="578">
        <f ca="1"/>
        <v>45933</v>
      </c>
      <c r="B191" vm="526">
        <f ca="1"/>
        <v>9.99</v>
      </c>
      <c r="C191" vm="1394">
        <f ca="1"/>
        <v>10.39</v>
      </c>
      <c r="D191" vm="1395">
        <f ca="1"/>
        <v>9.83</v>
      </c>
    </row>
    <row r="192" spans="1:4" x14ac:dyDescent="0.25">
      <c r="A192" vm="580">
        <f ca="1"/>
        <v>45936</v>
      </c>
      <c r="B192" vm="487">
        <f ca="1"/>
        <v>9.66</v>
      </c>
      <c r="C192" vm="1396">
        <f ca="1"/>
        <v>10.3399</v>
      </c>
      <c r="D192" vm="658">
        <f ca="1"/>
        <v>9.6300000000000008</v>
      </c>
    </row>
    <row r="193" spans="1:4" x14ac:dyDescent="0.25">
      <c r="A193" vm="582">
        <f ca="1"/>
        <v>45937</v>
      </c>
      <c r="B193" vm="1397">
        <f ca="1"/>
        <v>10.07</v>
      </c>
      <c r="C193" vm="1391">
        <f ca="1"/>
        <v>10.16</v>
      </c>
      <c r="D193" vm="748">
        <f ca="1"/>
        <v>9.59</v>
      </c>
    </row>
    <row r="194" spans="1:4" x14ac:dyDescent="0.25">
      <c r="A194" vm="584">
        <f ca="1"/>
        <v>45938</v>
      </c>
      <c r="B194" vm="824">
        <f ca="1"/>
        <v>10.31</v>
      </c>
      <c r="C194" vm="802">
        <f ca="1"/>
        <v>10.44</v>
      </c>
      <c r="D194" vm="1397">
        <f ca="1"/>
        <v>10.07</v>
      </c>
    </row>
    <row r="195" spans="1:4" x14ac:dyDescent="0.25">
      <c r="A195" vm="585">
        <f ca="1"/>
        <v>45939</v>
      </c>
      <c r="B195" vm="1398">
        <f ca="1"/>
        <v>9.75</v>
      </c>
      <c r="C195" vm="822">
        <f ca="1"/>
        <v>10.36</v>
      </c>
      <c r="D195" vm="1399">
        <f ca="1"/>
        <v>9.67</v>
      </c>
    </row>
    <row r="196" spans="1:4" x14ac:dyDescent="0.25">
      <c r="A196" vm="587">
        <f ca="1"/>
        <v>45940</v>
      </c>
      <c r="B196" vm="635">
        <f ca="1"/>
        <v>9.6999999999999993</v>
      </c>
      <c r="C196" vm="401">
        <f ca="1"/>
        <v>10</v>
      </c>
      <c r="D196" vm="1400">
        <f ca="1"/>
        <v>9.6150000000000002</v>
      </c>
    </row>
    <row r="197" spans="1:4" x14ac:dyDescent="0.25">
      <c r="A197" vm="590">
        <f ca="1"/>
        <v>45943</v>
      </c>
      <c r="B197" vm="759">
        <f ca="1"/>
        <v>10.01</v>
      </c>
      <c r="C197" vm="1401">
        <f ca="1"/>
        <v>10.185</v>
      </c>
      <c r="D197" vm="1402">
        <f ca="1"/>
        <v>9.8949999999999996</v>
      </c>
    </row>
    <row r="198" spans="1:4" x14ac:dyDescent="0.25">
      <c r="A198" vm="592">
        <f ca="1"/>
        <v>45944</v>
      </c>
      <c r="B198" vm="409">
        <f ca="1"/>
        <v>9.8800000000000008</v>
      </c>
      <c r="C198" vm="1403">
        <f ca="1"/>
        <v>10.135</v>
      </c>
      <c r="D198" vm="326">
        <f ca="1"/>
        <v>9.5399999999999991</v>
      </c>
    </row>
    <row r="199" spans="1:4" x14ac:dyDescent="0.25">
      <c r="A199" vm="594">
        <f ca="1"/>
        <v>45945</v>
      </c>
      <c r="B199" vm="170">
        <f ca="1"/>
        <v>10.51</v>
      </c>
      <c r="C199" vm="1404">
        <f ca="1"/>
        <v>10.9</v>
      </c>
      <c r="D199" vm="570">
        <f ca="1"/>
        <v>9.9700000000000006</v>
      </c>
    </row>
    <row r="200" spans="1:4" x14ac:dyDescent="0.25">
      <c r="A200" vm="596">
        <f ca="1"/>
        <v>45946</v>
      </c>
      <c r="B200" vm="1405">
        <f ca="1"/>
        <v>10.4</v>
      </c>
      <c r="C200" vm="1406">
        <f ca="1"/>
        <v>10.74</v>
      </c>
      <c r="D200" vm="1407">
        <f ca="1"/>
        <v>10.33</v>
      </c>
    </row>
    <row r="201" spans="1:4" x14ac:dyDescent="0.25">
      <c r="A201" vm="597">
        <f ca="1"/>
        <v>45947</v>
      </c>
      <c r="B201" vm="738">
        <f ca="1"/>
        <v>9.5500000000000007</v>
      </c>
      <c r="C201" vm="762">
        <f ca="1"/>
        <v>10.25</v>
      </c>
      <c r="D201" vm="493">
        <f ca="1"/>
        <v>9.36</v>
      </c>
    </row>
    <row r="202" spans="1:4" x14ac:dyDescent="0.25">
      <c r="A202" vm="600">
        <f ca="1"/>
        <v>45950</v>
      </c>
      <c r="B202" vm="1408">
        <f ca="1"/>
        <v>10.11</v>
      </c>
      <c r="C202" vm="1408">
        <f ca="1"/>
        <v>10.11</v>
      </c>
      <c r="D202" vm="1409">
        <f ca="1"/>
        <v>9.5890000000000004</v>
      </c>
    </row>
    <row r="203" spans="1:4" x14ac:dyDescent="0.25">
      <c r="A203" vm="601">
        <f ca="1"/>
        <v>45951</v>
      </c>
      <c r="B203" vm="418">
        <f ca="1"/>
        <v>8.77</v>
      </c>
      <c r="C203" vm="511">
        <f ca="1"/>
        <v>9.42</v>
      </c>
      <c r="D203" vm="283">
        <f ca="1"/>
        <v>8.7200000000000006</v>
      </c>
    </row>
    <row r="204" spans="1:4" x14ac:dyDescent="0.25">
      <c r="A204" vm="604">
        <f ca="1"/>
        <v>45952</v>
      </c>
      <c r="B204" vm="362">
        <f ca="1"/>
        <v>8.6999999999999993</v>
      </c>
      <c r="C204" vm="376">
        <f ca="1"/>
        <v>8.7799999999999994</v>
      </c>
      <c r="D204" vm="1410">
        <f ca="1"/>
        <v>8.3101000000000003</v>
      </c>
    </row>
    <row r="205" spans="1:4" x14ac:dyDescent="0.25">
      <c r="A205" vm="606">
        <f ca="1"/>
        <v>45953</v>
      </c>
      <c r="B205" vm="607">
        <f ca="1"/>
        <v>8.5299999999999994</v>
      </c>
      <c r="C205" vm="1411">
        <f ca="1"/>
        <v>8.91</v>
      </c>
      <c r="D205" vm="468">
        <f ca="1"/>
        <v>8.48</v>
      </c>
    </row>
    <row r="206" spans="1:4" x14ac:dyDescent="0.25">
      <c r="A206" vm="608">
        <f ca="1"/>
        <v>45954</v>
      </c>
      <c r="B206" vm="607">
        <f ca="1"/>
        <v>8.5299999999999994</v>
      </c>
      <c r="C206" vm="360">
        <f ca="1"/>
        <v>8.5749999999999993</v>
      </c>
      <c r="D206" vm="595">
        <f ca="1"/>
        <v>8.32</v>
      </c>
    </row>
    <row r="207" spans="1:4" x14ac:dyDescent="0.25">
      <c r="A207" vm="610">
        <f ca="1"/>
        <v>45957</v>
      </c>
      <c r="B207" vm="260">
        <f ca="1"/>
        <v>8.1300000000000008</v>
      </c>
      <c r="C207" vm="1412">
        <f ca="1"/>
        <v>8.31</v>
      </c>
      <c r="D207" vm="1413">
        <f ca="1"/>
        <v>7.87</v>
      </c>
    </row>
    <row r="208" spans="1:4" x14ac:dyDescent="0.25">
      <c r="A208" vm="611">
        <f ca="1"/>
        <v>45958</v>
      </c>
      <c r="B208" vm="260">
        <f ca="1"/>
        <v>8.1300000000000008</v>
      </c>
      <c r="C208" vm="598">
        <f ca="1"/>
        <v>8.25</v>
      </c>
      <c r="D208" vm="1384">
        <f ca="1"/>
        <v>7.67</v>
      </c>
    </row>
    <row r="209" spans="1:4" x14ac:dyDescent="0.25">
      <c r="A209" vm="614">
        <f ca="1"/>
        <v>45959</v>
      </c>
      <c r="B209" vm="268">
        <f ca="1"/>
        <v>8.1</v>
      </c>
      <c r="C209" vm="1414">
        <f ca="1"/>
        <v>8.4491999999999994</v>
      </c>
      <c r="D209" vm="1415">
        <f ca="1"/>
        <v>7.93</v>
      </c>
    </row>
    <row r="210" spans="1:4" x14ac:dyDescent="0.25">
      <c r="A210" vm="618">
        <f ca="1"/>
        <v>45960</v>
      </c>
      <c r="B210" vm="261">
        <f ca="1"/>
        <v>8.2899999999999991</v>
      </c>
      <c r="C210" vm="352">
        <f ca="1"/>
        <v>8.33</v>
      </c>
      <c r="D210" vm="1416">
        <f ca="1"/>
        <v>7.96</v>
      </c>
    </row>
    <row r="211" spans="1:4" x14ac:dyDescent="0.25">
      <c r="A211" vm="621">
        <f ca="1"/>
        <v>45961</v>
      </c>
      <c r="B211" vm="261">
        <f ca="1"/>
        <v>8.2899999999999991</v>
      </c>
      <c r="C211" vm="352">
        <f ca="1"/>
        <v>8.33</v>
      </c>
      <c r="D211" vm="1417">
        <f ca="1"/>
        <v>7.83</v>
      </c>
    </row>
    <row r="212" spans="1:4" x14ac:dyDescent="0.25">
      <c r="A212" vm="622">
        <f ca="1"/>
        <v>45964</v>
      </c>
      <c r="B212" vm="309">
        <f ca="1"/>
        <v>8.11</v>
      </c>
      <c r="C212" vm="311">
        <f ca="1"/>
        <v>8.3699999999999992</v>
      </c>
      <c r="D212" vm="1418">
        <f ca="1"/>
        <v>7.9950000000000001</v>
      </c>
    </row>
    <row r="213" spans="1:4" x14ac:dyDescent="0.25">
      <c r="A213" vm="623">
        <f ca="1"/>
        <v>45965</v>
      </c>
      <c r="B213" vm="248">
        <f ca="1"/>
        <v>7.71</v>
      </c>
      <c r="C213" vm="613">
        <f ca="1"/>
        <v>8.0549999999999997</v>
      </c>
      <c r="D213" vm="1419">
        <f ca="1"/>
        <v>7.6749999999999998</v>
      </c>
    </row>
    <row r="214" spans="1:4" x14ac:dyDescent="0.25">
      <c r="A214" vm="626">
        <f ca="1"/>
        <v>45966</v>
      </c>
      <c r="B214" vm="232">
        <f ca="1"/>
        <v>7.88</v>
      </c>
      <c r="C214" vm="305">
        <f ca="1"/>
        <v>7.95</v>
      </c>
      <c r="D214" vm="1420">
        <f ca="1"/>
        <v>7.7149999999999999</v>
      </c>
    </row>
    <row r="215" spans="1:4" x14ac:dyDescent="0.25">
      <c r="A215" vm="627">
        <f ca="1"/>
        <v>45967</v>
      </c>
      <c r="B215" vm="1421">
        <f ca="1"/>
        <v>7.84</v>
      </c>
      <c r="C215" vm="275">
        <f ca="1"/>
        <v>8.27</v>
      </c>
      <c r="D215" vm="1422">
        <f ca="1"/>
        <v>7.8250000000000002</v>
      </c>
    </row>
    <row r="216" spans="1:4" x14ac:dyDescent="0.25">
      <c r="A216" vm="629">
        <f ca="1"/>
        <v>45968</v>
      </c>
      <c r="B216" vm="269">
        <f ca="1"/>
        <v>8.19</v>
      </c>
      <c r="C216" vm="261">
        <f ca="1"/>
        <v>8.2899999999999991</v>
      </c>
      <c r="D216" vm="1423">
        <f ca="1"/>
        <v>7.78</v>
      </c>
    </row>
    <row r="217" spans="1:4" x14ac:dyDescent="0.25">
      <c r="A217" vm="631">
        <f ca="1"/>
        <v>45971</v>
      </c>
      <c r="B217" vm="265">
        <f ca="1"/>
        <v>8.59</v>
      </c>
      <c r="C217" vm="579">
        <f ca="1"/>
        <v>8.7249999999999996</v>
      </c>
      <c r="D217" vm="291">
        <f ca="1"/>
        <v>8.4600000000000009</v>
      </c>
    </row>
    <row r="218" spans="1:4" x14ac:dyDescent="0.25">
      <c r="A218" vm="632">
        <f ca="1"/>
        <v>45972</v>
      </c>
      <c r="B218" vm="356">
        <f ca="1"/>
        <v>8.41</v>
      </c>
      <c r="C218" vm="283">
        <f ca="1"/>
        <v>8.7200000000000006</v>
      </c>
      <c r="D218" vm="368">
        <f ca="1"/>
        <v>8.35</v>
      </c>
    </row>
    <row r="219" spans="1:4" x14ac:dyDescent="0.25">
      <c r="A219" vm="634">
        <f ca="1"/>
        <v>45973</v>
      </c>
      <c r="B219" vm="370">
        <f ca="1"/>
        <v>8.73</v>
      </c>
      <c r="C219" vm="416">
        <f ca="1"/>
        <v>8.93</v>
      </c>
      <c r="D219" vm="352">
        <f ca="1"/>
        <v>8.33</v>
      </c>
    </row>
    <row r="220" spans="1:4" x14ac:dyDescent="0.25">
      <c r="A220" vm="636">
        <f ca="1"/>
        <v>45974</v>
      </c>
      <c r="B220" vm="347">
        <f ca="1"/>
        <v>8.65</v>
      </c>
      <c r="C220" vm="553">
        <f ca="1"/>
        <v>8.81</v>
      </c>
      <c r="D220" vm="468">
        <f ca="1"/>
        <v>8.48</v>
      </c>
    </row>
    <row r="221" spans="1:4" x14ac:dyDescent="0.25">
      <c r="A221" vm="637">
        <f ca="1"/>
        <v>45975</v>
      </c>
      <c r="B221" vm="299">
        <f ca="1"/>
        <v>8.6199999999999992</v>
      </c>
      <c r="C221" vm="1424">
        <f ca="1"/>
        <v>8.7349999999999994</v>
      </c>
      <c r="D221" vm="309">
        <f ca="1"/>
        <v>8.11</v>
      </c>
    </row>
    <row r="222" spans="1:4" x14ac:dyDescent="0.25">
      <c r="A222" vm="639">
        <f ca="1"/>
        <v>45978</v>
      </c>
      <c r="B222" vm="607">
        <f ca="1"/>
        <v>8.5299999999999994</v>
      </c>
      <c r="C222" vm="476">
        <f ca="1"/>
        <v>8.86</v>
      </c>
      <c r="D222" vm="366">
        <f ca="1"/>
        <v>8.39</v>
      </c>
    </row>
    <row r="223" spans="1:4" x14ac:dyDescent="0.25">
      <c r="A223" vm="643">
        <f ca="1"/>
        <v>45979</v>
      </c>
      <c r="B223" vm="370">
        <f ca="1"/>
        <v>8.73</v>
      </c>
      <c r="C223" vm="1425">
        <f ca="1"/>
        <v>8.8550000000000004</v>
      </c>
      <c r="D223" vm="301">
        <f ca="1"/>
        <v>8.4550000000000001</v>
      </c>
    </row>
    <row r="224" spans="1:4" x14ac:dyDescent="0.25">
      <c r="A224" vm="644">
        <f ca="1"/>
        <v>45980</v>
      </c>
      <c r="B224" vm="416">
        <f ca="1"/>
        <v>8.93</v>
      </c>
      <c r="C224" vm="482">
        <f ca="1"/>
        <v>9.3000000000000007</v>
      </c>
      <c r="D224" vm="339">
        <f ca="1"/>
        <v>8.74</v>
      </c>
    </row>
    <row r="225" spans="1:4" x14ac:dyDescent="0.25">
      <c r="A225" vm="647">
        <f ca="1"/>
        <v>45981</v>
      </c>
      <c r="B225" vm="275">
        <f ca="1"/>
        <v>8.27</v>
      </c>
      <c r="C225" vm="373">
        <f ca="1"/>
        <v>9.09</v>
      </c>
      <c r="D225" vm="1426">
        <f ca="1"/>
        <v>8.2349999999999994</v>
      </c>
    </row>
    <row r="226" spans="1:4" x14ac:dyDescent="0.25">
      <c r="A226" vm="648">
        <f ca="1"/>
        <v>45982</v>
      </c>
      <c r="B226" vm="1427">
        <f ca="1"/>
        <v>8.2100000000000009</v>
      </c>
      <c r="C226" vm="356">
        <f ca="1"/>
        <v>8.41</v>
      </c>
      <c r="D226" vm="1428">
        <f ca="1"/>
        <v>8.02</v>
      </c>
    </row>
    <row r="227" spans="1:4" x14ac:dyDescent="0.25">
      <c r="A227" vm="650">
        <f ca="1"/>
        <v>45985</v>
      </c>
      <c r="B227" vm="362">
        <f ca="1"/>
        <v>8.6999999999999993</v>
      </c>
      <c r="C227" vm="283">
        <f ca="1"/>
        <v>8.7200000000000006</v>
      </c>
      <c r="D227" vm="598">
        <f ca="1"/>
        <v>8.25</v>
      </c>
    </row>
    <row r="228" spans="1:4" x14ac:dyDescent="0.25">
      <c r="A228" vm="651">
        <f ca="1"/>
        <v>45986</v>
      </c>
      <c r="B228" vm="451">
        <f ca="1"/>
        <v>9.24</v>
      </c>
      <c r="C228" vm="330">
        <f ca="1"/>
        <v>9.32</v>
      </c>
      <c r="D228" vm="646">
        <f ca="1"/>
        <v>8.66</v>
      </c>
    </row>
    <row r="229" spans="1:4" x14ac:dyDescent="0.25">
      <c r="A229" vm="653">
        <f ca="1"/>
        <v>45987</v>
      </c>
      <c r="B229" vm="528">
        <f ca="1"/>
        <v>9.61</v>
      </c>
      <c r="C229" vm="528">
        <f ca="1"/>
        <v>9.61</v>
      </c>
      <c r="D229" vm="451">
        <f ca="1"/>
        <v>9.24</v>
      </c>
    </row>
    <row r="230" spans="1:4" x14ac:dyDescent="0.25">
      <c r="A230" vm="655">
        <f ca="1"/>
        <v>45989</v>
      </c>
      <c r="B230" vm="832">
        <f ca="1"/>
        <v>10.19</v>
      </c>
      <c r="C230" vm="1429">
        <f ca="1"/>
        <v>10.23</v>
      </c>
      <c r="D230" vm="751">
        <f ca="1"/>
        <v>9.73</v>
      </c>
    </row>
    <row r="231" spans="1:4" x14ac:dyDescent="0.25">
      <c r="A231" vm="656">
        <f ca="1"/>
        <v>45992</v>
      </c>
      <c r="B231" vm="797">
        <f ca="1"/>
        <v>10.18</v>
      </c>
      <c r="C231" vm="1430">
        <f ca="1"/>
        <v>10.465</v>
      </c>
      <c r="D231" vm="773">
        <f ca="1"/>
        <v>10.15</v>
      </c>
    </row>
    <row r="232" spans="1:4" x14ac:dyDescent="0.25">
      <c r="A232" vm="659">
        <f ca="1"/>
        <v>45993</v>
      </c>
      <c r="B232" vm="753">
        <f ca="1"/>
        <v>9.92</v>
      </c>
      <c r="C232" vm="824">
        <f ca="1"/>
        <v>10.31</v>
      </c>
      <c r="D232" vm="1395">
        <f ca="1"/>
        <v>9.83</v>
      </c>
    </row>
    <row r="233" spans="1:4" x14ac:dyDescent="0.25">
      <c r="A233" vm="660">
        <f ca="1"/>
        <v>45994</v>
      </c>
      <c r="B233" vm="1431">
        <f ca="1"/>
        <v>9.93</v>
      </c>
      <c r="C233" vm="1432">
        <f ca="1"/>
        <v>10.106299999999999</v>
      </c>
      <c r="D233" vm="569">
        <f ca="1"/>
        <v>9.77</v>
      </c>
    </row>
    <row r="234" spans="1:4" x14ac:dyDescent="0.25">
      <c r="A234" vm="662">
        <f ca="1"/>
        <v>45995</v>
      </c>
      <c r="B234" vm="755">
        <f ca="1"/>
        <v>9.9499999999999993</v>
      </c>
      <c r="C234" vm="793">
        <f ca="1"/>
        <v>10.02</v>
      </c>
      <c r="D234" vm="661">
        <f ca="1"/>
        <v>9.8000000000000007</v>
      </c>
    </row>
    <row r="235" spans="1:4" x14ac:dyDescent="0.25">
      <c r="A235" vm="665">
        <f ca="1"/>
        <v>45996</v>
      </c>
      <c r="B235" vm="1433">
        <f ca="1"/>
        <v>9.84</v>
      </c>
      <c r="C235" vm="834">
        <f ca="1"/>
        <v>10.24</v>
      </c>
      <c r="D235" vm="1434">
        <f ca="1"/>
        <v>9.74</v>
      </c>
    </row>
    <row r="236" spans="1:4" x14ac:dyDescent="0.25">
      <c r="A236" vm="668">
        <f ca="1"/>
        <v>45999</v>
      </c>
      <c r="B236" vm="1435">
        <f ca="1"/>
        <v>9.51</v>
      </c>
      <c r="C236" vm="409">
        <f ca="1"/>
        <v>9.8800000000000008</v>
      </c>
      <c r="D236" vm="325">
        <f ca="1"/>
        <v>9.4700000000000006</v>
      </c>
    </row>
    <row r="237" spans="1:4" x14ac:dyDescent="0.25">
      <c r="A237" vm="671">
        <f ca="1"/>
        <v>46000</v>
      </c>
      <c r="B237" vm="392">
        <f ca="1"/>
        <v>9.4600000000000009</v>
      </c>
      <c r="C237" vm="487">
        <f ca="1"/>
        <v>9.66</v>
      </c>
      <c r="D237" vm="1436">
        <f ca="1"/>
        <v>9.3826000000000001</v>
      </c>
    </row>
    <row r="238" spans="1:4" x14ac:dyDescent="0.25">
      <c r="A238" vm="675">
        <f ca="1"/>
        <v>46001</v>
      </c>
      <c r="B238" vm="402">
        <f ca="1"/>
        <v>9.5299999999999994</v>
      </c>
      <c r="C238" vm="1400">
        <f ca="1"/>
        <v>9.6150000000000002</v>
      </c>
      <c r="D238" vm="333">
        <f ca="1"/>
        <v>9.1300000000000008</v>
      </c>
    </row>
  </sheetData>
  <mergeCells count="1">
    <mergeCell ref="A1:D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2"/>
  <sheetViews>
    <sheetView workbookViewId="0">
      <selection activeCell="B2" activeCellId="1" sqref="A1:A1048576 B1:B1048576"/>
    </sheetView>
  </sheetViews>
  <sheetFormatPr defaultRowHeight="15" x14ac:dyDescent="0.25"/>
  <cols>
    <col min="1" max="1" width="10.7109375" bestFit="1" customWidth="1"/>
  </cols>
  <sheetData>
    <row r="1" spans="1:4" x14ac:dyDescent="0.25">
      <c r="A1" s="3" t="s">
        <v>19</v>
      </c>
      <c r="B1" s="3"/>
      <c r="C1" s="3"/>
      <c r="D1" s="3"/>
    </row>
    <row r="2" spans="1:4" x14ac:dyDescent="0.25">
      <c r="A2" t="str" cm="1">
        <f t="array" aca="1" ref="A2:D52" ca="1">_xlfn.STOCKHISTORY("ONDS", DATE(YEAR(TODAY()),1,1), TODAY(),1,1,0,1,3,4)</f>
        <v>Date</v>
      </c>
      <c r="B2" t="str">
        <f ca="1"/>
        <v>Close</v>
      </c>
      <c r="C2" t="str">
        <f ca="1"/>
        <v>High</v>
      </c>
      <c r="D2" t="str">
        <f ca="1"/>
        <v>Low</v>
      </c>
    </row>
    <row r="3" spans="1:4" x14ac:dyDescent="0.25">
      <c r="A3" vm="1437">
        <f ca="1"/>
        <v>45656</v>
      </c>
      <c r="B3" vm="1133">
        <f ca="1"/>
        <v>2.8</v>
      </c>
      <c r="C3" vm="1059">
        <f ca="1"/>
        <v>3.4</v>
      </c>
      <c r="D3" vm="1145">
        <f ca="1"/>
        <v>2.2799999999999998</v>
      </c>
    </row>
    <row r="4" spans="1:4" x14ac:dyDescent="0.25">
      <c r="A4" vm="9">
        <f ca="1"/>
        <v>45663</v>
      </c>
      <c r="B4" vm="1438">
        <f ca="1"/>
        <v>2.2400000000000002</v>
      </c>
      <c r="C4" vm="1090">
        <f ca="1"/>
        <v>3.13</v>
      </c>
      <c r="D4" vm="1439">
        <f ca="1"/>
        <v>2.09</v>
      </c>
    </row>
    <row r="5" spans="1:4" x14ac:dyDescent="0.25">
      <c r="A5" vm="23">
        <f ca="1"/>
        <v>45670</v>
      </c>
      <c r="B5" vm="1440">
        <f ca="1"/>
        <v>2.0699999999999998</v>
      </c>
      <c r="C5" vm="1441">
        <f ca="1"/>
        <v>2.27</v>
      </c>
      <c r="D5" vm="1442">
        <f ca="1"/>
        <v>1.8201000000000001</v>
      </c>
    </row>
    <row r="6" spans="1:4" x14ac:dyDescent="0.25">
      <c r="A6" vm="43">
        <f ca="1"/>
        <v>45678</v>
      </c>
      <c r="B6" vm="1443">
        <f ca="1"/>
        <v>2.04</v>
      </c>
      <c r="C6" vm="1444">
        <f ca="1"/>
        <v>2.46</v>
      </c>
      <c r="D6" vm="1445">
        <f ca="1"/>
        <v>1.94</v>
      </c>
    </row>
    <row r="7" spans="1:4" x14ac:dyDescent="0.25">
      <c r="A7" vm="59">
        <f ca="1"/>
        <v>45684</v>
      </c>
      <c r="B7" vm="1446">
        <f ca="1"/>
        <v>1.75</v>
      </c>
      <c r="C7" vm="1447">
        <f ca="1"/>
        <v>2</v>
      </c>
      <c r="D7" vm="1448">
        <f ca="1"/>
        <v>1.64</v>
      </c>
    </row>
    <row r="8" spans="1:4" x14ac:dyDescent="0.25">
      <c r="A8" vm="78">
        <f ca="1"/>
        <v>45691</v>
      </c>
      <c r="B8" vm="1449">
        <f ca="1"/>
        <v>1.91</v>
      </c>
      <c r="C8" vm="1450">
        <f ca="1"/>
        <v>1.92</v>
      </c>
      <c r="D8" vm="1451">
        <f ca="1"/>
        <v>1.5</v>
      </c>
    </row>
    <row r="9" spans="1:4" x14ac:dyDescent="0.25">
      <c r="A9" vm="95">
        <f ca="1"/>
        <v>45698</v>
      </c>
      <c r="B9" vm="1452">
        <f ca="1"/>
        <v>1.83</v>
      </c>
      <c r="C9" vm="1453">
        <f ca="1"/>
        <v>2.23</v>
      </c>
      <c r="D9" vm="1454">
        <f ca="1"/>
        <v>1.8049999999999999</v>
      </c>
    </row>
    <row r="10" spans="1:4" x14ac:dyDescent="0.25">
      <c r="A10" vm="111">
        <f ca="1"/>
        <v>45706</v>
      </c>
      <c r="B10" vm="1455">
        <f ca="1"/>
        <v>1.25</v>
      </c>
      <c r="C10" vm="1445">
        <f ca="1"/>
        <v>1.94</v>
      </c>
      <c r="D10" vm="1456">
        <f ca="1"/>
        <v>1.24</v>
      </c>
    </row>
    <row r="11" spans="1:4" x14ac:dyDescent="0.25">
      <c r="A11" vm="127">
        <f ca="1"/>
        <v>45712</v>
      </c>
      <c r="B11" vm="1457">
        <f ca="1"/>
        <v>0.98429999999999995</v>
      </c>
      <c r="C11" vm="1458">
        <f ca="1"/>
        <v>1.26</v>
      </c>
      <c r="D11" vm="1459">
        <f ca="1"/>
        <v>0.9163</v>
      </c>
    </row>
    <row r="12" spans="1:4" x14ac:dyDescent="0.25">
      <c r="A12" vm="147">
        <f ca="1"/>
        <v>45719</v>
      </c>
      <c r="B12" vm="1460">
        <f ca="1"/>
        <v>0.8085</v>
      </c>
      <c r="C12" vm="1461">
        <f ca="1"/>
        <v>1</v>
      </c>
      <c r="D12" vm="1462">
        <f ca="1"/>
        <v>0.75070000000000003</v>
      </c>
    </row>
    <row r="13" spans="1:4" x14ac:dyDescent="0.25">
      <c r="A13" vm="165">
        <f ca="1"/>
        <v>45726</v>
      </c>
      <c r="B13" vm="1463">
        <f ca="1"/>
        <v>0.73839999999999995</v>
      </c>
      <c r="C13" vm="1464">
        <f ca="1"/>
        <v>1.18</v>
      </c>
      <c r="D13" vm="1465">
        <f ca="1"/>
        <v>0.56999999999999995</v>
      </c>
    </row>
    <row r="14" spans="1:4" x14ac:dyDescent="0.25">
      <c r="A14" vm="182">
        <f ca="1"/>
        <v>45733</v>
      </c>
      <c r="B14" vm="1466">
        <f ca="1"/>
        <v>0.70009999999999994</v>
      </c>
      <c r="C14" vm="1467">
        <f ca="1"/>
        <v>0.79579999999999995</v>
      </c>
      <c r="D14" vm="1468">
        <f ca="1"/>
        <v>0.68</v>
      </c>
    </row>
    <row r="15" spans="1:4" x14ac:dyDescent="0.25">
      <c r="A15" vm="199">
        <f ca="1"/>
        <v>45740</v>
      </c>
      <c r="B15" vm="1469">
        <f ca="1"/>
        <v>1.1200000000000001</v>
      </c>
      <c r="C15" vm="1470">
        <f ca="1"/>
        <v>1.1399999999999999</v>
      </c>
      <c r="D15" vm="1471">
        <f ca="1"/>
        <v>0.69110000000000005</v>
      </c>
    </row>
    <row r="16" spans="1:4" x14ac:dyDescent="0.25">
      <c r="A16" vm="216">
        <f ca="1"/>
        <v>45747</v>
      </c>
      <c r="B16" vm="1472">
        <f ca="1"/>
        <v>0.92090000000000005</v>
      </c>
      <c r="C16" vm="1455">
        <f ca="1"/>
        <v>1.25</v>
      </c>
      <c r="D16" vm="1473">
        <f ca="1"/>
        <v>0.8337</v>
      </c>
    </row>
    <row r="17" spans="1:4" x14ac:dyDescent="0.25">
      <c r="A17" vm="231">
        <f ca="1"/>
        <v>45754</v>
      </c>
      <c r="B17" vm="1474">
        <f ca="1"/>
        <v>0.81399999999999995</v>
      </c>
      <c r="C17" vm="1475">
        <f ca="1"/>
        <v>0.9899</v>
      </c>
      <c r="D17" vm="1476">
        <f ca="1"/>
        <v>0.65910000000000002</v>
      </c>
    </row>
    <row r="18" spans="1:4" x14ac:dyDescent="0.25">
      <c r="A18" vm="251">
        <f ca="1"/>
        <v>45761</v>
      </c>
      <c r="B18" vm="1477">
        <f ca="1"/>
        <v>0.88790000000000002</v>
      </c>
      <c r="C18" vm="1478">
        <f ca="1"/>
        <v>0.96499999999999997</v>
      </c>
      <c r="D18" vm="1479">
        <f ca="1"/>
        <v>0.81530000000000002</v>
      </c>
    </row>
    <row r="19" spans="1:4" x14ac:dyDescent="0.25">
      <c r="A19" vm="267">
        <f ca="1"/>
        <v>45768</v>
      </c>
      <c r="B19" vm="1480">
        <f ca="1"/>
        <v>0.71509999999999996</v>
      </c>
      <c r="C19" vm="1481">
        <f ca="1"/>
        <v>0.9</v>
      </c>
      <c r="D19" vm="1482">
        <f ca="1"/>
        <v>0.69040000000000001</v>
      </c>
    </row>
    <row r="20" spans="1:4" x14ac:dyDescent="0.25">
      <c r="A20" vm="286">
        <f ca="1"/>
        <v>45775</v>
      </c>
      <c r="B20" vm="1483">
        <f ca="1"/>
        <v>0.81859999999999999</v>
      </c>
      <c r="C20" vm="1484">
        <f ca="1"/>
        <v>0.85370000000000001</v>
      </c>
      <c r="D20" vm="1485">
        <f ca="1"/>
        <v>0.72840000000000005</v>
      </c>
    </row>
    <row r="21" spans="1:4" x14ac:dyDescent="0.25">
      <c r="A21" vm="302">
        <f ca="1"/>
        <v>45782</v>
      </c>
      <c r="B21" vm="1486">
        <f ca="1"/>
        <v>0.76500000000000001</v>
      </c>
      <c r="C21" vm="1487">
        <f ca="1"/>
        <v>0.79890000000000005</v>
      </c>
      <c r="D21" vm="1488">
        <f ca="1"/>
        <v>0.73109999999999997</v>
      </c>
    </row>
    <row r="22" spans="1:4" x14ac:dyDescent="0.25">
      <c r="A22" vm="316">
        <f ca="1"/>
        <v>45789</v>
      </c>
      <c r="B22" vm="1489">
        <f ca="1"/>
        <v>0.93010000000000004</v>
      </c>
      <c r="C22" vm="1490">
        <f ca="1"/>
        <v>0.94</v>
      </c>
      <c r="D22" vm="1491">
        <f ca="1"/>
        <v>0.76</v>
      </c>
    </row>
    <row r="23" spans="1:4" x14ac:dyDescent="0.25">
      <c r="A23" vm="336">
        <f ca="1"/>
        <v>45796</v>
      </c>
      <c r="B23" vm="1492">
        <f ca="1"/>
        <v>0.92679999999999996</v>
      </c>
      <c r="C23" vm="1493">
        <f ca="1"/>
        <v>1.05</v>
      </c>
      <c r="D23" vm="1494">
        <f ca="1"/>
        <v>0.8276</v>
      </c>
    </row>
    <row r="24" spans="1:4" x14ac:dyDescent="0.25">
      <c r="A24" vm="353">
        <f ca="1"/>
        <v>45804</v>
      </c>
      <c r="B24" vm="1495">
        <f ca="1"/>
        <v>1.22</v>
      </c>
      <c r="C24" vm="1496">
        <f ca="1"/>
        <v>1.23</v>
      </c>
      <c r="D24" vm="1497">
        <f ca="1"/>
        <v>0.89</v>
      </c>
    </row>
    <row r="25" spans="1:4" x14ac:dyDescent="0.25">
      <c r="A25" vm="369">
        <f ca="1"/>
        <v>45810</v>
      </c>
      <c r="B25" vm="1498">
        <f ca="1"/>
        <v>1.7</v>
      </c>
      <c r="C25" vm="1499">
        <f ca="1"/>
        <v>1.885</v>
      </c>
      <c r="D25" vm="1458">
        <f ca="1"/>
        <v>1.26</v>
      </c>
    </row>
    <row r="26" spans="1:4" x14ac:dyDescent="0.25">
      <c r="A26" vm="386">
        <f ca="1"/>
        <v>45817</v>
      </c>
      <c r="B26" vm="1500">
        <f ca="1"/>
        <v>1.82</v>
      </c>
      <c r="C26" vm="1501">
        <f ca="1"/>
        <v>2.0449999999999999</v>
      </c>
      <c r="D26" vm="1502">
        <f ca="1"/>
        <v>1.4000999999999999</v>
      </c>
    </row>
    <row r="27" spans="1:4" x14ac:dyDescent="0.25">
      <c r="A27" vm="403">
        <f ca="1"/>
        <v>45824</v>
      </c>
      <c r="B27" vm="1503">
        <f ca="1"/>
        <v>1.58</v>
      </c>
      <c r="C27" vm="1504">
        <f ca="1"/>
        <v>1.9</v>
      </c>
      <c r="D27" vm="1505">
        <f ca="1"/>
        <v>1.46</v>
      </c>
    </row>
    <row r="28" spans="1:4" x14ac:dyDescent="0.25">
      <c r="A28" vm="414">
        <f ca="1"/>
        <v>45831</v>
      </c>
      <c r="B28" vm="1452">
        <f ca="1"/>
        <v>1.83</v>
      </c>
      <c r="C28" vm="1449">
        <f ca="1"/>
        <v>1.91</v>
      </c>
      <c r="D28" vm="1506">
        <f ca="1"/>
        <v>1.36</v>
      </c>
    </row>
    <row r="29" spans="1:4" x14ac:dyDescent="0.25">
      <c r="A29" vm="425">
        <f ca="1"/>
        <v>45838</v>
      </c>
      <c r="B29" vm="1507">
        <f ca="1"/>
        <v>1.85</v>
      </c>
      <c r="C29" vm="1508">
        <f ca="1"/>
        <v>2.29</v>
      </c>
      <c r="D29" vm="1509">
        <f ca="1"/>
        <v>1.8</v>
      </c>
    </row>
    <row r="30" spans="1:4" x14ac:dyDescent="0.25">
      <c r="A30" vm="434">
        <f ca="1"/>
        <v>45845</v>
      </c>
      <c r="B30" vm="1510">
        <f ca="1"/>
        <v>2.12</v>
      </c>
      <c r="C30" vm="1438">
        <f ca="1"/>
        <v>2.2400000000000002</v>
      </c>
      <c r="D30" vm="1511">
        <f ca="1"/>
        <v>1.71</v>
      </c>
    </row>
    <row r="31" spans="1:4" x14ac:dyDescent="0.25">
      <c r="A31" vm="449">
        <f ca="1"/>
        <v>45852</v>
      </c>
      <c r="B31" vm="1453">
        <f ca="1"/>
        <v>2.23</v>
      </c>
      <c r="C31" vm="1512">
        <f ca="1"/>
        <v>2.6398999999999999</v>
      </c>
      <c r="D31" vm="1510">
        <f ca="1"/>
        <v>2.12</v>
      </c>
    </row>
    <row r="32" spans="1:4" x14ac:dyDescent="0.25">
      <c r="A32" vm="462">
        <f ca="1"/>
        <v>45859</v>
      </c>
      <c r="B32" vm="1513">
        <f ca="1"/>
        <v>2.13</v>
      </c>
      <c r="C32" vm="1514">
        <f ca="1"/>
        <v>2.7</v>
      </c>
      <c r="D32" vm="1515">
        <f ca="1"/>
        <v>2.02</v>
      </c>
    </row>
    <row r="33" spans="1:4" x14ac:dyDescent="0.25">
      <c r="A33" vm="481">
        <f ca="1"/>
        <v>45866</v>
      </c>
      <c r="B33" vm="1516">
        <f ca="1"/>
        <v>2.2000000000000002</v>
      </c>
      <c r="C33" vm="1441">
        <f ca="1"/>
        <v>2.27</v>
      </c>
      <c r="D33" vm="1517">
        <f ca="1"/>
        <v>1.78</v>
      </c>
    </row>
    <row r="34" spans="1:4" x14ac:dyDescent="0.25">
      <c r="A34" vm="491">
        <f ca="1"/>
        <v>45873</v>
      </c>
      <c r="B34" vm="1062">
        <f ca="1"/>
        <v>3.55</v>
      </c>
      <c r="C34" vm="1249">
        <f ca="1"/>
        <v>3.95</v>
      </c>
      <c r="D34" vm="1518">
        <f ca="1"/>
        <v>2.25</v>
      </c>
    </row>
    <row r="35" spans="1:4" x14ac:dyDescent="0.25">
      <c r="A35" vm="504">
        <f ca="1"/>
        <v>45880</v>
      </c>
      <c r="B35" vm="1245">
        <f ca="1"/>
        <v>3.86</v>
      </c>
      <c r="C35" vm="1238">
        <f ca="1"/>
        <v>4.3899999999999997</v>
      </c>
      <c r="D35" vm="1067">
        <f ca="1"/>
        <v>3.31</v>
      </c>
    </row>
    <row r="36" spans="1:4" x14ac:dyDescent="0.25">
      <c r="A36" vm="514">
        <f ca="1"/>
        <v>45887</v>
      </c>
      <c r="B36" vm="1168">
        <f ca="1"/>
        <v>4.49</v>
      </c>
      <c r="C36" vm="1519">
        <f ca="1"/>
        <v>4.51</v>
      </c>
      <c r="D36" vm="1076">
        <f ca="1"/>
        <v>3.2</v>
      </c>
    </row>
    <row r="37" spans="1:4" x14ac:dyDescent="0.25">
      <c r="A37" vm="527">
        <f ca="1"/>
        <v>45894</v>
      </c>
      <c r="B37" vm="1520">
        <f ca="1"/>
        <v>5.86</v>
      </c>
      <c r="C37" vm="1521">
        <f ca="1"/>
        <v>6.1879999999999997</v>
      </c>
      <c r="D37" vm="1522">
        <f ca="1"/>
        <v>4.53</v>
      </c>
    </row>
    <row r="38" spans="1:4" x14ac:dyDescent="0.25">
      <c r="A38" vm="538">
        <f ca="1"/>
        <v>45902</v>
      </c>
      <c r="B38" vm="1523">
        <f ca="1"/>
        <v>5.63</v>
      </c>
      <c r="C38" vm="1330">
        <f ca="1"/>
        <v>5.95</v>
      </c>
      <c r="D38" vm="1524">
        <f ca="1"/>
        <v>4.9000000000000004</v>
      </c>
    </row>
    <row r="39" spans="1:4" x14ac:dyDescent="0.25">
      <c r="A39" vm="546">
        <f ca="1"/>
        <v>45908</v>
      </c>
      <c r="B39" vm="1338">
        <f ca="1"/>
        <v>6.56</v>
      </c>
      <c r="C39" vm="1525">
        <f ca="1"/>
        <v>6.72</v>
      </c>
      <c r="D39" vm="1526">
        <f ca="1"/>
        <v>5.21</v>
      </c>
    </row>
    <row r="40" spans="1:4" x14ac:dyDescent="0.25">
      <c r="A40" vm="555">
        <f ca="1"/>
        <v>45915</v>
      </c>
      <c r="B40" vm="1525">
        <f ca="1"/>
        <v>6.72</v>
      </c>
      <c r="C40" vm="1363">
        <f ca="1"/>
        <v>6.8598999999999997</v>
      </c>
      <c r="D40" vm="1310">
        <f ca="1"/>
        <v>5.75</v>
      </c>
    </row>
    <row r="41" spans="1:4" x14ac:dyDescent="0.25">
      <c r="A41" vm="562">
        <f ca="1"/>
        <v>45922</v>
      </c>
      <c r="B41" vm="1527">
        <f ca="1"/>
        <v>7.66</v>
      </c>
      <c r="C41" vm="1528">
        <f ca="1"/>
        <v>8.1198999999999995</v>
      </c>
      <c r="D41" vm="1529">
        <f ca="1"/>
        <v>6.58</v>
      </c>
    </row>
    <row r="42" spans="1:4" x14ac:dyDescent="0.25">
      <c r="A42" vm="571">
        <f ca="1"/>
        <v>45929</v>
      </c>
      <c r="B42" vm="540">
        <f ca="1"/>
        <v>9.91</v>
      </c>
      <c r="C42" vm="799">
        <f ca="1"/>
        <v>10.28</v>
      </c>
      <c r="D42" vm="1530">
        <f ca="1"/>
        <v>7.18</v>
      </c>
    </row>
    <row r="43" spans="1:4" x14ac:dyDescent="0.25">
      <c r="A43" vm="580">
        <f ca="1"/>
        <v>45936</v>
      </c>
      <c r="B43" vm="518">
        <f ca="1"/>
        <v>9.2200000000000006</v>
      </c>
      <c r="C43" vm="1531">
        <f ca="1"/>
        <v>11.6999</v>
      </c>
      <c r="D43" vm="1532">
        <f ca="1"/>
        <v>9.1900999999999993</v>
      </c>
    </row>
    <row r="44" spans="1:4" x14ac:dyDescent="0.25">
      <c r="A44" vm="590">
        <f ca="1"/>
        <v>45943</v>
      </c>
      <c r="B44" vm="1387">
        <f ca="1"/>
        <v>7.61</v>
      </c>
      <c r="C44" vm="1533">
        <f ca="1"/>
        <v>11.215</v>
      </c>
      <c r="D44" vm="1534">
        <f ca="1"/>
        <v>7.5549999999999997</v>
      </c>
    </row>
    <row r="45" spans="1:4" x14ac:dyDescent="0.25">
      <c r="A45" vm="600">
        <f ca="1"/>
        <v>45950</v>
      </c>
      <c r="B45" vm="1535">
        <f ca="1"/>
        <v>7.46</v>
      </c>
      <c r="C45" vm="269">
        <f ca="1"/>
        <v>8.19</v>
      </c>
      <c r="D45" vm="1536">
        <f ca="1"/>
        <v>6.4649999999999999</v>
      </c>
    </row>
    <row r="46" spans="1:4" x14ac:dyDescent="0.25">
      <c r="A46" vm="610">
        <f ca="1"/>
        <v>45957</v>
      </c>
      <c r="B46" vm="1537">
        <f ca="1"/>
        <v>6.44</v>
      </c>
      <c r="C46" vm="1538">
        <f ca="1"/>
        <v>8.3149999999999995</v>
      </c>
      <c r="D46" vm="1329">
        <f ca="1"/>
        <v>6.12</v>
      </c>
    </row>
    <row r="47" spans="1:4" x14ac:dyDescent="0.25">
      <c r="A47" vm="622">
        <f ca="1"/>
        <v>45964</v>
      </c>
      <c r="B47" vm="1308">
        <f ca="1"/>
        <v>5.81</v>
      </c>
      <c r="C47" vm="1349">
        <f ca="1"/>
        <v>6.69</v>
      </c>
      <c r="D47" vm="1267">
        <f ca="1"/>
        <v>4.95</v>
      </c>
    </row>
    <row r="48" spans="1:4" x14ac:dyDescent="0.25">
      <c r="A48" vm="631">
        <f ca="1"/>
        <v>45971</v>
      </c>
      <c r="B48" vm="1530">
        <f ca="1"/>
        <v>7.18</v>
      </c>
      <c r="C48" vm="1385">
        <f ca="1"/>
        <v>7.86</v>
      </c>
      <c r="D48" vm="1305">
        <f ca="1"/>
        <v>5.48</v>
      </c>
    </row>
    <row r="49" spans="1:4" x14ac:dyDescent="0.25">
      <c r="A49" vm="639">
        <f ca="1"/>
        <v>45978</v>
      </c>
      <c r="B49" vm="1539">
        <f ca="1"/>
        <v>6.7350000000000003</v>
      </c>
      <c r="C49" vm="257">
        <f ca="1"/>
        <v>8.0350000000000001</v>
      </c>
      <c r="D49" vm="1540">
        <f ca="1"/>
        <v>5.93</v>
      </c>
    </row>
    <row r="50" spans="1:4" x14ac:dyDescent="0.25">
      <c r="A50" vm="650">
        <f ca="1"/>
        <v>45985</v>
      </c>
      <c r="B50" vm="1541">
        <f ca="1"/>
        <v>7.9</v>
      </c>
      <c r="C50" vm="428">
        <f ca="1"/>
        <v>8.8800000000000008</v>
      </c>
      <c r="D50" vm="1359">
        <f ca="1"/>
        <v>6.67</v>
      </c>
    </row>
    <row r="51" spans="1:4" x14ac:dyDescent="0.25">
      <c r="A51" vm="656">
        <f ca="1"/>
        <v>45992</v>
      </c>
      <c r="B51" vm="1542">
        <f ca="1"/>
        <v>9.07</v>
      </c>
      <c r="C51" vm="327">
        <f ca="1"/>
        <v>9.34</v>
      </c>
      <c r="D51" vm="1543">
        <f ca="1"/>
        <v>7.32</v>
      </c>
    </row>
    <row r="52" spans="1:4" x14ac:dyDescent="0.25">
      <c r="A52" vm="668">
        <f ca="1"/>
        <v>45999</v>
      </c>
      <c r="B52" vm="1544">
        <f ca="1"/>
        <v>8.3249999999999993</v>
      </c>
      <c r="C52" vm="672">
        <f ca="1"/>
        <v>9.86</v>
      </c>
      <c r="D52" vm="593">
        <f ca="1"/>
        <v>8.3049999999999997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8"/>
  <sheetViews>
    <sheetView workbookViewId="0">
      <selection activeCell="B2" activeCellId="1" sqref="A1:A1048576 B1:B1048576"/>
    </sheetView>
  </sheetViews>
  <sheetFormatPr defaultRowHeight="15" x14ac:dyDescent="0.25"/>
  <cols>
    <col min="1" max="1" width="9.42578125" bestFit="1" customWidth="1"/>
  </cols>
  <sheetData>
    <row r="1" spans="1:4" x14ac:dyDescent="0.25">
      <c r="A1" s="3" t="s">
        <v>23</v>
      </c>
      <c r="B1" s="3"/>
      <c r="C1" s="3"/>
      <c r="D1" s="3"/>
    </row>
    <row r="2" spans="1:4" x14ac:dyDescent="0.25">
      <c r="A2" t="str" cm="1">
        <f t="array" aca="1" ref="A2:D238" ca="1">_xlfn.STOCKHISTORY("ONDS", DATE(YEAR(TODAY()),1,1), TODAY(),0,1,0,1,3,4)</f>
        <v>Date</v>
      </c>
      <c r="B2" t="str">
        <f ca="1"/>
        <v>Close</v>
      </c>
      <c r="C2" t="str">
        <f ca="1"/>
        <v>High</v>
      </c>
      <c r="D2" t="str">
        <f ca="1"/>
        <v>Low</v>
      </c>
    </row>
    <row r="3" spans="1:4" x14ac:dyDescent="0.25">
      <c r="A3" vm="1">
        <f ca="1"/>
        <v>45659</v>
      </c>
      <c r="B3" vm="1545">
        <f ca="1"/>
        <v>2.63</v>
      </c>
      <c r="C3" vm="1546">
        <f ca="1"/>
        <v>2.79</v>
      </c>
      <c r="D3" vm="1547">
        <f ca="1"/>
        <v>2.4500000000000002</v>
      </c>
    </row>
    <row r="4" spans="1:4" x14ac:dyDescent="0.25">
      <c r="A4" vm="5">
        <f ca="1"/>
        <v>45660</v>
      </c>
      <c r="B4" vm="1133">
        <f ca="1"/>
        <v>2.8</v>
      </c>
      <c r="C4" vm="1059">
        <f ca="1"/>
        <v>3.4</v>
      </c>
      <c r="D4" vm="1143">
        <f ca="1"/>
        <v>2.76</v>
      </c>
    </row>
    <row r="5" spans="1:4" x14ac:dyDescent="0.25">
      <c r="A5" vm="9">
        <f ca="1"/>
        <v>45663</v>
      </c>
      <c r="B5" vm="1548">
        <f ca="1"/>
        <v>2.69</v>
      </c>
      <c r="C5" vm="1090">
        <f ca="1"/>
        <v>3.13</v>
      </c>
      <c r="D5" vm="1545">
        <f ca="1"/>
        <v>2.63</v>
      </c>
    </row>
    <row r="6" spans="1:4" x14ac:dyDescent="0.25">
      <c r="A6" vm="13">
        <f ca="1"/>
        <v>45664</v>
      </c>
      <c r="B6" vm="1549">
        <f ca="1"/>
        <v>2.65</v>
      </c>
      <c r="C6" vm="1550">
        <f ca="1"/>
        <v>2.7591000000000001</v>
      </c>
      <c r="D6" vm="1551">
        <f ca="1"/>
        <v>2.4</v>
      </c>
    </row>
    <row r="7" spans="1:4" x14ac:dyDescent="0.25">
      <c r="A7" vm="15">
        <f ca="1"/>
        <v>45665</v>
      </c>
      <c r="B7" vm="1149">
        <f ca="1"/>
        <v>2.54</v>
      </c>
      <c r="C7" vm="1552">
        <f ca="1"/>
        <v>2.73</v>
      </c>
      <c r="D7" vm="1439">
        <f ca="1"/>
        <v>2.09</v>
      </c>
    </row>
    <row r="8" spans="1:4" x14ac:dyDescent="0.25">
      <c r="A8" vm="19">
        <f ca="1"/>
        <v>45667</v>
      </c>
      <c r="B8" vm="1438">
        <f ca="1"/>
        <v>2.2400000000000002</v>
      </c>
      <c r="C8" vm="1444">
        <f ca="1"/>
        <v>2.46</v>
      </c>
      <c r="D8" vm="1516">
        <f ca="1"/>
        <v>2.2000000000000002</v>
      </c>
    </row>
    <row r="9" spans="1:4" x14ac:dyDescent="0.25">
      <c r="A9" vm="23">
        <f ca="1"/>
        <v>45670</v>
      </c>
      <c r="B9" vm="1553">
        <f ca="1"/>
        <v>1.88</v>
      </c>
      <c r="C9" vm="1554">
        <f ca="1"/>
        <v>2.19</v>
      </c>
      <c r="D9" vm="1442">
        <f ca="1"/>
        <v>1.8201000000000001</v>
      </c>
    </row>
    <row r="10" spans="1:4" x14ac:dyDescent="0.25">
      <c r="A10" vm="27">
        <f ca="1"/>
        <v>45671</v>
      </c>
      <c r="B10" vm="1555">
        <f ca="1"/>
        <v>1.99</v>
      </c>
      <c r="C10" vm="1513">
        <f ca="1"/>
        <v>2.13</v>
      </c>
      <c r="D10" vm="1504">
        <f ca="1"/>
        <v>1.9</v>
      </c>
    </row>
    <row r="11" spans="1:4" x14ac:dyDescent="0.25">
      <c r="A11" vm="31">
        <f ca="1"/>
        <v>45672</v>
      </c>
      <c r="B11" vm="1556">
        <f ca="1"/>
        <v>2.21</v>
      </c>
      <c r="C11" vm="1557">
        <f ca="1"/>
        <v>2.2578999999999998</v>
      </c>
      <c r="D11" vm="1558">
        <f ca="1"/>
        <v>1.9993000000000001</v>
      </c>
    </row>
    <row r="12" spans="1:4" x14ac:dyDescent="0.25">
      <c r="A12" vm="35">
        <f ca="1"/>
        <v>45673</v>
      </c>
      <c r="B12" vm="1516">
        <f ca="1"/>
        <v>2.2000000000000002</v>
      </c>
      <c r="C12" vm="1441">
        <f ca="1"/>
        <v>2.27</v>
      </c>
      <c r="D12" vm="1559">
        <f ca="1"/>
        <v>2.0049999999999999</v>
      </c>
    </row>
    <row r="13" spans="1:4" x14ac:dyDescent="0.25">
      <c r="A13" vm="39">
        <f ca="1"/>
        <v>45674</v>
      </c>
      <c r="B13" vm="1440">
        <f ca="1"/>
        <v>2.0699999999999998</v>
      </c>
      <c r="C13" vm="1516">
        <f ca="1"/>
        <v>2.2000000000000002</v>
      </c>
      <c r="D13" vm="1515">
        <f ca="1"/>
        <v>2.02</v>
      </c>
    </row>
    <row r="14" spans="1:4" x14ac:dyDescent="0.25">
      <c r="A14" vm="43">
        <f ca="1"/>
        <v>45678</v>
      </c>
      <c r="B14" vm="1560">
        <f ca="1"/>
        <v>2.0099999999999998</v>
      </c>
      <c r="C14" vm="1561">
        <f ca="1"/>
        <v>2.1398999999999999</v>
      </c>
      <c r="D14" vm="1445">
        <f ca="1"/>
        <v>1.94</v>
      </c>
    </row>
    <row r="15" spans="1:4" x14ac:dyDescent="0.25">
      <c r="A15" vm="47">
        <f ca="1"/>
        <v>45679</v>
      </c>
      <c r="B15" vm="1562">
        <f ca="1"/>
        <v>2.37</v>
      </c>
      <c r="C15" vm="1444">
        <f ca="1"/>
        <v>2.46</v>
      </c>
      <c r="D15" vm="1555">
        <f ca="1"/>
        <v>1.99</v>
      </c>
    </row>
    <row r="16" spans="1:4" x14ac:dyDescent="0.25">
      <c r="A16" vm="51">
        <f ca="1"/>
        <v>45680</v>
      </c>
      <c r="B16" vm="1563">
        <f ca="1"/>
        <v>2.11</v>
      </c>
      <c r="C16" vm="1564">
        <f ca="1"/>
        <v>2.2999999999999998</v>
      </c>
      <c r="D16" vm="1565">
        <f ca="1"/>
        <v>2.1</v>
      </c>
    </row>
    <row r="17" spans="1:4" x14ac:dyDescent="0.25">
      <c r="A17" vm="55">
        <f ca="1"/>
        <v>45681</v>
      </c>
      <c r="B17" vm="1443">
        <f ca="1"/>
        <v>2.04</v>
      </c>
      <c r="C17" vm="1556">
        <f ca="1"/>
        <v>2.21</v>
      </c>
      <c r="D17" vm="1566">
        <f ca="1"/>
        <v>1.98</v>
      </c>
    </row>
    <row r="18" spans="1:4" x14ac:dyDescent="0.25">
      <c r="A18" vm="59">
        <f ca="1"/>
        <v>45684</v>
      </c>
      <c r="B18" vm="1445">
        <f ca="1"/>
        <v>1.94</v>
      </c>
      <c r="C18" vm="1447">
        <f ca="1"/>
        <v>2</v>
      </c>
      <c r="D18" vm="1452">
        <f ca="1"/>
        <v>1.83</v>
      </c>
    </row>
    <row r="19" spans="1:4" x14ac:dyDescent="0.25">
      <c r="A19" vm="63">
        <f ca="1"/>
        <v>45685</v>
      </c>
      <c r="B19" vm="1567">
        <f ca="1"/>
        <v>1.81</v>
      </c>
      <c r="C19" vm="1555">
        <f ca="1"/>
        <v>1.99</v>
      </c>
      <c r="D19" vm="1567">
        <f ca="1"/>
        <v>1.81</v>
      </c>
    </row>
    <row r="20" spans="1:4" x14ac:dyDescent="0.25">
      <c r="A20" vm="67">
        <f ca="1"/>
        <v>45686</v>
      </c>
      <c r="B20" vm="1511">
        <f ca="1"/>
        <v>1.71</v>
      </c>
      <c r="C20" vm="1567">
        <f ca="1"/>
        <v>1.81</v>
      </c>
      <c r="D20" vm="1448">
        <f ca="1"/>
        <v>1.64</v>
      </c>
    </row>
    <row r="21" spans="1:4" x14ac:dyDescent="0.25">
      <c r="A21" vm="71">
        <f ca="1"/>
        <v>45687</v>
      </c>
      <c r="B21" vm="1568">
        <f ca="1"/>
        <v>1.69</v>
      </c>
      <c r="C21" vm="1569">
        <f ca="1"/>
        <v>1.77</v>
      </c>
      <c r="D21" vm="1570">
        <f ca="1"/>
        <v>1.68</v>
      </c>
    </row>
    <row r="22" spans="1:4" x14ac:dyDescent="0.25">
      <c r="A22" vm="75">
        <f ca="1"/>
        <v>45688</v>
      </c>
      <c r="B22" vm="1446">
        <f ca="1"/>
        <v>1.75</v>
      </c>
      <c r="C22" vm="1571">
        <f ca="1"/>
        <v>1.835</v>
      </c>
      <c r="D22" vm="1572">
        <f ca="1"/>
        <v>1.665</v>
      </c>
    </row>
    <row r="23" spans="1:4" x14ac:dyDescent="0.25">
      <c r="A23" vm="78">
        <f ca="1"/>
        <v>45691</v>
      </c>
      <c r="B23" vm="1573">
        <f ca="1"/>
        <v>1.6</v>
      </c>
      <c r="C23" vm="1574">
        <f ca="1"/>
        <v>1.6794</v>
      </c>
      <c r="D23" vm="1451">
        <f ca="1"/>
        <v>1.5</v>
      </c>
    </row>
    <row r="24" spans="1:4" x14ac:dyDescent="0.25">
      <c r="A24" vm="82">
        <f ca="1"/>
        <v>45692</v>
      </c>
      <c r="B24" vm="1568">
        <f ca="1"/>
        <v>1.69</v>
      </c>
      <c r="C24" vm="1498">
        <f ca="1"/>
        <v>1.7</v>
      </c>
      <c r="D24" vm="1575">
        <f ca="1"/>
        <v>1.62</v>
      </c>
    </row>
    <row r="25" spans="1:4" x14ac:dyDescent="0.25">
      <c r="A25" vm="85">
        <f ca="1"/>
        <v>45693</v>
      </c>
      <c r="B25" vm="1448">
        <f ca="1"/>
        <v>1.64</v>
      </c>
      <c r="C25" vm="1576">
        <f ca="1"/>
        <v>1.72</v>
      </c>
      <c r="D25" vm="1577">
        <f ca="1"/>
        <v>1.61</v>
      </c>
    </row>
    <row r="26" spans="1:4" x14ac:dyDescent="0.25">
      <c r="A26" vm="88">
        <f ca="1"/>
        <v>45694</v>
      </c>
      <c r="B26" vm="1578">
        <f ca="1"/>
        <v>1.76</v>
      </c>
      <c r="C26" vm="1507">
        <f ca="1"/>
        <v>1.85</v>
      </c>
      <c r="D26" vm="1570">
        <f ca="1"/>
        <v>1.68</v>
      </c>
    </row>
    <row r="27" spans="1:4" x14ac:dyDescent="0.25">
      <c r="A27" vm="92">
        <f ca="1"/>
        <v>45695</v>
      </c>
      <c r="B27" vm="1449">
        <f ca="1"/>
        <v>1.91</v>
      </c>
      <c r="C27" vm="1450">
        <f ca="1"/>
        <v>1.92</v>
      </c>
      <c r="D27" vm="1578">
        <f ca="1"/>
        <v>1.76</v>
      </c>
    </row>
    <row r="28" spans="1:4" x14ac:dyDescent="0.25">
      <c r="A28" vm="95">
        <f ca="1"/>
        <v>45698</v>
      </c>
      <c r="B28" vm="1565">
        <f ca="1"/>
        <v>2.1</v>
      </c>
      <c r="C28" vm="1510">
        <f ca="1"/>
        <v>2.12</v>
      </c>
      <c r="D28" vm="1579">
        <f ca="1"/>
        <v>1.8206</v>
      </c>
    </row>
    <row r="29" spans="1:4" x14ac:dyDescent="0.25">
      <c r="A29" vm="98">
        <f ca="1"/>
        <v>45699</v>
      </c>
      <c r="B29" vm="1565">
        <f ca="1"/>
        <v>2.1</v>
      </c>
      <c r="C29" vm="1453">
        <f ca="1"/>
        <v>2.23</v>
      </c>
      <c r="D29" vm="1447">
        <f ca="1"/>
        <v>2</v>
      </c>
    </row>
    <row r="30" spans="1:4" x14ac:dyDescent="0.25">
      <c r="A30" vm="101">
        <f ca="1"/>
        <v>45700</v>
      </c>
      <c r="B30" vm="1445">
        <f ca="1"/>
        <v>1.94</v>
      </c>
      <c r="C30" vm="1580">
        <f ca="1"/>
        <v>2.14</v>
      </c>
      <c r="D30" vm="1581">
        <f ca="1"/>
        <v>1.93</v>
      </c>
    </row>
    <row r="31" spans="1:4" x14ac:dyDescent="0.25">
      <c r="A31" vm="105">
        <f ca="1"/>
        <v>45701</v>
      </c>
      <c r="B31" vm="1450">
        <f ca="1"/>
        <v>1.92</v>
      </c>
      <c r="C31" vm="1582">
        <f ca="1"/>
        <v>1.9499</v>
      </c>
      <c r="D31" vm="1583">
        <f ca="1"/>
        <v>1.84</v>
      </c>
    </row>
    <row r="32" spans="1:4" x14ac:dyDescent="0.25">
      <c r="A32" vm="109">
        <f ca="1"/>
        <v>45702</v>
      </c>
      <c r="B32" vm="1452">
        <f ca="1"/>
        <v>1.83</v>
      </c>
      <c r="C32" vm="1584">
        <f ca="1"/>
        <v>1.9693000000000001</v>
      </c>
      <c r="D32" vm="1454">
        <f ca="1"/>
        <v>1.8049999999999999</v>
      </c>
    </row>
    <row r="33" spans="1:4" x14ac:dyDescent="0.25">
      <c r="A33" vm="111">
        <f ca="1"/>
        <v>45706</v>
      </c>
      <c r="B33" vm="1585">
        <f ca="1"/>
        <v>1.65</v>
      </c>
      <c r="C33" vm="1445">
        <f ca="1"/>
        <v>1.94</v>
      </c>
      <c r="D33" vm="1577">
        <f ca="1"/>
        <v>1.61</v>
      </c>
    </row>
    <row r="34" spans="1:4" x14ac:dyDescent="0.25">
      <c r="A34" vm="115">
        <f ca="1"/>
        <v>45707</v>
      </c>
      <c r="B34" vm="1586">
        <f ca="1"/>
        <v>1.43</v>
      </c>
      <c r="C34" vm="1570">
        <f ca="1"/>
        <v>1.68</v>
      </c>
      <c r="D34" vm="1587">
        <f ca="1"/>
        <v>1.4</v>
      </c>
    </row>
    <row r="35" spans="1:4" x14ac:dyDescent="0.25">
      <c r="A35" vm="119">
        <f ca="1"/>
        <v>45708</v>
      </c>
      <c r="B35" vm="1588">
        <f ca="1"/>
        <v>1.39</v>
      </c>
      <c r="C35" vm="1505">
        <f ca="1"/>
        <v>1.46</v>
      </c>
      <c r="D35" vm="1589">
        <f ca="1"/>
        <v>1.325</v>
      </c>
    </row>
    <row r="36" spans="1:4" x14ac:dyDescent="0.25">
      <c r="A36" vm="123">
        <f ca="1"/>
        <v>45709</v>
      </c>
      <c r="B36" vm="1455">
        <f ca="1"/>
        <v>1.25</v>
      </c>
      <c r="C36" vm="1590">
        <f ca="1"/>
        <v>1.45</v>
      </c>
      <c r="D36" vm="1456">
        <f ca="1"/>
        <v>1.24</v>
      </c>
    </row>
    <row r="37" spans="1:4" x14ac:dyDescent="0.25">
      <c r="A37" vm="127">
        <f ca="1"/>
        <v>45712</v>
      </c>
      <c r="B37" vm="1591">
        <f ca="1"/>
        <v>1.1000000000000001</v>
      </c>
      <c r="C37" vm="1458">
        <f ca="1"/>
        <v>1.26</v>
      </c>
      <c r="D37" vm="1591">
        <f ca="1"/>
        <v>1.1000000000000001</v>
      </c>
    </row>
    <row r="38" spans="1:4" x14ac:dyDescent="0.25">
      <c r="A38" vm="131">
        <f ca="1"/>
        <v>45713</v>
      </c>
      <c r="B38" vm="1592">
        <f ca="1"/>
        <v>1.04</v>
      </c>
      <c r="C38" vm="1593">
        <f ca="1"/>
        <v>1.21</v>
      </c>
      <c r="D38" vm="1461">
        <f ca="1"/>
        <v>1</v>
      </c>
    </row>
    <row r="39" spans="1:4" x14ac:dyDescent="0.25">
      <c r="A39" vm="135">
        <f ca="1"/>
        <v>45714</v>
      </c>
      <c r="B39" vm="1594">
        <f ca="1"/>
        <v>1.08</v>
      </c>
      <c r="C39" vm="1470">
        <f ca="1"/>
        <v>1.1399999999999999</v>
      </c>
      <c r="D39" vm="1595">
        <f ca="1"/>
        <v>1.03</v>
      </c>
    </row>
    <row r="40" spans="1:4" x14ac:dyDescent="0.25">
      <c r="A40" vm="139">
        <f ca="1"/>
        <v>45715</v>
      </c>
      <c r="B40" vm="1596">
        <f ca="1"/>
        <v>0.97040000000000004</v>
      </c>
      <c r="C40" vm="1597">
        <f ca="1"/>
        <v>1.1299999999999999</v>
      </c>
      <c r="D40" vm="1598">
        <f ca="1"/>
        <v>0.97</v>
      </c>
    </row>
    <row r="41" spans="1:4" x14ac:dyDescent="0.25">
      <c r="A41" vm="143">
        <f ca="1"/>
        <v>45716</v>
      </c>
      <c r="B41" vm="1457">
        <f ca="1"/>
        <v>0.98429999999999995</v>
      </c>
      <c r="C41" vm="1599">
        <f ca="1"/>
        <v>1.0215000000000001</v>
      </c>
      <c r="D41" vm="1459">
        <f ca="1"/>
        <v>0.9163</v>
      </c>
    </row>
    <row r="42" spans="1:4" x14ac:dyDescent="0.25">
      <c r="A42" vm="147">
        <f ca="1"/>
        <v>45719</v>
      </c>
      <c r="B42" vm="1600">
        <f ca="1"/>
        <v>0.85229999999999995</v>
      </c>
      <c r="C42" vm="1461">
        <f ca="1"/>
        <v>1</v>
      </c>
      <c r="D42" vm="1601">
        <f ca="1"/>
        <v>0.83899999999999997</v>
      </c>
    </row>
    <row r="43" spans="1:4" x14ac:dyDescent="0.25">
      <c r="A43" vm="151">
        <f ca="1"/>
        <v>45720</v>
      </c>
      <c r="B43" vm="1602">
        <f ca="1"/>
        <v>0.87119999999999997</v>
      </c>
      <c r="C43" vm="1603">
        <f ca="1"/>
        <v>0.93620000000000003</v>
      </c>
      <c r="D43" vm="1604">
        <f ca="1"/>
        <v>0.78849999999999998</v>
      </c>
    </row>
    <row r="44" spans="1:4" x14ac:dyDescent="0.25">
      <c r="A44" vm="155">
        <f ca="1"/>
        <v>45721</v>
      </c>
      <c r="B44" vm="1605">
        <f ca="1"/>
        <v>0.88749999999999996</v>
      </c>
      <c r="C44" vm="1606">
        <f ca="1"/>
        <v>0.90339999999999998</v>
      </c>
      <c r="D44" vm="1607">
        <f ca="1"/>
        <v>0.83</v>
      </c>
    </row>
    <row r="45" spans="1:4" x14ac:dyDescent="0.25">
      <c r="A45" vm="159">
        <f ca="1"/>
        <v>45722</v>
      </c>
      <c r="B45" vm="1608">
        <f ca="1"/>
        <v>0.80459999999999998</v>
      </c>
      <c r="C45" vm="1609">
        <f ca="1"/>
        <v>0.89900000000000002</v>
      </c>
      <c r="D45" vm="1610">
        <f ca="1"/>
        <v>0.8</v>
      </c>
    </row>
    <row r="46" spans="1:4" x14ac:dyDescent="0.25">
      <c r="A46" vm="162">
        <f ca="1"/>
        <v>45723</v>
      </c>
      <c r="B46" vm="1460">
        <f ca="1"/>
        <v>0.8085</v>
      </c>
      <c r="C46" vm="1607">
        <f ca="1"/>
        <v>0.83</v>
      </c>
      <c r="D46" vm="1462">
        <f ca="1"/>
        <v>0.75070000000000003</v>
      </c>
    </row>
    <row r="47" spans="1:4" x14ac:dyDescent="0.25">
      <c r="A47" vm="165">
        <f ca="1"/>
        <v>45726</v>
      </c>
      <c r="B47" vm="1611">
        <f ca="1"/>
        <v>0.72699999999999998</v>
      </c>
      <c r="C47" vm="1612">
        <f ca="1"/>
        <v>0.81</v>
      </c>
      <c r="D47" vm="1613">
        <f ca="1"/>
        <v>0.68500000000000005</v>
      </c>
    </row>
    <row r="48" spans="1:4" x14ac:dyDescent="0.25">
      <c r="A48" vm="169">
        <f ca="1"/>
        <v>45727</v>
      </c>
      <c r="B48" vm="1614">
        <f ca="1"/>
        <v>0.72350000000000003</v>
      </c>
      <c r="C48" vm="1464">
        <f ca="1"/>
        <v>1.18</v>
      </c>
      <c r="D48" vm="1615">
        <f ca="1"/>
        <v>0.68110000000000004</v>
      </c>
    </row>
    <row r="49" spans="1:4" x14ac:dyDescent="0.25">
      <c r="A49" vm="172">
        <f ca="1"/>
        <v>45728</v>
      </c>
      <c r="B49" vm="1616">
        <f ca="1"/>
        <v>0.69699999999999995</v>
      </c>
      <c r="C49" vm="1617">
        <f ca="1"/>
        <v>0.70650000000000002</v>
      </c>
      <c r="D49" vm="1465">
        <f ca="1"/>
        <v>0.56999999999999995</v>
      </c>
    </row>
    <row r="50" spans="1:4" x14ac:dyDescent="0.25">
      <c r="A50" vm="176">
        <f ca="1"/>
        <v>45729</v>
      </c>
      <c r="B50" vm="1618">
        <f ca="1"/>
        <v>0.67669999999999997</v>
      </c>
      <c r="C50" vm="1619">
        <f ca="1"/>
        <v>0.7177</v>
      </c>
      <c r="D50" vm="1620">
        <f ca="1"/>
        <v>0.65029999999999999</v>
      </c>
    </row>
    <row r="51" spans="1:4" x14ac:dyDescent="0.25">
      <c r="A51" vm="178">
        <f ca="1"/>
        <v>45730</v>
      </c>
      <c r="B51" vm="1463">
        <f ca="1"/>
        <v>0.73839999999999995</v>
      </c>
      <c r="C51" vm="1621">
        <f ca="1"/>
        <v>0.74</v>
      </c>
      <c r="D51" vm="1622">
        <f ca="1"/>
        <v>0.65</v>
      </c>
    </row>
    <row r="52" spans="1:4" x14ac:dyDescent="0.25">
      <c r="A52" vm="182">
        <f ca="1"/>
        <v>45733</v>
      </c>
      <c r="B52" vm="1623">
        <f ca="1"/>
        <v>0.77439999999999998</v>
      </c>
      <c r="C52" vm="1624">
        <f ca="1"/>
        <v>0.79100000000000004</v>
      </c>
      <c r="D52" vm="1625">
        <f ca="1"/>
        <v>0.72440000000000004</v>
      </c>
    </row>
    <row r="53" spans="1:4" x14ac:dyDescent="0.25">
      <c r="A53" vm="185">
        <f ca="1"/>
        <v>45734</v>
      </c>
      <c r="B53" vm="1626">
        <f ca="1"/>
        <v>0.74480000000000002</v>
      </c>
      <c r="C53" vm="1467">
        <f ca="1"/>
        <v>0.79579999999999995</v>
      </c>
      <c r="D53" vm="1627">
        <f ca="1"/>
        <v>0.72009999999999996</v>
      </c>
    </row>
    <row r="54" spans="1:4" x14ac:dyDescent="0.25">
      <c r="A54" vm="189">
        <f ca="1"/>
        <v>45735</v>
      </c>
      <c r="B54" vm="1628">
        <f ca="1"/>
        <v>0.75760000000000005</v>
      </c>
      <c r="C54" vm="1629">
        <f ca="1"/>
        <v>0.76580000000000004</v>
      </c>
      <c r="D54" vm="1630">
        <f ca="1"/>
        <v>0.72099999999999997</v>
      </c>
    </row>
    <row r="55" spans="1:4" x14ac:dyDescent="0.25">
      <c r="A55" vm="193">
        <f ca="1"/>
        <v>45736</v>
      </c>
      <c r="B55" vm="1631">
        <f ca="1"/>
        <v>0.69010000000000005</v>
      </c>
      <c r="C55" vm="1632">
        <f ca="1"/>
        <v>0.75680000000000003</v>
      </c>
      <c r="D55" vm="1468">
        <f ca="1"/>
        <v>0.68</v>
      </c>
    </row>
    <row r="56" spans="1:4" x14ac:dyDescent="0.25">
      <c r="A56" vm="197">
        <f ca="1"/>
        <v>45737</v>
      </c>
      <c r="B56" vm="1466">
        <f ca="1"/>
        <v>0.70009999999999994</v>
      </c>
      <c r="C56" vm="1633">
        <f ca="1"/>
        <v>0.72</v>
      </c>
      <c r="D56" vm="1468">
        <f ca="1"/>
        <v>0.68</v>
      </c>
    </row>
    <row r="57" spans="1:4" x14ac:dyDescent="0.25">
      <c r="A57" vm="199">
        <f ca="1"/>
        <v>45740</v>
      </c>
      <c r="B57" vm="1634">
        <f ca="1"/>
        <v>0.81200000000000006</v>
      </c>
      <c r="C57" vm="1635">
        <f ca="1"/>
        <v>0.82</v>
      </c>
      <c r="D57" vm="1471">
        <f ca="1"/>
        <v>0.69110000000000005</v>
      </c>
    </row>
    <row r="58" spans="1:4" x14ac:dyDescent="0.25">
      <c r="A58" vm="203">
        <f ca="1"/>
        <v>45741</v>
      </c>
      <c r="B58" vm="1636">
        <f ca="1"/>
        <v>0.88580000000000003</v>
      </c>
      <c r="C58" vm="1481">
        <f ca="1"/>
        <v>0.9</v>
      </c>
      <c r="D58" vm="1637">
        <f ca="1"/>
        <v>0.79500000000000004</v>
      </c>
    </row>
    <row r="59" spans="1:4" x14ac:dyDescent="0.25">
      <c r="A59" vm="207">
        <f ca="1"/>
        <v>45742</v>
      </c>
      <c r="B59" vm="1638">
        <f ca="1"/>
        <v>0.84499999999999997</v>
      </c>
      <c r="C59" vm="1639">
        <f ca="1"/>
        <v>0.97289999999999999</v>
      </c>
      <c r="D59" vm="1640">
        <f ca="1"/>
        <v>0.80869999999999997</v>
      </c>
    </row>
    <row r="60" spans="1:4" x14ac:dyDescent="0.25">
      <c r="A60" vm="209">
        <f ca="1"/>
        <v>45743</v>
      </c>
      <c r="B60" vm="1641">
        <f ca="1"/>
        <v>0.99980000000000002</v>
      </c>
      <c r="C60" vm="1642">
        <f ca="1"/>
        <v>1.01</v>
      </c>
      <c r="D60" vm="1643">
        <f ca="1"/>
        <v>0.83309999999999995</v>
      </c>
    </row>
    <row r="61" spans="1:4" x14ac:dyDescent="0.25">
      <c r="A61" vm="212">
        <f ca="1"/>
        <v>45744</v>
      </c>
      <c r="B61" vm="1469">
        <f ca="1"/>
        <v>1.1200000000000001</v>
      </c>
      <c r="C61" vm="1470">
        <f ca="1"/>
        <v>1.1399999999999999</v>
      </c>
      <c r="D61" vm="1497">
        <f ca="1"/>
        <v>0.89</v>
      </c>
    </row>
    <row r="62" spans="1:4" x14ac:dyDescent="0.25">
      <c r="A62" vm="216">
        <f ca="1"/>
        <v>45747</v>
      </c>
      <c r="B62" vm="1644">
        <f ca="1"/>
        <v>1.07</v>
      </c>
      <c r="C62" vm="1455">
        <f ca="1"/>
        <v>1.25</v>
      </c>
      <c r="D62" vm="1645">
        <f ca="1"/>
        <v>0.89139999999999997</v>
      </c>
    </row>
    <row r="63" spans="1:4" x14ac:dyDescent="0.25">
      <c r="A63" vm="220">
        <f ca="1"/>
        <v>45748</v>
      </c>
      <c r="B63" vm="1591">
        <f ca="1"/>
        <v>1.1000000000000001</v>
      </c>
      <c r="C63" vm="1646">
        <f ca="1"/>
        <v>1.1499999999999999</v>
      </c>
      <c r="D63" vm="1647">
        <f ca="1"/>
        <v>1.0101</v>
      </c>
    </row>
    <row r="64" spans="1:4" x14ac:dyDescent="0.25">
      <c r="A64" vm="223">
        <f ca="1"/>
        <v>45749</v>
      </c>
      <c r="B64" vm="1648">
        <f ca="1"/>
        <v>1.1100000000000001</v>
      </c>
      <c r="C64" vm="1649">
        <f ca="1"/>
        <v>1.1298999999999999</v>
      </c>
      <c r="D64" vm="1650">
        <f ca="1"/>
        <v>0.99</v>
      </c>
    </row>
    <row r="65" spans="1:4" x14ac:dyDescent="0.25">
      <c r="A65" vm="224">
        <f ca="1"/>
        <v>45750</v>
      </c>
      <c r="B65" vm="1651">
        <f ca="1"/>
        <v>0.89939999999999998</v>
      </c>
      <c r="C65" vm="1644">
        <f ca="1"/>
        <v>1.07</v>
      </c>
      <c r="D65" vm="1652">
        <f ca="1"/>
        <v>0.86</v>
      </c>
    </row>
    <row r="66" spans="1:4" x14ac:dyDescent="0.25">
      <c r="A66" vm="227">
        <f ca="1"/>
        <v>45751</v>
      </c>
      <c r="B66" vm="1472">
        <f ca="1"/>
        <v>0.92090000000000005</v>
      </c>
      <c r="C66" vm="1653">
        <f ca="1"/>
        <v>0.9677</v>
      </c>
      <c r="D66" vm="1473">
        <f ca="1"/>
        <v>0.8337</v>
      </c>
    </row>
    <row r="67" spans="1:4" x14ac:dyDescent="0.25">
      <c r="A67" vm="231">
        <f ca="1"/>
        <v>45754</v>
      </c>
      <c r="B67" vm="1652">
        <f ca="1"/>
        <v>0.86</v>
      </c>
      <c r="C67" vm="1475">
        <f ca="1"/>
        <v>0.9899</v>
      </c>
      <c r="D67" vm="1654">
        <f ca="1"/>
        <v>0.81689999999999996</v>
      </c>
    </row>
    <row r="68" spans="1:4" x14ac:dyDescent="0.25">
      <c r="A68" vm="235">
        <f ca="1"/>
        <v>45755</v>
      </c>
      <c r="B68" vm="1655">
        <f ca="1"/>
        <v>0.75</v>
      </c>
      <c r="C68" vm="1481">
        <f ca="1"/>
        <v>0.9</v>
      </c>
      <c r="D68" vm="1633">
        <f ca="1"/>
        <v>0.72</v>
      </c>
    </row>
    <row r="69" spans="1:4" x14ac:dyDescent="0.25">
      <c r="A69" vm="239">
        <f ca="1"/>
        <v>45756</v>
      </c>
      <c r="B69" vm="1656">
        <f ca="1"/>
        <v>0.83009999999999995</v>
      </c>
      <c r="C69" vm="1657">
        <f ca="1"/>
        <v>0.84</v>
      </c>
      <c r="D69" vm="1476">
        <f ca="1"/>
        <v>0.65910000000000002</v>
      </c>
    </row>
    <row r="70" spans="1:4" x14ac:dyDescent="0.25">
      <c r="A70" vm="243">
        <f ca="1"/>
        <v>45757</v>
      </c>
      <c r="B70" vm="1658">
        <f ca="1"/>
        <v>0.77510000000000001</v>
      </c>
      <c r="C70" vm="1659">
        <f ca="1"/>
        <v>0.82030000000000003</v>
      </c>
      <c r="D70" vm="1660">
        <f ca="1"/>
        <v>0.71399999999999997</v>
      </c>
    </row>
    <row r="71" spans="1:4" x14ac:dyDescent="0.25">
      <c r="A71" vm="247">
        <f ca="1"/>
        <v>45758</v>
      </c>
      <c r="B71" vm="1474">
        <f ca="1"/>
        <v>0.81399999999999995</v>
      </c>
      <c r="C71" vm="1607">
        <f ca="1"/>
        <v>0.83</v>
      </c>
      <c r="D71" vm="1655">
        <f ca="1"/>
        <v>0.75</v>
      </c>
    </row>
    <row r="72" spans="1:4" x14ac:dyDescent="0.25">
      <c r="A72" vm="251">
        <f ca="1"/>
        <v>45761</v>
      </c>
      <c r="B72" vm="1661">
        <f ca="1"/>
        <v>0.9143</v>
      </c>
      <c r="C72" vm="1478">
        <f ca="1"/>
        <v>0.96499999999999997</v>
      </c>
      <c r="D72" vm="1662">
        <f ca="1"/>
        <v>0.85509999999999997</v>
      </c>
    </row>
    <row r="73" spans="1:4" x14ac:dyDescent="0.25">
      <c r="A73" vm="255">
        <f ca="1"/>
        <v>45762</v>
      </c>
      <c r="B73" vm="1663">
        <f ca="1"/>
        <v>0.87419999999999998</v>
      </c>
      <c r="C73" vm="1664">
        <f ca="1"/>
        <v>0.93899999999999995</v>
      </c>
      <c r="D73" vm="1665">
        <f ca="1"/>
        <v>0.85</v>
      </c>
    </row>
    <row r="74" spans="1:4" x14ac:dyDescent="0.25">
      <c r="A74" vm="259">
        <f ca="1"/>
        <v>45763</v>
      </c>
      <c r="B74" vm="1666">
        <f ca="1"/>
        <v>0.86370000000000002</v>
      </c>
      <c r="C74" vm="1667">
        <f ca="1"/>
        <v>0.87860000000000005</v>
      </c>
      <c r="D74" vm="1479">
        <f ca="1"/>
        <v>0.81530000000000002</v>
      </c>
    </row>
    <row r="75" spans="1:4" x14ac:dyDescent="0.25">
      <c r="A75" vm="263">
        <f ca="1"/>
        <v>45764</v>
      </c>
      <c r="B75" vm="1477">
        <f ca="1"/>
        <v>0.88790000000000002</v>
      </c>
      <c r="C75" vm="1668">
        <f ca="1"/>
        <v>0.91920000000000002</v>
      </c>
      <c r="D75" vm="1669">
        <f ca="1"/>
        <v>0.85099999999999998</v>
      </c>
    </row>
    <row r="76" spans="1:4" x14ac:dyDescent="0.25">
      <c r="A76" vm="267">
        <f ca="1"/>
        <v>45768</v>
      </c>
      <c r="B76" vm="1670">
        <f ca="1"/>
        <v>0.79810000000000003</v>
      </c>
      <c r="C76" vm="1671">
        <f ca="1"/>
        <v>0.87</v>
      </c>
      <c r="D76" vm="1672">
        <f ca="1"/>
        <v>0.7712</v>
      </c>
    </row>
    <row r="77" spans="1:4" x14ac:dyDescent="0.25">
      <c r="A77" vm="271">
        <f ca="1"/>
        <v>45769</v>
      </c>
      <c r="B77" vm="1673">
        <f ca="1"/>
        <v>0.82010000000000005</v>
      </c>
      <c r="C77" vm="1607">
        <f ca="1"/>
        <v>0.83</v>
      </c>
      <c r="D77" vm="1674">
        <f ca="1"/>
        <v>0.77</v>
      </c>
    </row>
    <row r="78" spans="1:4" x14ac:dyDescent="0.25">
      <c r="A78" vm="274">
        <f ca="1"/>
        <v>45770</v>
      </c>
      <c r="B78" vm="1675">
        <f ca="1"/>
        <v>0.84189999999999998</v>
      </c>
      <c r="C78" vm="1481">
        <f ca="1"/>
        <v>0.9</v>
      </c>
      <c r="D78" vm="1676">
        <f ca="1"/>
        <v>0.83140000000000003</v>
      </c>
    </row>
    <row r="79" spans="1:4" x14ac:dyDescent="0.25">
      <c r="A79" vm="278">
        <f ca="1"/>
        <v>45771</v>
      </c>
      <c r="B79" vm="1677">
        <f ca="1"/>
        <v>0.80049999999999999</v>
      </c>
      <c r="C79" vm="1678">
        <f ca="1"/>
        <v>0.87929999999999997</v>
      </c>
      <c r="D79" vm="1679">
        <f ca="1"/>
        <v>0.78339999999999999</v>
      </c>
    </row>
    <row r="80" spans="1:4" x14ac:dyDescent="0.25">
      <c r="A80" vm="282">
        <f ca="1"/>
        <v>45772</v>
      </c>
      <c r="B80" vm="1480">
        <f ca="1"/>
        <v>0.71509999999999996</v>
      </c>
      <c r="C80" vm="1680">
        <f ca="1"/>
        <v>0.81559999999999999</v>
      </c>
      <c r="D80" vm="1482">
        <f ca="1"/>
        <v>0.69040000000000001</v>
      </c>
    </row>
    <row r="81" spans="1:4" x14ac:dyDescent="0.25">
      <c r="A81" vm="286">
        <f ca="1"/>
        <v>45775</v>
      </c>
      <c r="B81" vm="1681">
        <f ca="1"/>
        <v>0.75109999999999999</v>
      </c>
      <c r="C81" vm="1682">
        <f ca="1"/>
        <v>0.77890000000000004</v>
      </c>
      <c r="D81" vm="1485">
        <f ca="1"/>
        <v>0.72840000000000005</v>
      </c>
    </row>
    <row r="82" spans="1:4" x14ac:dyDescent="0.25">
      <c r="A82" vm="290">
        <f ca="1"/>
        <v>45776</v>
      </c>
      <c r="B82" vm="1683">
        <f ca="1"/>
        <v>0.80679999999999996</v>
      </c>
      <c r="C82" vm="1684">
        <f ca="1"/>
        <v>0.82930000000000004</v>
      </c>
      <c r="D82" vm="1488">
        <f ca="1"/>
        <v>0.73109999999999997</v>
      </c>
    </row>
    <row r="83" spans="1:4" x14ac:dyDescent="0.25">
      <c r="A83" vm="292">
        <f ca="1"/>
        <v>45777</v>
      </c>
      <c r="B83" vm="1685">
        <f ca="1"/>
        <v>0.77680000000000005</v>
      </c>
      <c r="C83" vm="1686">
        <f ca="1"/>
        <v>0.78859999999999997</v>
      </c>
      <c r="D83" vm="1687">
        <f ca="1"/>
        <v>0.73499999999999999</v>
      </c>
    </row>
    <row r="84" spans="1:4" x14ac:dyDescent="0.25">
      <c r="A84" vm="295">
        <f ca="1"/>
        <v>45778</v>
      </c>
      <c r="B84" vm="1604">
        <f ca="1"/>
        <v>0.78849999999999998</v>
      </c>
      <c r="C84" vm="1688">
        <f ca="1"/>
        <v>0.83289999999999997</v>
      </c>
      <c r="D84" vm="1689">
        <f ca="1"/>
        <v>0.77170000000000005</v>
      </c>
    </row>
    <row r="85" spans="1:4" x14ac:dyDescent="0.25">
      <c r="A85" vm="298">
        <f ca="1"/>
        <v>45779</v>
      </c>
      <c r="B85" vm="1483">
        <f ca="1"/>
        <v>0.81859999999999999</v>
      </c>
      <c r="C85" vm="1484">
        <f ca="1"/>
        <v>0.85370000000000001</v>
      </c>
      <c r="D85" vm="1604">
        <f ca="1"/>
        <v>0.78849999999999998</v>
      </c>
    </row>
    <row r="86" spans="1:4" x14ac:dyDescent="0.25">
      <c r="A86" vm="302">
        <f ca="1"/>
        <v>45782</v>
      </c>
      <c r="B86" vm="1690">
        <f ca="1"/>
        <v>0.76429999999999998</v>
      </c>
      <c r="C86" vm="1487">
        <f ca="1"/>
        <v>0.79890000000000005</v>
      </c>
      <c r="D86" vm="1691">
        <f ca="1"/>
        <v>0.76039999999999996</v>
      </c>
    </row>
    <row r="87" spans="1:4" x14ac:dyDescent="0.25">
      <c r="A87" vm="304">
        <f ca="1"/>
        <v>45783</v>
      </c>
      <c r="B87" vm="1692">
        <f ca="1"/>
        <v>0.75719999999999998</v>
      </c>
      <c r="C87" vm="1693">
        <f ca="1"/>
        <v>0.77900000000000003</v>
      </c>
      <c r="D87" vm="1694">
        <f ca="1"/>
        <v>0.73540000000000005</v>
      </c>
    </row>
    <row r="88" spans="1:4" x14ac:dyDescent="0.25">
      <c r="A88" vm="307">
        <f ca="1"/>
        <v>45784</v>
      </c>
      <c r="B88" vm="1695">
        <f ca="1"/>
        <v>0.75349999999999995</v>
      </c>
      <c r="C88" vm="1696">
        <f ca="1"/>
        <v>0.76239999999999997</v>
      </c>
      <c r="D88" vm="1488">
        <f ca="1"/>
        <v>0.73109999999999997</v>
      </c>
    </row>
    <row r="89" spans="1:4" x14ac:dyDescent="0.25">
      <c r="A89" vm="310">
        <f ca="1"/>
        <v>45785</v>
      </c>
      <c r="B89" vm="1697">
        <f ca="1"/>
        <v>0.79090000000000005</v>
      </c>
      <c r="C89" vm="1698">
        <f ca="1"/>
        <v>0.79879999999999995</v>
      </c>
      <c r="D89" vm="1699">
        <f ca="1"/>
        <v>0.73170000000000002</v>
      </c>
    </row>
    <row r="90" spans="1:4" x14ac:dyDescent="0.25">
      <c r="A90" vm="314">
        <f ca="1"/>
        <v>45786</v>
      </c>
      <c r="B90" vm="1486">
        <f ca="1"/>
        <v>0.76500000000000001</v>
      </c>
      <c r="C90" vm="1700">
        <f ca="1"/>
        <v>0.79630000000000001</v>
      </c>
      <c r="D90" vm="1701">
        <f ca="1"/>
        <v>0.76170000000000004</v>
      </c>
    </row>
    <row r="91" spans="1:4" x14ac:dyDescent="0.25">
      <c r="A91" vm="316">
        <f ca="1"/>
        <v>45789</v>
      </c>
      <c r="B91" vm="1702">
        <f ca="1"/>
        <v>0.82979999999999998</v>
      </c>
      <c r="C91" vm="1601">
        <f ca="1"/>
        <v>0.83899999999999997</v>
      </c>
      <c r="D91" vm="1703">
        <f ca="1"/>
        <v>0.76019999999999999</v>
      </c>
    </row>
    <row r="92" spans="1:4" x14ac:dyDescent="0.25">
      <c r="A92" vm="320">
        <f ca="1"/>
        <v>45790</v>
      </c>
      <c r="B92" vm="1666">
        <f ca="1"/>
        <v>0.86370000000000002</v>
      </c>
      <c r="C92" vm="1704">
        <f ca="1"/>
        <v>0.88639999999999997</v>
      </c>
      <c r="D92" vm="1705">
        <f ca="1"/>
        <v>0.80689999999999995</v>
      </c>
    </row>
    <row r="93" spans="1:4" x14ac:dyDescent="0.25">
      <c r="A93" vm="324">
        <f ca="1"/>
        <v>45791</v>
      </c>
      <c r="B93" vm="1706">
        <f ca="1"/>
        <v>0.87590000000000001</v>
      </c>
      <c r="C93" vm="1707">
        <f ca="1"/>
        <v>0.92</v>
      </c>
      <c r="D93" vm="1708">
        <f ca="1"/>
        <v>0.84389999999999998</v>
      </c>
    </row>
    <row r="94" spans="1:4" x14ac:dyDescent="0.25">
      <c r="A94" vm="328">
        <f ca="1"/>
        <v>45792</v>
      </c>
      <c r="B94" vm="1709">
        <f ca="1"/>
        <v>0.85670000000000002</v>
      </c>
      <c r="C94" vm="1671">
        <f ca="1"/>
        <v>0.87</v>
      </c>
      <c r="D94" vm="1491">
        <f ca="1"/>
        <v>0.76</v>
      </c>
    </row>
    <row r="95" spans="1:4" x14ac:dyDescent="0.25">
      <c r="A95" vm="332">
        <f ca="1"/>
        <v>45793</v>
      </c>
      <c r="B95" vm="1489">
        <f ca="1"/>
        <v>0.93010000000000004</v>
      </c>
      <c r="C95" vm="1490">
        <f ca="1"/>
        <v>0.94</v>
      </c>
      <c r="D95" vm="1710">
        <f ca="1"/>
        <v>0.84009999999999996</v>
      </c>
    </row>
    <row r="96" spans="1:4" x14ac:dyDescent="0.25">
      <c r="A96" vm="336">
        <f ca="1"/>
        <v>45796</v>
      </c>
      <c r="B96" vm="1711">
        <f ca="1"/>
        <v>0.97940000000000005</v>
      </c>
      <c r="C96" vm="1461">
        <f ca="1"/>
        <v>1</v>
      </c>
      <c r="D96" vm="1712">
        <f ca="1"/>
        <v>0.85499999999999998</v>
      </c>
    </row>
    <row r="97" spans="1:4" x14ac:dyDescent="0.25">
      <c r="A97" vm="340">
        <f ca="1"/>
        <v>45797</v>
      </c>
      <c r="B97" vm="1713">
        <f ca="1"/>
        <v>0.94259999999999999</v>
      </c>
      <c r="C97" vm="1493">
        <f ca="1"/>
        <v>1.05</v>
      </c>
      <c r="D97" vm="1714">
        <f ca="1"/>
        <v>0.93100000000000005</v>
      </c>
    </row>
    <row r="98" spans="1:4" x14ac:dyDescent="0.25">
      <c r="A98" vm="344">
        <f ca="1"/>
        <v>45798</v>
      </c>
      <c r="B98" vm="1715">
        <f ca="1"/>
        <v>0.86509999999999998</v>
      </c>
      <c r="C98" vm="1716">
        <f ca="1"/>
        <v>0.99650000000000005</v>
      </c>
      <c r="D98" vm="1494">
        <f ca="1"/>
        <v>0.8276</v>
      </c>
    </row>
    <row r="99" spans="1:4" x14ac:dyDescent="0.25">
      <c r="A99" vm="346">
        <f ca="1"/>
        <v>45799</v>
      </c>
      <c r="B99" vm="1717">
        <f ca="1"/>
        <v>0.9093</v>
      </c>
      <c r="C99" vm="1718">
        <f ca="1"/>
        <v>0.91900000000000004</v>
      </c>
      <c r="D99" vm="1719">
        <f ca="1"/>
        <v>0.84350000000000003</v>
      </c>
    </row>
    <row r="100" spans="1:4" x14ac:dyDescent="0.25">
      <c r="A100" vm="349">
        <f ca="1"/>
        <v>45800</v>
      </c>
      <c r="B100" vm="1492">
        <f ca="1"/>
        <v>0.92679999999999996</v>
      </c>
      <c r="C100" vm="1720">
        <f ca="1"/>
        <v>0.96</v>
      </c>
      <c r="D100" vm="1652">
        <f ca="1"/>
        <v>0.86</v>
      </c>
    </row>
    <row r="101" spans="1:4" x14ac:dyDescent="0.25">
      <c r="A101" vm="353">
        <f ca="1"/>
        <v>45804</v>
      </c>
      <c r="B101" vm="1721">
        <f ca="1"/>
        <v>0.94220000000000004</v>
      </c>
      <c r="C101" vm="1722">
        <f ca="1"/>
        <v>0.95369999999999999</v>
      </c>
      <c r="D101" vm="1497">
        <f ca="1"/>
        <v>0.89</v>
      </c>
    </row>
    <row r="102" spans="1:4" x14ac:dyDescent="0.25">
      <c r="A102" vm="357">
        <f ca="1"/>
        <v>45805</v>
      </c>
      <c r="B102" vm="1644">
        <f ca="1"/>
        <v>1.07</v>
      </c>
      <c r="C102" vm="1646">
        <f ca="1"/>
        <v>1.1499999999999999</v>
      </c>
      <c r="D102" vm="1723">
        <f ca="1"/>
        <v>0.93200000000000005</v>
      </c>
    </row>
    <row r="103" spans="1:4" x14ac:dyDescent="0.25">
      <c r="A103" vm="361">
        <f ca="1"/>
        <v>45806</v>
      </c>
      <c r="B103" vm="1644">
        <f ca="1"/>
        <v>1.07</v>
      </c>
      <c r="C103" vm="1591">
        <f ca="1"/>
        <v>1.1000000000000001</v>
      </c>
      <c r="D103" vm="1461">
        <f ca="1"/>
        <v>1</v>
      </c>
    </row>
    <row r="104" spans="1:4" x14ac:dyDescent="0.25">
      <c r="A104" vm="365">
        <f ca="1"/>
        <v>45807</v>
      </c>
      <c r="B104" vm="1495">
        <f ca="1"/>
        <v>1.22</v>
      </c>
      <c r="C104" vm="1496">
        <f ca="1"/>
        <v>1.23</v>
      </c>
      <c r="D104" vm="1644">
        <f ca="1"/>
        <v>1.07</v>
      </c>
    </row>
    <row r="105" spans="1:4" x14ac:dyDescent="0.25">
      <c r="A105" vm="369">
        <f ca="1"/>
        <v>45810</v>
      </c>
      <c r="B105" vm="1724">
        <f ca="1"/>
        <v>1.47</v>
      </c>
      <c r="C105" vm="1725">
        <f ca="1"/>
        <v>1.52</v>
      </c>
      <c r="D105" vm="1458">
        <f ca="1"/>
        <v>1.26</v>
      </c>
    </row>
    <row r="106" spans="1:4" x14ac:dyDescent="0.25">
      <c r="A106" vm="372">
        <f ca="1"/>
        <v>45811</v>
      </c>
      <c r="B106" vm="1726">
        <f ca="1"/>
        <v>1.42</v>
      </c>
      <c r="C106" vm="1727">
        <f ca="1"/>
        <v>1.66</v>
      </c>
      <c r="D106" vm="1587">
        <f ca="1"/>
        <v>1.4</v>
      </c>
    </row>
    <row r="107" spans="1:4" x14ac:dyDescent="0.25">
      <c r="A107" vm="375">
        <f ca="1"/>
        <v>45812</v>
      </c>
      <c r="B107" vm="1446">
        <f ca="1"/>
        <v>1.75</v>
      </c>
      <c r="C107" vm="1728">
        <f ca="1"/>
        <v>1.79</v>
      </c>
      <c r="D107" vm="1505">
        <f ca="1"/>
        <v>1.46</v>
      </c>
    </row>
    <row r="108" spans="1:4" x14ac:dyDescent="0.25">
      <c r="A108" vm="378">
        <f ca="1"/>
        <v>45813</v>
      </c>
      <c r="B108" vm="1503">
        <f ca="1"/>
        <v>1.58</v>
      </c>
      <c r="C108" vm="1499">
        <f ca="1"/>
        <v>1.885</v>
      </c>
      <c r="D108" vm="1451">
        <f ca="1"/>
        <v>1.5</v>
      </c>
    </row>
    <row r="109" spans="1:4" x14ac:dyDescent="0.25">
      <c r="A109" vm="382">
        <f ca="1"/>
        <v>45814</v>
      </c>
      <c r="B109" vm="1498">
        <f ca="1"/>
        <v>1.7</v>
      </c>
      <c r="C109" vm="1729">
        <f ca="1"/>
        <v>1.87</v>
      </c>
      <c r="D109" vm="1503">
        <f ca="1"/>
        <v>1.58</v>
      </c>
    </row>
    <row r="110" spans="1:4" x14ac:dyDescent="0.25">
      <c r="A110" vm="386">
        <f ca="1"/>
        <v>45817</v>
      </c>
      <c r="B110" vm="1570">
        <f ca="1"/>
        <v>1.68</v>
      </c>
      <c r="C110" vm="1501">
        <f ca="1"/>
        <v>2.0449999999999999</v>
      </c>
      <c r="D110" vm="1730">
        <f ca="1"/>
        <v>1.67</v>
      </c>
    </row>
    <row r="111" spans="1:4" x14ac:dyDescent="0.25">
      <c r="A111" vm="389">
        <f ca="1"/>
        <v>45818</v>
      </c>
      <c r="B111" vm="1725">
        <f ca="1"/>
        <v>1.52</v>
      </c>
      <c r="C111" vm="1498">
        <f ca="1"/>
        <v>1.7</v>
      </c>
      <c r="D111" vm="1590">
        <f ca="1"/>
        <v>1.45</v>
      </c>
    </row>
    <row r="112" spans="1:4" x14ac:dyDescent="0.25">
      <c r="A112" vm="391">
        <f ca="1"/>
        <v>45819</v>
      </c>
      <c r="B112" vm="1731">
        <f ca="1"/>
        <v>1.48</v>
      </c>
      <c r="C112" vm="1573">
        <f ca="1"/>
        <v>1.6</v>
      </c>
      <c r="D112" vm="1502">
        <f ca="1"/>
        <v>1.4000999999999999</v>
      </c>
    </row>
    <row r="113" spans="1:4" x14ac:dyDescent="0.25">
      <c r="A113" vm="395">
        <f ca="1"/>
        <v>45820</v>
      </c>
      <c r="B113" vm="1511">
        <f ca="1"/>
        <v>1.71</v>
      </c>
      <c r="C113" vm="1446">
        <f ca="1"/>
        <v>1.75</v>
      </c>
      <c r="D113" vm="1732">
        <f ca="1"/>
        <v>1.51</v>
      </c>
    </row>
    <row r="114" spans="1:4" x14ac:dyDescent="0.25">
      <c r="A114" vm="399">
        <f ca="1"/>
        <v>45821</v>
      </c>
      <c r="B114" vm="1500">
        <f ca="1"/>
        <v>1.82</v>
      </c>
      <c r="C114" vm="1729">
        <f ca="1"/>
        <v>1.87</v>
      </c>
      <c r="D114" vm="1727">
        <f ca="1"/>
        <v>1.66</v>
      </c>
    </row>
    <row r="115" spans="1:4" x14ac:dyDescent="0.25">
      <c r="A115" vm="403">
        <f ca="1"/>
        <v>45824</v>
      </c>
      <c r="B115" vm="1568">
        <f ca="1"/>
        <v>1.69</v>
      </c>
      <c r="C115" vm="1504">
        <f ca="1"/>
        <v>1.9</v>
      </c>
      <c r="D115" vm="1572">
        <f ca="1"/>
        <v>1.665</v>
      </c>
    </row>
    <row r="116" spans="1:4" x14ac:dyDescent="0.25">
      <c r="A116" vm="407">
        <f ca="1"/>
        <v>45825</v>
      </c>
      <c r="B116" vm="1733">
        <f ca="1"/>
        <v>1.56</v>
      </c>
      <c r="C116" vm="1734">
        <f ca="1"/>
        <v>1.6988000000000001</v>
      </c>
      <c r="D116" vm="1725">
        <f ca="1"/>
        <v>1.52</v>
      </c>
    </row>
    <row r="117" spans="1:4" x14ac:dyDescent="0.25">
      <c r="A117" vm="410">
        <f ca="1"/>
        <v>45826</v>
      </c>
      <c r="B117" vm="1735">
        <f ca="1"/>
        <v>1.55</v>
      </c>
      <c r="C117" vm="1577">
        <f ca="1"/>
        <v>1.61</v>
      </c>
      <c r="D117" vm="1505">
        <f ca="1"/>
        <v>1.46</v>
      </c>
    </row>
    <row r="118" spans="1:4" x14ac:dyDescent="0.25">
      <c r="A118" vm="412">
        <f ca="1"/>
        <v>45828</v>
      </c>
      <c r="B118" vm="1503">
        <f ca="1"/>
        <v>1.58</v>
      </c>
      <c r="C118" vm="1730">
        <f ca="1"/>
        <v>1.67</v>
      </c>
      <c r="D118" vm="1725">
        <f ca="1"/>
        <v>1.52</v>
      </c>
    </row>
    <row r="119" spans="1:4" x14ac:dyDescent="0.25">
      <c r="A119" vm="414">
        <f ca="1"/>
        <v>45831</v>
      </c>
      <c r="B119" vm="1586">
        <f ca="1"/>
        <v>1.43</v>
      </c>
      <c r="C119" vm="1503">
        <f ca="1"/>
        <v>1.58</v>
      </c>
      <c r="D119" vm="1506">
        <f ca="1"/>
        <v>1.36</v>
      </c>
    </row>
    <row r="120" spans="1:4" x14ac:dyDescent="0.25">
      <c r="A120" vm="417">
        <f ca="1"/>
        <v>45832</v>
      </c>
      <c r="B120" vm="1736">
        <f ca="1"/>
        <v>1.59</v>
      </c>
      <c r="C120" vm="1573">
        <f ca="1"/>
        <v>1.6</v>
      </c>
      <c r="D120" vm="1737">
        <f ca="1"/>
        <v>1.4650000000000001</v>
      </c>
    </row>
    <row r="121" spans="1:4" x14ac:dyDescent="0.25">
      <c r="A121" vm="421">
        <f ca="1"/>
        <v>45833</v>
      </c>
      <c r="B121" vm="1573">
        <f ca="1"/>
        <v>1.6</v>
      </c>
      <c r="C121" vm="1507">
        <f ca="1"/>
        <v>1.85</v>
      </c>
      <c r="D121" vm="1735">
        <f ca="1"/>
        <v>1.55</v>
      </c>
    </row>
    <row r="122" spans="1:4" x14ac:dyDescent="0.25">
      <c r="A122" vm="422">
        <f ca="1"/>
        <v>45834</v>
      </c>
      <c r="B122" vm="1446">
        <f ca="1"/>
        <v>1.75</v>
      </c>
      <c r="C122" vm="1728">
        <f ca="1"/>
        <v>1.79</v>
      </c>
      <c r="D122" vm="1738">
        <f ca="1"/>
        <v>1.53</v>
      </c>
    </row>
    <row r="123" spans="1:4" x14ac:dyDescent="0.25">
      <c r="A123" vm="423">
        <f ca="1"/>
        <v>45835</v>
      </c>
      <c r="B123" vm="1452">
        <f ca="1"/>
        <v>1.83</v>
      </c>
      <c r="C123" vm="1449">
        <f ca="1"/>
        <v>1.91</v>
      </c>
      <c r="D123" vm="1568">
        <f ca="1"/>
        <v>1.69</v>
      </c>
    </row>
    <row r="124" spans="1:4" x14ac:dyDescent="0.25">
      <c r="A124" vm="425">
        <f ca="1"/>
        <v>45838</v>
      </c>
      <c r="B124" vm="1450">
        <f ca="1"/>
        <v>1.92</v>
      </c>
      <c r="C124" vm="1508">
        <f ca="1"/>
        <v>2.29</v>
      </c>
      <c r="D124" vm="1449">
        <f ca="1"/>
        <v>1.91</v>
      </c>
    </row>
    <row r="125" spans="1:4" x14ac:dyDescent="0.25">
      <c r="A125" vm="427">
        <f ca="1"/>
        <v>45839</v>
      </c>
      <c r="B125" vm="1739">
        <f ca="1"/>
        <v>1.96</v>
      </c>
      <c r="C125" vm="1739">
        <f ca="1"/>
        <v>1.96</v>
      </c>
      <c r="D125" vm="1509">
        <f ca="1"/>
        <v>1.8</v>
      </c>
    </row>
    <row r="126" spans="1:4" x14ac:dyDescent="0.25">
      <c r="A126" vm="430">
        <f ca="1"/>
        <v>45840</v>
      </c>
      <c r="B126" vm="1553">
        <f ca="1"/>
        <v>1.88</v>
      </c>
      <c r="C126" vm="1740">
        <f ca="1"/>
        <v>1.95</v>
      </c>
      <c r="D126" vm="1509">
        <f ca="1"/>
        <v>1.8</v>
      </c>
    </row>
    <row r="127" spans="1:4" x14ac:dyDescent="0.25">
      <c r="A127" vm="432">
        <f ca="1"/>
        <v>45841</v>
      </c>
      <c r="B127" vm="1507">
        <f ca="1"/>
        <v>1.85</v>
      </c>
      <c r="C127" vm="1741">
        <f ca="1"/>
        <v>2.0150000000000001</v>
      </c>
      <c r="D127" vm="1500">
        <f ca="1"/>
        <v>1.82</v>
      </c>
    </row>
    <row r="128" spans="1:4" x14ac:dyDescent="0.25">
      <c r="A128" vm="434">
        <f ca="1"/>
        <v>45845</v>
      </c>
      <c r="B128" vm="1446">
        <f ca="1"/>
        <v>1.75</v>
      </c>
      <c r="C128" vm="1742">
        <f ca="1"/>
        <v>1.97</v>
      </c>
      <c r="D128" vm="1576">
        <f ca="1"/>
        <v>1.72</v>
      </c>
    </row>
    <row r="129" spans="1:4" x14ac:dyDescent="0.25">
      <c r="A129" vm="437">
        <f ca="1"/>
        <v>45846</v>
      </c>
      <c r="B129" vm="1728">
        <f ca="1"/>
        <v>1.79</v>
      </c>
      <c r="C129" vm="1743">
        <f ca="1"/>
        <v>1.825</v>
      </c>
      <c r="D129" vm="1511">
        <f ca="1"/>
        <v>1.71</v>
      </c>
    </row>
    <row r="130" spans="1:4" x14ac:dyDescent="0.25">
      <c r="A130" vm="441">
        <f ca="1"/>
        <v>45847</v>
      </c>
      <c r="B130" vm="1583">
        <f ca="1"/>
        <v>1.84</v>
      </c>
      <c r="C130" vm="1581">
        <f ca="1"/>
        <v>1.93</v>
      </c>
      <c r="D130" vm="1744">
        <f ca="1"/>
        <v>1.7949999999999999</v>
      </c>
    </row>
    <row r="131" spans="1:4" x14ac:dyDescent="0.25">
      <c r="A131" vm="444">
        <f ca="1"/>
        <v>45848</v>
      </c>
      <c r="B131" vm="1560">
        <f ca="1"/>
        <v>2.0099999999999998</v>
      </c>
      <c r="C131" vm="1745">
        <f ca="1"/>
        <v>2.0499999999999998</v>
      </c>
      <c r="D131" vm="1509">
        <f ca="1"/>
        <v>1.8</v>
      </c>
    </row>
    <row r="132" spans="1:4" x14ac:dyDescent="0.25">
      <c r="A132" vm="446">
        <f ca="1"/>
        <v>45849</v>
      </c>
      <c r="B132" vm="1510">
        <f ca="1"/>
        <v>2.12</v>
      </c>
      <c r="C132" vm="1438">
        <f ca="1"/>
        <v>2.2400000000000002</v>
      </c>
      <c r="D132" vm="1745">
        <f ca="1"/>
        <v>2.0499999999999998</v>
      </c>
    </row>
    <row r="133" spans="1:4" x14ac:dyDescent="0.25">
      <c r="A133" vm="449">
        <f ca="1"/>
        <v>45852</v>
      </c>
      <c r="B133" vm="1746">
        <f ca="1"/>
        <v>2.31</v>
      </c>
      <c r="C133" vm="1547">
        <f ca="1"/>
        <v>2.4500000000000002</v>
      </c>
      <c r="D133" vm="1510">
        <f ca="1"/>
        <v>2.12</v>
      </c>
    </row>
    <row r="134" spans="1:4" x14ac:dyDescent="0.25">
      <c r="A134" vm="452">
        <f ca="1"/>
        <v>45853</v>
      </c>
      <c r="B134" vm="1508">
        <f ca="1"/>
        <v>2.29</v>
      </c>
      <c r="C134" vm="1747">
        <f ca="1"/>
        <v>2.35</v>
      </c>
      <c r="D134" vm="1516">
        <f ca="1"/>
        <v>2.2000000000000002</v>
      </c>
    </row>
    <row r="135" spans="1:4" x14ac:dyDescent="0.25">
      <c r="A135" vm="454">
        <f ca="1"/>
        <v>45854</v>
      </c>
      <c r="B135" vm="1551">
        <f ca="1"/>
        <v>2.4</v>
      </c>
      <c r="C135" vm="1748">
        <f ca="1"/>
        <v>2.44</v>
      </c>
      <c r="D135" vm="1554">
        <f ca="1"/>
        <v>2.19</v>
      </c>
    </row>
    <row r="136" spans="1:4" x14ac:dyDescent="0.25">
      <c r="A136" vm="457">
        <f ca="1"/>
        <v>45855</v>
      </c>
      <c r="B136" vm="1551">
        <f ca="1"/>
        <v>2.4</v>
      </c>
      <c r="C136" vm="1512">
        <f ca="1"/>
        <v>2.6398999999999999</v>
      </c>
      <c r="D136" vm="1145">
        <f ca="1"/>
        <v>2.2799999999999998</v>
      </c>
    </row>
    <row r="137" spans="1:4" x14ac:dyDescent="0.25">
      <c r="A137" vm="460">
        <f ca="1"/>
        <v>45856</v>
      </c>
      <c r="B137" vm="1453">
        <f ca="1"/>
        <v>2.23</v>
      </c>
      <c r="C137" vm="1144">
        <f ca="1"/>
        <v>2.48</v>
      </c>
      <c r="D137" vm="1554">
        <f ca="1"/>
        <v>2.19</v>
      </c>
    </row>
    <row r="138" spans="1:4" x14ac:dyDescent="0.25">
      <c r="A138" vm="462">
        <f ca="1"/>
        <v>45859</v>
      </c>
      <c r="B138" vm="1518">
        <f ca="1"/>
        <v>2.25</v>
      </c>
      <c r="C138" vm="1514">
        <f ca="1"/>
        <v>2.7</v>
      </c>
      <c r="D138" vm="1438">
        <f ca="1"/>
        <v>2.2400000000000002</v>
      </c>
    </row>
    <row r="139" spans="1:4" x14ac:dyDescent="0.25">
      <c r="A139" vm="466">
        <f ca="1"/>
        <v>45860</v>
      </c>
      <c r="B139" vm="1565">
        <f ca="1"/>
        <v>2.1</v>
      </c>
      <c r="C139" vm="1441">
        <f ca="1"/>
        <v>2.27</v>
      </c>
      <c r="D139" vm="1515">
        <f ca="1"/>
        <v>2.02</v>
      </c>
    </row>
    <row r="140" spans="1:4" x14ac:dyDescent="0.25">
      <c r="A140" vm="469">
        <f ca="1"/>
        <v>45861</v>
      </c>
      <c r="B140" vm="1749">
        <f ca="1"/>
        <v>2.1800000000000002</v>
      </c>
      <c r="C140" vm="1516">
        <f ca="1"/>
        <v>2.2000000000000002</v>
      </c>
      <c r="D140" vm="1745">
        <f ca="1"/>
        <v>2.0499999999999998</v>
      </c>
    </row>
    <row r="141" spans="1:4" x14ac:dyDescent="0.25">
      <c r="A141" vm="473">
        <f ca="1"/>
        <v>45862</v>
      </c>
      <c r="B141" vm="1580">
        <f ca="1"/>
        <v>2.14</v>
      </c>
      <c r="C141" vm="1750">
        <f ca="1"/>
        <v>2.33</v>
      </c>
      <c r="D141" vm="1513">
        <f ca="1"/>
        <v>2.13</v>
      </c>
    </row>
    <row r="142" spans="1:4" x14ac:dyDescent="0.25">
      <c r="A142" vm="477">
        <f ca="1"/>
        <v>45863</v>
      </c>
      <c r="B142" vm="1513">
        <f ca="1"/>
        <v>2.13</v>
      </c>
      <c r="C142" vm="1580">
        <f ca="1"/>
        <v>2.14</v>
      </c>
      <c r="D142" vm="1751">
        <f ca="1"/>
        <v>2.06</v>
      </c>
    </row>
    <row r="143" spans="1:4" x14ac:dyDescent="0.25">
      <c r="A143" vm="481">
        <f ca="1"/>
        <v>45866</v>
      </c>
      <c r="B143" vm="1447">
        <f ca="1"/>
        <v>2</v>
      </c>
      <c r="C143" vm="1516">
        <f ca="1"/>
        <v>2.2000000000000002</v>
      </c>
      <c r="D143" vm="1566">
        <f ca="1"/>
        <v>1.98</v>
      </c>
    </row>
    <row r="144" spans="1:4" x14ac:dyDescent="0.25">
      <c r="A144" vm="483">
        <f ca="1"/>
        <v>45867</v>
      </c>
      <c r="B144" vm="1500">
        <f ca="1"/>
        <v>1.82</v>
      </c>
      <c r="C144" vm="1560">
        <f ca="1"/>
        <v>2.0099999999999998</v>
      </c>
      <c r="D144" vm="1517">
        <f ca="1"/>
        <v>1.78</v>
      </c>
    </row>
    <row r="145" spans="1:4" x14ac:dyDescent="0.25">
      <c r="A145" vm="486">
        <f ca="1"/>
        <v>45868</v>
      </c>
      <c r="B145" vm="1440">
        <f ca="1"/>
        <v>2.0699999999999998</v>
      </c>
      <c r="C145" vm="1580">
        <f ca="1"/>
        <v>2.14</v>
      </c>
      <c r="D145" vm="1507">
        <f ca="1"/>
        <v>1.85</v>
      </c>
    </row>
    <row r="146" spans="1:4" x14ac:dyDescent="0.25">
      <c r="A146" vm="489">
        <f ca="1"/>
        <v>45869</v>
      </c>
      <c r="B146" vm="1510">
        <f ca="1"/>
        <v>2.12</v>
      </c>
      <c r="C146" vm="1752">
        <f ca="1"/>
        <v>2.2200000000000002</v>
      </c>
      <c r="D146" vm="1753">
        <f ca="1"/>
        <v>2.0299999999999998</v>
      </c>
    </row>
    <row r="147" spans="1:4" x14ac:dyDescent="0.25">
      <c r="A147" vm="490">
        <f ca="1"/>
        <v>45870</v>
      </c>
      <c r="B147" vm="1516">
        <f ca="1"/>
        <v>2.2000000000000002</v>
      </c>
      <c r="C147" vm="1441">
        <f ca="1"/>
        <v>2.27</v>
      </c>
      <c r="D147" vm="1560">
        <f ca="1"/>
        <v>2.0099999999999998</v>
      </c>
    </row>
    <row r="148" spans="1:4" x14ac:dyDescent="0.25">
      <c r="A148" vm="491">
        <f ca="1"/>
        <v>45873</v>
      </c>
      <c r="B148" vm="1754">
        <f ca="1"/>
        <v>2.67</v>
      </c>
      <c r="C148" vm="1754">
        <f ca="1"/>
        <v>2.67</v>
      </c>
      <c r="D148" vm="1518">
        <f ca="1"/>
        <v>2.25</v>
      </c>
    </row>
    <row r="149" spans="1:4" x14ac:dyDescent="0.25">
      <c r="A149" vm="492">
        <f ca="1"/>
        <v>45874</v>
      </c>
      <c r="B149" vm="1093">
        <f ca="1"/>
        <v>3.07</v>
      </c>
      <c r="C149" vm="1116">
        <f ca="1"/>
        <v>3.09</v>
      </c>
      <c r="D149" vm="1755">
        <f ca="1"/>
        <v>2.66</v>
      </c>
    </row>
    <row r="150" spans="1:4" x14ac:dyDescent="0.25">
      <c r="A150" vm="495">
        <f ca="1"/>
        <v>45875</v>
      </c>
      <c r="B150" vm="1078">
        <f ca="1"/>
        <v>3.33</v>
      </c>
      <c r="C150" vm="1054">
        <f ca="1"/>
        <v>3.37</v>
      </c>
      <c r="D150" vm="1110">
        <f ca="1"/>
        <v>2.92</v>
      </c>
    </row>
    <row r="151" spans="1:4" x14ac:dyDescent="0.25">
      <c r="A151" vm="499">
        <f ca="1"/>
        <v>45876</v>
      </c>
      <c r="B151" vm="1072">
        <f ca="1"/>
        <v>3.25</v>
      </c>
      <c r="C151" vm="1124">
        <f ca="1"/>
        <v>3.5</v>
      </c>
      <c r="D151" vm="1756">
        <f ca="1"/>
        <v>3.085</v>
      </c>
    </row>
    <row r="152" spans="1:4" x14ac:dyDescent="0.25">
      <c r="A152" vm="501">
        <f ca="1"/>
        <v>45877</v>
      </c>
      <c r="B152" vm="1062">
        <f ca="1"/>
        <v>3.55</v>
      </c>
      <c r="C152" vm="1249">
        <f ca="1"/>
        <v>3.95</v>
      </c>
      <c r="D152" vm="1757">
        <f ca="1"/>
        <v>3.395</v>
      </c>
    </row>
    <row r="153" spans="1:4" x14ac:dyDescent="0.25">
      <c r="A153" vm="504">
        <f ca="1"/>
        <v>45880</v>
      </c>
      <c r="B153" vm="1049">
        <f ca="1"/>
        <v>3.43</v>
      </c>
      <c r="C153" vm="1188">
        <f ca="1"/>
        <v>3.76</v>
      </c>
      <c r="D153" vm="1067">
        <f ca="1"/>
        <v>3.31</v>
      </c>
    </row>
    <row r="154" spans="1:4" x14ac:dyDescent="0.25">
      <c r="A154" vm="505">
        <f ca="1"/>
        <v>45881</v>
      </c>
      <c r="B154" vm="1186">
        <f ca="1"/>
        <v>4.29</v>
      </c>
      <c r="C154" vm="1238">
        <f ca="1"/>
        <v>4.3899999999999997</v>
      </c>
      <c r="D154" vm="1245">
        <f ca="1"/>
        <v>3.86</v>
      </c>
    </row>
    <row r="155" spans="1:4" x14ac:dyDescent="0.25">
      <c r="A155" vm="507">
        <f ca="1"/>
        <v>45882</v>
      </c>
      <c r="B155" vm="1050">
        <f ca="1"/>
        <v>3.52</v>
      </c>
      <c r="C155" vm="1758">
        <f ca="1"/>
        <v>3.79</v>
      </c>
      <c r="D155" vm="1759">
        <f ca="1"/>
        <v>3.44</v>
      </c>
    </row>
    <row r="156" spans="1:4" x14ac:dyDescent="0.25">
      <c r="A156" vm="509">
        <f ca="1"/>
        <v>45883</v>
      </c>
      <c r="B156" vm="1760">
        <f ca="1"/>
        <v>3.93</v>
      </c>
      <c r="C156" vm="1760">
        <f ca="1"/>
        <v>3.93</v>
      </c>
      <c r="D156" vm="1049">
        <f ca="1"/>
        <v>3.43</v>
      </c>
    </row>
    <row r="157" spans="1:4" x14ac:dyDescent="0.25">
      <c r="A157" vm="510">
        <f ca="1"/>
        <v>45884</v>
      </c>
      <c r="B157" vm="1245">
        <f ca="1"/>
        <v>3.86</v>
      </c>
      <c r="C157" vm="1173">
        <f ca="1"/>
        <v>4.2300000000000004</v>
      </c>
      <c r="D157" vm="1193">
        <f ca="1"/>
        <v>3.7450000000000001</v>
      </c>
    </row>
    <row r="158" spans="1:4" x14ac:dyDescent="0.25">
      <c r="A158" vm="514">
        <f ca="1"/>
        <v>45887</v>
      </c>
      <c r="B158" vm="1761">
        <f ca="1"/>
        <v>4.01</v>
      </c>
      <c r="C158" vm="1250">
        <f ca="1"/>
        <v>4.09</v>
      </c>
      <c r="D158" vm="1762">
        <f ca="1"/>
        <v>3.7250000000000001</v>
      </c>
    </row>
    <row r="159" spans="1:4" x14ac:dyDescent="0.25">
      <c r="A159" vm="517">
        <f ca="1"/>
        <v>45888</v>
      </c>
      <c r="B159" vm="1204">
        <f ca="1"/>
        <v>3.59</v>
      </c>
      <c r="C159" vm="1170">
        <f ca="1"/>
        <v>4.33</v>
      </c>
      <c r="D159" vm="1763">
        <f ca="1"/>
        <v>3.56</v>
      </c>
    </row>
    <row r="160" spans="1:4" x14ac:dyDescent="0.25">
      <c r="A160" vm="520">
        <f ca="1"/>
        <v>45889</v>
      </c>
      <c r="B160" vm="1198">
        <f ca="1"/>
        <v>3.61</v>
      </c>
      <c r="C160" vm="1764">
        <f ca="1"/>
        <v>3.66</v>
      </c>
      <c r="D160" vm="1076">
        <f ca="1"/>
        <v>3.2</v>
      </c>
    </row>
    <row r="161" spans="1:4" x14ac:dyDescent="0.25">
      <c r="A161" vm="522">
        <f ca="1"/>
        <v>45890</v>
      </c>
      <c r="B161" vm="1217">
        <f ca="1"/>
        <v>3.8</v>
      </c>
      <c r="C161" vm="1192">
        <f ca="1"/>
        <v>3.89</v>
      </c>
      <c r="D161" vm="1206">
        <f ca="1"/>
        <v>3.51</v>
      </c>
    </row>
    <row r="162" spans="1:4" x14ac:dyDescent="0.25">
      <c r="A162" vm="524">
        <f ca="1"/>
        <v>45891</v>
      </c>
      <c r="B162" vm="1168">
        <f ca="1"/>
        <v>4.49</v>
      </c>
      <c r="C162" vm="1519">
        <f ca="1"/>
        <v>4.51</v>
      </c>
      <c r="D162" vm="1217">
        <f ca="1"/>
        <v>3.8</v>
      </c>
    </row>
    <row r="163" spans="1:4" x14ac:dyDescent="0.25">
      <c r="A163" vm="527">
        <f ca="1"/>
        <v>45894</v>
      </c>
      <c r="B163" vm="1224">
        <f ca="1"/>
        <v>4.8499999999999996</v>
      </c>
      <c r="C163" vm="1163">
        <f ca="1"/>
        <v>4.9800000000000004</v>
      </c>
      <c r="D163" vm="1522">
        <f ca="1"/>
        <v>4.53</v>
      </c>
    </row>
    <row r="164" spans="1:4" x14ac:dyDescent="0.25">
      <c r="A164" vm="529">
        <f ca="1"/>
        <v>45895</v>
      </c>
      <c r="B164" vm="1765">
        <f ca="1"/>
        <v>4.97</v>
      </c>
      <c r="C164" vm="1766">
        <f ca="1"/>
        <v>5.2666000000000004</v>
      </c>
      <c r="D164" vm="1767">
        <f ca="1"/>
        <v>4.71</v>
      </c>
    </row>
    <row r="165" spans="1:4" x14ac:dyDescent="0.25">
      <c r="A165" vm="531">
        <f ca="1"/>
        <v>45896</v>
      </c>
      <c r="B165" vm="1299">
        <f ca="1"/>
        <v>5.07</v>
      </c>
      <c r="C165" vm="1768">
        <f ca="1"/>
        <v>5.5049999999999999</v>
      </c>
      <c r="D165" vm="1265">
        <f ca="1"/>
        <v>5.01</v>
      </c>
    </row>
    <row r="166" spans="1:4" x14ac:dyDescent="0.25">
      <c r="A166" vm="534">
        <f ca="1"/>
        <v>45897</v>
      </c>
      <c r="B166" vm="1769">
        <f ca="1"/>
        <v>5.7</v>
      </c>
      <c r="C166" vm="1327">
        <f ca="1"/>
        <v>6.01</v>
      </c>
      <c r="D166" vm="1770">
        <f ca="1"/>
        <v>5.2</v>
      </c>
    </row>
    <row r="167" spans="1:4" x14ac:dyDescent="0.25">
      <c r="A167" vm="536">
        <f ca="1"/>
        <v>45898</v>
      </c>
      <c r="B167" vm="1520">
        <f ca="1"/>
        <v>5.86</v>
      </c>
      <c r="C167" vm="1521">
        <f ca="1"/>
        <v>6.1879999999999997</v>
      </c>
      <c r="D167" vm="1771">
        <f ca="1"/>
        <v>5.54</v>
      </c>
    </row>
    <row r="168" spans="1:4" x14ac:dyDescent="0.25">
      <c r="A168" vm="538">
        <f ca="1"/>
        <v>45902</v>
      </c>
      <c r="B168" vm="1772">
        <f ca="1"/>
        <v>5.46</v>
      </c>
      <c r="C168" vm="1330">
        <f ca="1"/>
        <v>5.95</v>
      </c>
      <c r="D168" vm="1773">
        <f ca="1"/>
        <v>5.33</v>
      </c>
    </row>
    <row r="169" spans="1:4" x14ac:dyDescent="0.25">
      <c r="A169" vm="541">
        <f ca="1"/>
        <v>45903</v>
      </c>
      <c r="B169" vm="1774">
        <f ca="1"/>
        <v>5.03</v>
      </c>
      <c r="C169" vm="1775">
        <f ca="1"/>
        <v>5.6779999999999999</v>
      </c>
      <c r="D169" vm="1265">
        <f ca="1"/>
        <v>5.01</v>
      </c>
    </row>
    <row r="170" spans="1:4" x14ac:dyDescent="0.25">
      <c r="A170" vm="543">
        <f ca="1"/>
        <v>45904</v>
      </c>
      <c r="B170" vm="1773">
        <f ca="1"/>
        <v>5.33</v>
      </c>
      <c r="C170" vm="1276">
        <f ca="1"/>
        <v>5.39</v>
      </c>
      <c r="D170" vm="1524">
        <f ca="1"/>
        <v>4.9000000000000004</v>
      </c>
    </row>
    <row r="171" spans="1:4" x14ac:dyDescent="0.25">
      <c r="A171" vm="545">
        <f ca="1"/>
        <v>45905</v>
      </c>
      <c r="B171" vm="1523">
        <f ca="1"/>
        <v>5.63</v>
      </c>
      <c r="C171" vm="1776">
        <f ca="1"/>
        <v>5.68</v>
      </c>
      <c r="D171" vm="1774">
        <f ca="1"/>
        <v>5.03</v>
      </c>
    </row>
    <row r="172" spans="1:4" x14ac:dyDescent="0.25">
      <c r="A172" vm="546">
        <f ca="1"/>
        <v>45908</v>
      </c>
      <c r="B172" vm="1328">
        <f ca="1"/>
        <v>6.06</v>
      </c>
      <c r="C172" vm="1777">
        <f ca="1"/>
        <v>6.5</v>
      </c>
      <c r="D172" vm="1287">
        <f ca="1"/>
        <v>5.6</v>
      </c>
    </row>
    <row r="173" spans="1:4" x14ac:dyDescent="0.25">
      <c r="A173" vm="548">
        <f ca="1"/>
        <v>45909</v>
      </c>
      <c r="B173" vm="1778">
        <f ca="1"/>
        <v>5.45</v>
      </c>
      <c r="C173" vm="1306">
        <f ca="1"/>
        <v>5.59</v>
      </c>
      <c r="D173" vm="1526">
        <f ca="1"/>
        <v>5.21</v>
      </c>
    </row>
    <row r="174" spans="1:4" x14ac:dyDescent="0.25">
      <c r="A174" vm="550">
        <f ca="1"/>
        <v>45910</v>
      </c>
      <c r="B174" vm="1289">
        <f ca="1"/>
        <v>5.56</v>
      </c>
      <c r="C174" vm="1322">
        <f ca="1"/>
        <v>6</v>
      </c>
      <c r="D174" vm="1779">
        <f ca="1"/>
        <v>5.3849999999999998</v>
      </c>
    </row>
    <row r="175" spans="1:4" x14ac:dyDescent="0.25">
      <c r="A175" vm="551">
        <f ca="1"/>
        <v>45911</v>
      </c>
      <c r="B175" vm="1780">
        <f ca="1"/>
        <v>6.42</v>
      </c>
      <c r="C175" vm="1537">
        <f ca="1"/>
        <v>6.44</v>
      </c>
      <c r="D175" vm="1781">
        <f ca="1"/>
        <v>5.41</v>
      </c>
    </row>
    <row r="176" spans="1:4" x14ac:dyDescent="0.25">
      <c r="A176" vm="554">
        <f ca="1"/>
        <v>45912</v>
      </c>
      <c r="B176" vm="1338">
        <f ca="1"/>
        <v>6.56</v>
      </c>
      <c r="C176" vm="1525">
        <f ca="1"/>
        <v>6.72</v>
      </c>
      <c r="D176" vm="1782">
        <f ca="1"/>
        <v>6.2</v>
      </c>
    </row>
    <row r="177" spans="1:4" x14ac:dyDescent="0.25">
      <c r="A177" vm="555">
        <f ca="1"/>
        <v>45915</v>
      </c>
      <c r="B177" vm="1783">
        <f ca="1"/>
        <v>6.38</v>
      </c>
      <c r="C177" vm="1363">
        <f ca="1"/>
        <v>6.8598999999999997</v>
      </c>
      <c r="D177" vm="1784">
        <f ca="1"/>
        <v>6.25</v>
      </c>
    </row>
    <row r="178" spans="1:4" x14ac:dyDescent="0.25">
      <c r="A178" vm="556">
        <f ca="1"/>
        <v>45916</v>
      </c>
      <c r="B178" vm="1334">
        <f ca="1"/>
        <v>6.09</v>
      </c>
      <c r="C178" vm="1785">
        <f ca="1"/>
        <v>6.35</v>
      </c>
      <c r="D178" vm="1321">
        <f ca="1"/>
        <v>5.92</v>
      </c>
    </row>
    <row r="179" spans="1:4" x14ac:dyDescent="0.25">
      <c r="A179" vm="559">
        <f ca="1"/>
        <v>45917</v>
      </c>
      <c r="B179" vm="1786">
        <f ca="1"/>
        <v>6.1</v>
      </c>
      <c r="C179" vm="1784">
        <f ca="1"/>
        <v>6.25</v>
      </c>
      <c r="D179" vm="1310">
        <f ca="1"/>
        <v>5.75</v>
      </c>
    </row>
    <row r="180" spans="1:4" x14ac:dyDescent="0.25">
      <c r="A180" vm="560">
        <f ca="1"/>
        <v>45918</v>
      </c>
      <c r="B180" vm="1787">
        <f ca="1"/>
        <v>6.6</v>
      </c>
      <c r="C180" vm="1364">
        <f ca="1"/>
        <v>6.64</v>
      </c>
      <c r="D180" vm="1327">
        <f ca="1"/>
        <v>6.01</v>
      </c>
    </row>
    <row r="181" spans="1:4" x14ac:dyDescent="0.25">
      <c r="A181" vm="561">
        <f ca="1"/>
        <v>45919</v>
      </c>
      <c r="B181" vm="1525">
        <f ca="1"/>
        <v>6.72</v>
      </c>
      <c r="C181" vm="1346">
        <f ca="1"/>
        <v>6.84</v>
      </c>
      <c r="D181" vm="1780">
        <f ca="1"/>
        <v>6.42</v>
      </c>
    </row>
    <row r="182" spans="1:4" x14ac:dyDescent="0.25">
      <c r="A182" vm="562">
        <f ca="1"/>
        <v>45922</v>
      </c>
      <c r="B182" vm="1380">
        <f ca="1"/>
        <v>7.26</v>
      </c>
      <c r="C182" vm="1374">
        <f ca="1"/>
        <v>7.36</v>
      </c>
      <c r="D182" vm="1529">
        <f ca="1"/>
        <v>6.58</v>
      </c>
    </row>
    <row r="183" spans="1:4" x14ac:dyDescent="0.25">
      <c r="A183" vm="563">
        <f ca="1"/>
        <v>45923</v>
      </c>
      <c r="B183" vm="232">
        <f ca="1"/>
        <v>7.88</v>
      </c>
      <c r="C183" vm="1528">
        <f ca="1"/>
        <v>8.1198999999999995</v>
      </c>
      <c r="D183" vm="1788">
        <f ca="1"/>
        <v>7.23</v>
      </c>
    </row>
    <row r="184" spans="1:4" x14ac:dyDescent="0.25">
      <c r="A184" vm="564">
        <f ca="1"/>
        <v>45924</v>
      </c>
      <c r="B184" vm="1789">
        <f ca="1"/>
        <v>7.35</v>
      </c>
      <c r="C184" vm="1790">
        <f ca="1"/>
        <v>8.07</v>
      </c>
      <c r="D184" vm="1375">
        <f ca="1"/>
        <v>7.25</v>
      </c>
    </row>
    <row r="185" spans="1:4" x14ac:dyDescent="0.25">
      <c r="A185" vm="566">
        <f ca="1"/>
        <v>45925</v>
      </c>
      <c r="B185" vm="1791">
        <f ca="1"/>
        <v>7.75</v>
      </c>
      <c r="C185" vm="1421">
        <f ca="1"/>
        <v>7.84</v>
      </c>
      <c r="D185" vm="1792">
        <f ca="1"/>
        <v>6.79</v>
      </c>
    </row>
    <row r="186" spans="1:4" x14ac:dyDescent="0.25">
      <c r="A186" vm="568">
        <f ca="1"/>
        <v>45926</v>
      </c>
      <c r="B186" vm="1527">
        <f ca="1"/>
        <v>7.66</v>
      </c>
      <c r="C186" vm="252">
        <f ca="1"/>
        <v>7.89</v>
      </c>
      <c r="D186" vm="1374">
        <f ca="1"/>
        <v>7.36</v>
      </c>
    </row>
    <row r="187" spans="1:4" x14ac:dyDescent="0.25">
      <c r="A187" vm="571">
        <f ca="1"/>
        <v>45929</v>
      </c>
      <c r="B187" vm="1413">
        <f ca="1"/>
        <v>7.87</v>
      </c>
      <c r="C187" vm="300">
        <f ca="1"/>
        <v>8.7100000000000009</v>
      </c>
      <c r="D187" vm="1793">
        <f ca="1"/>
        <v>7.8</v>
      </c>
    </row>
    <row r="188" spans="1:4" x14ac:dyDescent="0.25">
      <c r="A188" vm="573">
        <f ca="1"/>
        <v>45930</v>
      </c>
      <c r="B188" vm="1794">
        <f ca="1"/>
        <v>7.72</v>
      </c>
      <c r="C188" vm="303">
        <f ca="1"/>
        <v>8.17</v>
      </c>
      <c r="D188" vm="1795">
        <f ca="1"/>
        <v>7.57</v>
      </c>
    </row>
    <row r="189" spans="1:4" x14ac:dyDescent="0.25">
      <c r="A189" vm="575">
        <f ca="1"/>
        <v>45931</v>
      </c>
      <c r="B189" vm="1371">
        <f ca="1"/>
        <v>7.31</v>
      </c>
      <c r="C189" vm="305">
        <f ca="1"/>
        <v>7.95</v>
      </c>
      <c r="D189" vm="1530">
        <f ca="1"/>
        <v>7.18</v>
      </c>
    </row>
    <row r="190" spans="1:4" x14ac:dyDescent="0.25">
      <c r="A190" vm="576">
        <f ca="1"/>
        <v>45932</v>
      </c>
      <c r="B190" vm="226">
        <f ca="1"/>
        <v>9.2100000000000009</v>
      </c>
      <c r="C190" vm="327">
        <f ca="1"/>
        <v>9.34</v>
      </c>
      <c r="D190" vm="1527">
        <f ca="1"/>
        <v>7.66</v>
      </c>
    </row>
    <row r="191" spans="1:4" x14ac:dyDescent="0.25">
      <c r="A191" vm="578">
        <f ca="1"/>
        <v>45933</v>
      </c>
      <c r="B191" vm="540">
        <f ca="1"/>
        <v>9.91</v>
      </c>
      <c r="C191" vm="799">
        <f ca="1"/>
        <v>10.28</v>
      </c>
      <c r="D191" vm="1532">
        <f ca="1"/>
        <v>9.1900999999999993</v>
      </c>
    </row>
    <row r="192" spans="1:4" x14ac:dyDescent="0.25">
      <c r="A192" vm="580">
        <f ca="1"/>
        <v>45936</v>
      </c>
      <c r="B192" vm="842">
        <f ca="1"/>
        <v>10.66</v>
      </c>
      <c r="C192" vm="952">
        <f ca="1"/>
        <v>11.63</v>
      </c>
      <c r="D192" vm="1796">
        <f ca="1"/>
        <v>10.27</v>
      </c>
    </row>
    <row r="193" spans="1:4" x14ac:dyDescent="0.25">
      <c r="A193" vm="582">
        <f ca="1"/>
        <v>45937</v>
      </c>
      <c r="B193" vm="1797">
        <f ca="1"/>
        <v>11.09</v>
      </c>
      <c r="C193" vm="1798">
        <f ca="1"/>
        <v>11.545</v>
      </c>
      <c r="D193" vm="175">
        <f ca="1"/>
        <v>10.45</v>
      </c>
    </row>
    <row r="194" spans="1:4" x14ac:dyDescent="0.25">
      <c r="A194" vm="584">
        <f ca="1"/>
        <v>45938</v>
      </c>
      <c r="B194" vm="187">
        <f ca="1"/>
        <v>11.26</v>
      </c>
      <c r="C194" vm="1531">
        <f ca="1"/>
        <v>11.6999</v>
      </c>
      <c r="D194" vm="1799">
        <f ca="1"/>
        <v>10.713200000000001</v>
      </c>
    </row>
    <row r="195" spans="1:4" x14ac:dyDescent="0.25">
      <c r="A195" vm="585">
        <f ca="1"/>
        <v>45939</v>
      </c>
      <c r="B195" vm="177">
        <f ca="1"/>
        <v>10.49</v>
      </c>
      <c r="C195" vm="1800">
        <f ca="1"/>
        <v>11.39</v>
      </c>
      <c r="D195" vm="1801">
        <f ca="1"/>
        <v>10.375</v>
      </c>
    </row>
    <row r="196" spans="1:4" x14ac:dyDescent="0.25">
      <c r="A196" vm="587">
        <f ca="1"/>
        <v>45940</v>
      </c>
      <c r="B196" vm="518">
        <f ca="1"/>
        <v>9.2200000000000006</v>
      </c>
      <c r="C196" vm="170">
        <f ca="1"/>
        <v>10.51</v>
      </c>
      <c r="D196" vm="1532">
        <f ca="1"/>
        <v>9.1900999999999993</v>
      </c>
    </row>
    <row r="197" spans="1:4" x14ac:dyDescent="0.25">
      <c r="A197" vm="590">
        <f ca="1"/>
        <v>45943</v>
      </c>
      <c r="B197" vm="1802">
        <f ca="1"/>
        <v>10.81</v>
      </c>
      <c r="C197" vm="1533">
        <f ca="1"/>
        <v>11.215</v>
      </c>
      <c r="D197" vm="1803">
        <f ca="1"/>
        <v>9.6831999999999994</v>
      </c>
    </row>
    <row r="198" spans="1:4" x14ac:dyDescent="0.25">
      <c r="A198" vm="592">
        <f ca="1"/>
        <v>45944</v>
      </c>
      <c r="B198" vm="1804">
        <f ca="1"/>
        <v>10.41</v>
      </c>
      <c r="C198" vm="1805">
        <f ca="1"/>
        <v>10.56</v>
      </c>
      <c r="D198" vm="409">
        <f ca="1"/>
        <v>9.8800000000000008</v>
      </c>
    </row>
    <row r="199" spans="1:4" x14ac:dyDescent="0.25">
      <c r="A199" vm="594">
        <f ca="1"/>
        <v>45945</v>
      </c>
      <c r="B199" vm="1435">
        <f ca="1"/>
        <v>9.51</v>
      </c>
      <c r="C199" vm="219">
        <f ca="1"/>
        <v>10.87</v>
      </c>
      <c r="D199" vm="394">
        <f ca="1"/>
        <v>9.16</v>
      </c>
    </row>
    <row r="200" spans="1:4" x14ac:dyDescent="0.25">
      <c r="A200" vm="596">
        <f ca="1"/>
        <v>45946</v>
      </c>
      <c r="B200" vm="603">
        <f ca="1"/>
        <v>8.1999999999999993</v>
      </c>
      <c r="C200" vm="658">
        <f ca="1"/>
        <v>9.6300000000000008</v>
      </c>
      <c r="D200" vm="1806">
        <f ca="1"/>
        <v>7.92</v>
      </c>
    </row>
    <row r="201" spans="1:4" x14ac:dyDescent="0.25">
      <c r="A201" vm="597">
        <f ca="1"/>
        <v>45947</v>
      </c>
      <c r="B201" vm="1387">
        <f ca="1"/>
        <v>7.61</v>
      </c>
      <c r="C201" vm="277">
        <f ca="1"/>
        <v>8.16</v>
      </c>
      <c r="D201" vm="1534">
        <f ca="1"/>
        <v>7.5549999999999997</v>
      </c>
    </row>
    <row r="202" spans="1:4" x14ac:dyDescent="0.25">
      <c r="A202" vm="600">
        <f ca="1"/>
        <v>45950</v>
      </c>
      <c r="B202" vm="262">
        <f ca="1"/>
        <v>7.77</v>
      </c>
      <c r="C202" vm="269">
        <f ca="1"/>
        <v>8.19</v>
      </c>
      <c r="D202" vm="1370">
        <f ca="1"/>
        <v>7.33</v>
      </c>
    </row>
    <row r="203" spans="1:4" x14ac:dyDescent="0.25">
      <c r="A203" vm="601">
        <f ca="1"/>
        <v>45951</v>
      </c>
      <c r="B203" vm="1807">
        <f ca="1"/>
        <v>7.19</v>
      </c>
      <c r="C203" vm="1808">
        <f ca="1"/>
        <v>7.91</v>
      </c>
      <c r="D203" vm="1809">
        <f ca="1"/>
        <v>7.1245000000000003</v>
      </c>
    </row>
    <row r="204" spans="1:4" x14ac:dyDescent="0.25">
      <c r="A204" vm="604">
        <f ca="1"/>
        <v>45952</v>
      </c>
      <c r="B204" vm="1362">
        <f ca="1"/>
        <v>6.74</v>
      </c>
      <c r="C204" vm="1380">
        <f ca="1"/>
        <v>7.26</v>
      </c>
      <c r="D204" vm="1536">
        <f ca="1"/>
        <v>6.4649999999999999</v>
      </c>
    </row>
    <row r="205" spans="1:4" x14ac:dyDescent="0.25">
      <c r="A205" vm="606">
        <f ca="1"/>
        <v>45953</v>
      </c>
      <c r="B205" vm="1810">
        <f ca="1"/>
        <v>7.06</v>
      </c>
      <c r="C205" vm="1369">
        <f ca="1"/>
        <v>7.3</v>
      </c>
      <c r="D205" vm="1811">
        <f ca="1"/>
        <v>6.65</v>
      </c>
    </row>
    <row r="206" spans="1:4" x14ac:dyDescent="0.25">
      <c r="A206" vm="608">
        <f ca="1"/>
        <v>45954</v>
      </c>
      <c r="B206" vm="1535">
        <f ca="1"/>
        <v>7.46</v>
      </c>
      <c r="C206" vm="303">
        <f ca="1"/>
        <v>8.17</v>
      </c>
      <c r="D206" vm="1812">
        <f ca="1"/>
        <v>7.4050000000000002</v>
      </c>
    </row>
    <row r="207" spans="1:4" x14ac:dyDescent="0.25">
      <c r="A207" vm="610">
        <f ca="1"/>
        <v>45957</v>
      </c>
      <c r="B207" vm="1378">
        <f ca="1"/>
        <v>7.53</v>
      </c>
      <c r="C207" vm="1538">
        <f ca="1"/>
        <v>8.3149999999999995</v>
      </c>
      <c r="D207" vm="1813">
        <f ca="1"/>
        <v>7.52</v>
      </c>
    </row>
    <row r="208" spans="1:4" x14ac:dyDescent="0.25">
      <c r="A208" vm="611">
        <f ca="1"/>
        <v>45958</v>
      </c>
      <c r="B208" vm="1792">
        <f ca="1"/>
        <v>6.79</v>
      </c>
      <c r="C208" vm="1381">
        <f ca="1"/>
        <v>7.64</v>
      </c>
      <c r="D208" vm="1814">
        <f ca="1"/>
        <v>6.66</v>
      </c>
    </row>
    <row r="209" spans="1:4" x14ac:dyDescent="0.25">
      <c r="A209" vm="614">
        <f ca="1"/>
        <v>45959</v>
      </c>
      <c r="B209" vm="1355">
        <f ca="1"/>
        <v>6.75</v>
      </c>
      <c r="C209" vm="1350">
        <f ca="1"/>
        <v>6.95</v>
      </c>
      <c r="D209" vm="1815">
        <f ca="1"/>
        <v>6.52</v>
      </c>
    </row>
    <row r="210" spans="1:4" x14ac:dyDescent="0.25">
      <c r="A210" vm="618">
        <f ca="1"/>
        <v>45960</v>
      </c>
      <c r="B210" vm="1816">
        <f ca="1"/>
        <v>6.29</v>
      </c>
      <c r="C210" vm="1817">
        <f ca="1"/>
        <v>6.6150000000000002</v>
      </c>
      <c r="D210" vm="1818">
        <f ca="1"/>
        <v>6.2050000000000001</v>
      </c>
    </row>
    <row r="211" spans="1:4" x14ac:dyDescent="0.25">
      <c r="A211" vm="621">
        <f ca="1"/>
        <v>45961</v>
      </c>
      <c r="B211" vm="1537">
        <f ca="1"/>
        <v>6.44</v>
      </c>
      <c r="C211" vm="1777">
        <f ca="1"/>
        <v>6.5</v>
      </c>
      <c r="D211" vm="1329">
        <f ca="1"/>
        <v>6.12</v>
      </c>
    </row>
    <row r="212" spans="1:4" x14ac:dyDescent="0.25">
      <c r="A212" vm="622">
        <f ca="1"/>
        <v>45964</v>
      </c>
      <c r="B212" vm="1335">
        <f ca="1"/>
        <v>6.15</v>
      </c>
      <c r="C212" vm="1349">
        <f ca="1"/>
        <v>6.69</v>
      </c>
      <c r="D212" vm="1285">
        <f ca="1"/>
        <v>5.78</v>
      </c>
    </row>
    <row r="213" spans="1:4" x14ac:dyDescent="0.25">
      <c r="A213" vm="623">
        <f ca="1"/>
        <v>45965</v>
      </c>
      <c r="B213" vm="1819">
        <f ca="1"/>
        <v>5.96</v>
      </c>
      <c r="C213" vm="1820">
        <f ca="1"/>
        <v>6.57</v>
      </c>
      <c r="D213" vm="1821">
        <f ca="1"/>
        <v>5.77</v>
      </c>
    </row>
    <row r="214" spans="1:4" x14ac:dyDescent="0.25">
      <c r="A214" vm="626">
        <f ca="1"/>
        <v>45966</v>
      </c>
      <c r="B214" vm="1322">
        <f ca="1"/>
        <v>6</v>
      </c>
      <c r="C214" vm="1784">
        <f ca="1"/>
        <v>6.25</v>
      </c>
      <c r="D214" vm="1314">
        <f ca="1"/>
        <v>5.83</v>
      </c>
    </row>
    <row r="215" spans="1:4" x14ac:dyDescent="0.25">
      <c r="A215" vm="627">
        <f ca="1"/>
        <v>45967</v>
      </c>
      <c r="B215" vm="1294">
        <f ca="1"/>
        <v>5.25</v>
      </c>
      <c r="C215" vm="1540">
        <f ca="1"/>
        <v>5.93</v>
      </c>
      <c r="D215" vm="1822">
        <f ca="1"/>
        <v>5.2149999999999999</v>
      </c>
    </row>
    <row r="216" spans="1:4" x14ac:dyDescent="0.25">
      <c r="A216" vm="629">
        <f ca="1"/>
        <v>45968</v>
      </c>
      <c r="B216" vm="1308">
        <f ca="1"/>
        <v>5.81</v>
      </c>
      <c r="C216" vm="1823">
        <f ca="1"/>
        <v>5.8949999999999996</v>
      </c>
      <c r="D216" vm="1267">
        <f ca="1"/>
        <v>4.95</v>
      </c>
    </row>
    <row r="217" spans="1:4" x14ac:dyDescent="0.25">
      <c r="A217" vm="631">
        <f ca="1"/>
        <v>45971</v>
      </c>
      <c r="B217" vm="1824">
        <f ca="1"/>
        <v>5.88</v>
      </c>
      <c r="C217" vm="1825">
        <f ca="1"/>
        <v>6.39</v>
      </c>
      <c r="D217" vm="1821">
        <f ca="1"/>
        <v>5.77</v>
      </c>
    </row>
    <row r="218" spans="1:4" x14ac:dyDescent="0.25">
      <c r="A218" vm="632">
        <f ca="1"/>
        <v>45972</v>
      </c>
      <c r="B218" vm="1311">
        <f ca="1"/>
        <v>5.8</v>
      </c>
      <c r="C218" vm="1826">
        <f ca="1"/>
        <v>6.0949999999999998</v>
      </c>
      <c r="D218" vm="1287">
        <f ca="1"/>
        <v>5.6</v>
      </c>
    </row>
    <row r="219" spans="1:4" x14ac:dyDescent="0.25">
      <c r="A219" vm="634">
        <f ca="1"/>
        <v>45973</v>
      </c>
      <c r="B219" vm="1827">
        <f ca="1"/>
        <v>5.51</v>
      </c>
      <c r="C219" vm="1828">
        <f ca="1"/>
        <v>6.165</v>
      </c>
      <c r="D219" vm="1305">
        <f ca="1"/>
        <v>5.48</v>
      </c>
    </row>
    <row r="220" spans="1:4" x14ac:dyDescent="0.25">
      <c r="A220" vm="636">
        <f ca="1"/>
        <v>45974</v>
      </c>
      <c r="B220" vm="1338">
        <f ca="1"/>
        <v>6.56</v>
      </c>
      <c r="C220" vm="1829">
        <f ca="1"/>
        <v>7.34</v>
      </c>
      <c r="D220" vm="1830">
        <f ca="1"/>
        <v>6.31</v>
      </c>
    </row>
    <row r="221" spans="1:4" x14ac:dyDescent="0.25">
      <c r="A221" vm="637">
        <f ca="1"/>
        <v>45975</v>
      </c>
      <c r="B221" vm="1530">
        <f ca="1"/>
        <v>7.18</v>
      </c>
      <c r="C221" vm="1385">
        <f ca="1"/>
        <v>7.86</v>
      </c>
      <c r="D221" vm="1786">
        <f ca="1"/>
        <v>6.1</v>
      </c>
    </row>
    <row r="222" spans="1:4" x14ac:dyDescent="0.25">
      <c r="A222" vm="639">
        <f ca="1"/>
        <v>45978</v>
      </c>
      <c r="B222" vm="1831">
        <f ca="1"/>
        <v>6.2549999999999999</v>
      </c>
      <c r="C222" vm="1832">
        <f ca="1"/>
        <v>7.5149999999999997</v>
      </c>
      <c r="D222" vm="1833">
        <f ca="1"/>
        <v>5.98</v>
      </c>
    </row>
    <row r="223" spans="1:4" x14ac:dyDescent="0.25">
      <c r="A223" vm="643">
        <f ca="1"/>
        <v>45979</v>
      </c>
      <c r="B223" vm="1421">
        <f ca="1"/>
        <v>7.84</v>
      </c>
      <c r="C223" vm="1806">
        <f ca="1"/>
        <v>7.92</v>
      </c>
      <c r="D223" vm="1335">
        <f ca="1"/>
        <v>6.15</v>
      </c>
    </row>
    <row r="224" spans="1:4" x14ac:dyDescent="0.25">
      <c r="A224" vm="644">
        <f ca="1"/>
        <v>45980</v>
      </c>
      <c r="B224" vm="1834">
        <f ca="1"/>
        <v>7.5</v>
      </c>
      <c r="C224" vm="257">
        <f ca="1"/>
        <v>8.0350000000000001</v>
      </c>
      <c r="D224" vm="1380">
        <f ca="1"/>
        <v>7.26</v>
      </c>
    </row>
    <row r="225" spans="1:4" x14ac:dyDescent="0.25">
      <c r="A225" vm="647">
        <f ca="1"/>
        <v>45981</v>
      </c>
      <c r="B225" vm="1835">
        <f ca="1"/>
        <v>6.27</v>
      </c>
      <c r="C225" vm="620">
        <f ca="1"/>
        <v>7.97</v>
      </c>
      <c r="D225" vm="1784">
        <f ca="1"/>
        <v>6.25</v>
      </c>
    </row>
    <row r="226" spans="1:4" x14ac:dyDescent="0.25">
      <c r="A226" vm="648">
        <f ca="1"/>
        <v>45982</v>
      </c>
      <c r="B226" vm="1539">
        <f ca="1"/>
        <v>6.7350000000000003</v>
      </c>
      <c r="C226" vm="1353">
        <f ca="1"/>
        <v>6.85</v>
      </c>
      <c r="D226" vm="1540">
        <f ca="1"/>
        <v>5.93</v>
      </c>
    </row>
    <row r="227" spans="1:4" x14ac:dyDescent="0.25">
      <c r="A227" vm="650">
        <f ca="1"/>
        <v>45985</v>
      </c>
      <c r="B227" vm="283">
        <f ca="1"/>
        <v>8.7200000000000006</v>
      </c>
      <c r="C227" vm="552">
        <f ca="1"/>
        <v>8.8000000000000007</v>
      </c>
      <c r="D227" vm="1359">
        <f ca="1"/>
        <v>6.67</v>
      </c>
    </row>
    <row r="228" spans="1:4" x14ac:dyDescent="0.25">
      <c r="A228" vm="651">
        <f ca="1"/>
        <v>45986</v>
      </c>
      <c r="B228" vm="312">
        <f ca="1"/>
        <v>8.44</v>
      </c>
      <c r="C228" vm="428">
        <f ca="1"/>
        <v>8.8800000000000008</v>
      </c>
      <c r="D228" vm="1790">
        <f ca="1"/>
        <v>8.07</v>
      </c>
    </row>
    <row r="229" spans="1:4" x14ac:dyDescent="0.25">
      <c r="A229" vm="653">
        <f ca="1"/>
        <v>45987</v>
      </c>
      <c r="B229" vm="297">
        <f ca="1"/>
        <v>8.24</v>
      </c>
      <c r="C229" vm="354">
        <f ca="1"/>
        <v>8.68</v>
      </c>
      <c r="D229" vm="1836">
        <f ca="1"/>
        <v>7.6849999999999996</v>
      </c>
    </row>
    <row r="230" spans="1:4" x14ac:dyDescent="0.25">
      <c r="A230" vm="655">
        <f ca="1"/>
        <v>45989</v>
      </c>
      <c r="B230" vm="1541">
        <f ca="1"/>
        <v>7.9</v>
      </c>
      <c r="C230" vm="1837">
        <f ca="1"/>
        <v>8.4694000000000003</v>
      </c>
      <c r="D230" vm="1793">
        <f ca="1"/>
        <v>7.8</v>
      </c>
    </row>
    <row r="231" spans="1:4" x14ac:dyDescent="0.25">
      <c r="A231" vm="656">
        <f ca="1"/>
        <v>45992</v>
      </c>
      <c r="B231" vm="1838">
        <f ca="1"/>
        <v>7.58</v>
      </c>
      <c r="C231" vm="1790">
        <f ca="1"/>
        <v>8.07</v>
      </c>
      <c r="D231" vm="1839">
        <f ca="1"/>
        <v>7.47</v>
      </c>
    </row>
    <row r="232" spans="1:4" x14ac:dyDescent="0.25">
      <c r="A232" vm="659">
        <f ca="1"/>
        <v>45993</v>
      </c>
      <c r="B232" vm="1790">
        <f ca="1"/>
        <v>8.07</v>
      </c>
      <c r="C232" vm="364">
        <f ca="1"/>
        <v>8.5500000000000007</v>
      </c>
      <c r="D232" vm="1543">
        <f ca="1"/>
        <v>7.32</v>
      </c>
    </row>
    <row r="233" spans="1:4" x14ac:dyDescent="0.25">
      <c r="A233" vm="660">
        <f ca="1"/>
        <v>45994</v>
      </c>
      <c r="B233" vm="470">
        <f ca="1"/>
        <v>8.92</v>
      </c>
      <c r="C233" vm="1840">
        <f ca="1"/>
        <v>9.1050000000000004</v>
      </c>
      <c r="D233" vm="1535">
        <f ca="1"/>
        <v>7.46</v>
      </c>
    </row>
    <row r="234" spans="1:4" x14ac:dyDescent="0.25">
      <c r="A234" vm="662">
        <f ca="1"/>
        <v>45995</v>
      </c>
      <c r="B234" vm="329">
        <f ca="1"/>
        <v>9.19</v>
      </c>
      <c r="C234" vm="327">
        <f ca="1"/>
        <v>9.34</v>
      </c>
      <c r="D234" vm="625">
        <f ca="1"/>
        <v>8.52</v>
      </c>
    </row>
    <row r="235" spans="1:4" x14ac:dyDescent="0.25">
      <c r="A235" vm="665">
        <f ca="1"/>
        <v>45996</v>
      </c>
      <c r="B235" vm="1542">
        <f ca="1"/>
        <v>9.07</v>
      </c>
      <c r="C235" vm="482">
        <f ca="1"/>
        <v>9.3000000000000007</v>
      </c>
      <c r="D235" vm="351">
        <f ca="1"/>
        <v>8.58</v>
      </c>
    </row>
    <row r="236" spans="1:4" x14ac:dyDescent="0.25">
      <c r="A236" vm="668">
        <f ca="1"/>
        <v>45999</v>
      </c>
      <c r="B236" vm="530">
        <f ca="1"/>
        <v>9.02</v>
      </c>
      <c r="C236" vm="1398">
        <f ca="1"/>
        <v>9.75</v>
      </c>
      <c r="D236" vm="337">
        <f ca="1"/>
        <v>8.9700000000000006</v>
      </c>
    </row>
    <row r="237" spans="1:4" x14ac:dyDescent="0.25">
      <c r="A237" vm="671">
        <f ca="1"/>
        <v>46000</v>
      </c>
      <c r="B237" vm="496">
        <f ca="1"/>
        <v>9.23</v>
      </c>
      <c r="C237" vm="672">
        <f ca="1"/>
        <v>9.86</v>
      </c>
      <c r="D237" vm="229">
        <f ca="1"/>
        <v>8.61</v>
      </c>
    </row>
    <row r="238" spans="1:4" x14ac:dyDescent="0.25">
      <c r="A238" vm="675">
        <f ca="1"/>
        <v>46001</v>
      </c>
      <c r="B238" vm="1544">
        <f ca="1"/>
        <v>8.3249999999999993</v>
      </c>
      <c r="C238" vm="1841">
        <f ca="1"/>
        <v>9.1150000000000002</v>
      </c>
      <c r="D238" vm="593">
        <f ca="1"/>
        <v>8.3049999999999997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7"/>
  <sheetViews>
    <sheetView workbookViewId="0">
      <selection activeCell="B1" activeCellId="1" sqref="A1:A1048576 B1:B1048576"/>
    </sheetView>
  </sheetViews>
  <sheetFormatPr defaultRowHeight="15" x14ac:dyDescent="0.25"/>
  <cols>
    <col min="1" max="1" width="9.42578125" bestFit="1" customWidth="1"/>
  </cols>
  <sheetData>
    <row r="1" spans="1:4" x14ac:dyDescent="0.25">
      <c r="A1" t="str" cm="1">
        <f t="array" aca="1" ref="A1:B237" ca="1">_xlfn.STOCKHISTORY("VNET", DATE(YEAR(TODAY()),1,1), TODAY(), 0, 1)</f>
        <v>Date</v>
      </c>
      <c r="B1" t="str">
        <f ca="1"/>
        <v>Close</v>
      </c>
      <c r="C1" t="s">
        <v>30</v>
      </c>
      <c r="D1" t="s">
        <v>31</v>
      </c>
    </row>
    <row r="2" spans="1:4" x14ac:dyDescent="0.25">
      <c r="A2" vm="1">
        <f ca="1"/>
        <v>45659</v>
      </c>
      <c r="B2" vm="1164">
        <f ca="1"/>
        <v>5.0599999999999996</v>
      </c>
      <c r="C2" cm="1">
        <f t="array" aca="1" ref="C2:C234" ca="1">[1]!LOESS(A2:A234,B2:B234,,20)</f>
        <v>4.9952808622622227</v>
      </c>
      <c r="D2">
        <f ca="1">_xlfn.STDEV.S(B2:B21)</f>
        <v>0.85180304123232464</v>
      </c>
    </row>
    <row r="3" spans="1:4" x14ac:dyDescent="0.25">
      <c r="A3" vm="5">
        <f ca="1"/>
        <v>45660</v>
      </c>
      <c r="B3" vm="1267">
        <f ca="1"/>
        <v>4.95</v>
      </c>
      <c r="C3">
        <f ca="1"/>
        <v>5.0478154720251682</v>
      </c>
      <c r="D3">
        <f t="shared" ref="D3:D66" ca="1" si="0">_xlfn.STDEV.S(B3:B22)</f>
        <v>0.85260344333046612</v>
      </c>
    </row>
    <row r="4" spans="1:4" x14ac:dyDescent="0.25">
      <c r="A4" vm="9">
        <f ca="1"/>
        <v>45663</v>
      </c>
      <c r="B4" vm="1842">
        <f ca="1"/>
        <v>5.18</v>
      </c>
      <c r="C4">
        <f ca="1"/>
        <v>5.211402469413251</v>
      </c>
      <c r="D4">
        <f t="shared" ca="1" si="0"/>
        <v>0.8513634575445016</v>
      </c>
    </row>
    <row r="5" spans="1:4" x14ac:dyDescent="0.25">
      <c r="A5" vm="13">
        <f ca="1"/>
        <v>45664</v>
      </c>
      <c r="B5" vm="1843">
        <f ca="1"/>
        <v>5.57</v>
      </c>
      <c r="C5">
        <f ca="1"/>
        <v>5.2685901327856097</v>
      </c>
      <c r="D5">
        <f t="shared" ca="1" si="0"/>
        <v>0.93837148967324158</v>
      </c>
    </row>
    <row r="6" spans="1:4" x14ac:dyDescent="0.25">
      <c r="A6" vm="15">
        <f ca="1"/>
        <v>45665</v>
      </c>
      <c r="B6" vm="1286">
        <f ca="1"/>
        <v>5.76</v>
      </c>
      <c r="C6">
        <f ca="1"/>
        <v>5.3274746065508518</v>
      </c>
      <c r="D6">
        <f t="shared" ca="1" si="0"/>
        <v>1.0602625047352037</v>
      </c>
    </row>
    <row r="7" spans="1:4" x14ac:dyDescent="0.25">
      <c r="A7" vm="19">
        <f ca="1"/>
        <v>45667</v>
      </c>
      <c r="B7" vm="1844">
        <f ca="1"/>
        <v>5.5</v>
      </c>
      <c r="C7">
        <f ca="1"/>
        <v>5.450731749506855</v>
      </c>
      <c r="D7">
        <f t="shared" ca="1" si="0"/>
        <v>1.1595891967689027</v>
      </c>
    </row>
    <row r="8" spans="1:4" x14ac:dyDescent="0.25">
      <c r="A8" vm="23">
        <f ca="1"/>
        <v>45670</v>
      </c>
      <c r="B8" vm="1845">
        <f ca="1"/>
        <v>5.08</v>
      </c>
      <c r="C8">
        <f ca="1"/>
        <v>5.6469962490920791</v>
      </c>
      <c r="D8">
        <f t="shared" ca="1" si="0"/>
        <v>1.3625850045912085</v>
      </c>
    </row>
    <row r="9" spans="1:4" x14ac:dyDescent="0.25">
      <c r="A9" vm="27">
        <f ca="1"/>
        <v>45671</v>
      </c>
      <c r="B9" vm="1846">
        <f ca="1"/>
        <v>5.4</v>
      </c>
      <c r="C9">
        <f ca="1"/>
        <v>5.7132145704444941</v>
      </c>
      <c r="D9">
        <f t="shared" ca="1" si="0"/>
        <v>1.4262164706146871</v>
      </c>
    </row>
    <row r="10" spans="1:4" x14ac:dyDescent="0.25">
      <c r="A10" vm="31">
        <f ca="1"/>
        <v>45672</v>
      </c>
      <c r="B10" vm="1771">
        <f ca="1"/>
        <v>5.54</v>
      </c>
      <c r="C10">
        <f ca="1"/>
        <v>5.7779411439725736</v>
      </c>
      <c r="D10">
        <f t="shared" ca="1" si="0"/>
        <v>1.6115033843882329</v>
      </c>
    </row>
    <row r="11" spans="1:4" x14ac:dyDescent="0.25">
      <c r="A11" vm="35">
        <f ca="1"/>
        <v>45673</v>
      </c>
      <c r="B11" vm="1847">
        <f ca="1"/>
        <v>5.64</v>
      </c>
      <c r="C11">
        <f ca="1"/>
        <v>5.8406683289744707</v>
      </c>
      <c r="D11">
        <f t="shared" ca="1" si="0"/>
        <v>1.7832178926400317</v>
      </c>
    </row>
    <row r="12" spans="1:4" x14ac:dyDescent="0.25">
      <c r="A12" vm="39">
        <f ca="1"/>
        <v>45674</v>
      </c>
      <c r="B12" vm="1287">
        <f ca="1"/>
        <v>5.6</v>
      </c>
      <c r="C12">
        <f ca="1"/>
        <v>5.9253419601468087</v>
      </c>
      <c r="D12">
        <f t="shared" ca="1" si="0"/>
        <v>1.8739018538586025</v>
      </c>
    </row>
    <row r="13" spans="1:4" x14ac:dyDescent="0.25">
      <c r="A13" vm="43">
        <f ca="1"/>
        <v>45678</v>
      </c>
      <c r="B13" vm="1848">
        <f ca="1"/>
        <v>6.3</v>
      </c>
      <c r="C13">
        <f ca="1"/>
        <v>6.2980311577594144</v>
      </c>
      <c r="D13">
        <f t="shared" ca="1" si="0"/>
        <v>1.956452953151375</v>
      </c>
    </row>
    <row r="14" spans="1:4" x14ac:dyDescent="0.25">
      <c r="A14" vm="47">
        <f ca="1"/>
        <v>45679</v>
      </c>
      <c r="B14" vm="1849">
        <f ca="1"/>
        <v>6.36</v>
      </c>
      <c r="C14">
        <f ca="1"/>
        <v>6.4128369426531719</v>
      </c>
      <c r="D14">
        <f t="shared" ca="1" si="0"/>
        <v>2.1258986335194763</v>
      </c>
    </row>
    <row r="15" spans="1:4" x14ac:dyDescent="0.25">
      <c r="A15" vm="51">
        <f ca="1"/>
        <v>45680</v>
      </c>
      <c r="B15" vm="1353">
        <f ca="1"/>
        <v>6.85</v>
      </c>
      <c r="C15">
        <f ca="1"/>
        <v>6.5271664985855509</v>
      </c>
      <c r="D15">
        <f t="shared" ca="1" si="0"/>
        <v>2.4058316758725198</v>
      </c>
    </row>
    <row r="16" spans="1:4" x14ac:dyDescent="0.25">
      <c r="A16" vm="55">
        <f ca="1"/>
        <v>45681</v>
      </c>
      <c r="B16" vm="1850">
        <f ca="1"/>
        <v>6.99</v>
      </c>
      <c r="C16">
        <f ca="1"/>
        <v>6.6421254828600711</v>
      </c>
      <c r="D16">
        <f t="shared" ca="1" si="0"/>
        <v>2.6084483691913132</v>
      </c>
    </row>
    <row r="17" spans="1:4" x14ac:dyDescent="0.25">
      <c r="A17" vm="59">
        <f ca="1"/>
        <v>45684</v>
      </c>
      <c r="B17" vm="1851">
        <f ca="1"/>
        <v>6.77</v>
      </c>
      <c r="C17">
        <f ca="1"/>
        <v>7.0083337498951082</v>
      </c>
      <c r="D17">
        <f t="shared" ca="1" si="0"/>
        <v>2.647984275573442</v>
      </c>
    </row>
    <row r="18" spans="1:4" x14ac:dyDescent="0.25">
      <c r="A18" vm="63">
        <f ca="1"/>
        <v>45685</v>
      </c>
      <c r="B18" vm="1530">
        <f ca="1"/>
        <v>7.18</v>
      </c>
      <c r="C18">
        <f ca="1"/>
        <v>7.1359038908817602</v>
      </c>
      <c r="D18">
        <f t="shared" ca="1" si="0"/>
        <v>2.6492305114186627</v>
      </c>
    </row>
    <row r="19" spans="1:4" x14ac:dyDescent="0.25">
      <c r="A19" vm="67">
        <f ca="1"/>
        <v>45686</v>
      </c>
      <c r="B19" vm="1852">
        <f ca="1"/>
        <v>7.42</v>
      </c>
      <c r="C19">
        <f ca="1"/>
        <v>7.2700720478467353</v>
      </c>
      <c r="D19">
        <f t="shared" ca="1" si="0"/>
        <v>2.5997638936317955</v>
      </c>
    </row>
    <row r="20" spans="1:4" x14ac:dyDescent="0.25">
      <c r="A20" vm="71">
        <f ca="1"/>
        <v>45687</v>
      </c>
      <c r="B20" vm="1853">
        <f ca="1"/>
        <v>7.48</v>
      </c>
      <c r="C20">
        <f ca="1"/>
        <v>7.4168496536019859</v>
      </c>
      <c r="D20">
        <f t="shared" ca="1" si="0"/>
        <v>2.5022644875771016</v>
      </c>
    </row>
    <row r="21" spans="1:4" x14ac:dyDescent="0.25">
      <c r="A21" vm="75">
        <f ca="1"/>
        <v>45688</v>
      </c>
      <c r="B21" vm="1854">
        <f ca="1"/>
        <v>6.97</v>
      </c>
      <c r="C21">
        <f ca="1"/>
        <v>7.5825246232287284</v>
      </c>
      <c r="D21">
        <f t="shared" ca="1" si="0"/>
        <v>2.3803109455212894</v>
      </c>
    </row>
    <row r="22" spans="1:4" x14ac:dyDescent="0.25">
      <c r="A22" vm="78">
        <f ca="1"/>
        <v>45691</v>
      </c>
      <c r="B22" vm="1855">
        <f ca="1"/>
        <v>7.22</v>
      </c>
      <c r="C22">
        <f ca="1"/>
        <v>8.2493181770441986</v>
      </c>
      <c r="D22">
        <f t="shared" ca="1" si="0"/>
        <v>2.1979986560744864</v>
      </c>
    </row>
    <row r="23" spans="1:4" x14ac:dyDescent="0.25">
      <c r="A23" vm="82">
        <f ca="1"/>
        <v>45692</v>
      </c>
      <c r="B23" vm="1856">
        <f ca="1"/>
        <v>7.54</v>
      </c>
      <c r="C23">
        <f ca="1"/>
        <v>8.435445960639484</v>
      </c>
      <c r="D23">
        <f t="shared" ca="1" si="0"/>
        <v>1.9952713012995169</v>
      </c>
    </row>
    <row r="24" spans="1:4" x14ac:dyDescent="0.25">
      <c r="A24" vm="85">
        <f ca="1"/>
        <v>45693</v>
      </c>
      <c r="B24" vm="558">
        <f ca="1"/>
        <v>8.51</v>
      </c>
      <c r="C24">
        <f ca="1"/>
        <v>8.6892955087027275</v>
      </c>
      <c r="D24">
        <f t="shared" ca="1" si="0"/>
        <v>1.7918510533435641</v>
      </c>
    </row>
    <row r="25" spans="1:4" x14ac:dyDescent="0.25">
      <c r="A25" vm="88">
        <f ca="1"/>
        <v>45694</v>
      </c>
      <c r="B25" vm="586">
        <f ca="1"/>
        <v>8.94</v>
      </c>
      <c r="C25">
        <f ca="1"/>
        <v>8.9579329887540915</v>
      </c>
      <c r="D25">
        <f t="shared" ca="1" si="0"/>
        <v>1.6375883061766028</v>
      </c>
    </row>
    <row r="26" spans="1:4" x14ac:dyDescent="0.25">
      <c r="A26" vm="92">
        <f ca="1"/>
        <v>45695</v>
      </c>
      <c r="B26" vm="331">
        <f ca="1"/>
        <v>9</v>
      </c>
      <c r="C26">
        <f ca="1"/>
        <v>9.2379505385985237</v>
      </c>
      <c r="D26">
        <f t="shared" ca="1" si="0"/>
        <v>1.4975115103678551</v>
      </c>
    </row>
    <row r="27" spans="1:4" x14ac:dyDescent="0.25">
      <c r="A27" vm="95">
        <f ca="1"/>
        <v>45698</v>
      </c>
      <c r="B27" vm="1857">
        <f ca="1"/>
        <v>10.37</v>
      </c>
      <c r="C27">
        <f ca="1"/>
        <v>10.171177018683203</v>
      </c>
      <c r="D27">
        <f t="shared" ca="1" si="0"/>
        <v>1.3385006094802274</v>
      </c>
    </row>
    <row r="28" spans="1:4" x14ac:dyDescent="0.25">
      <c r="A28" vm="98">
        <f ca="1"/>
        <v>45699</v>
      </c>
      <c r="B28" vm="570">
        <f ca="1"/>
        <v>9.9700000000000006</v>
      </c>
      <c r="C28">
        <f ca="1"/>
        <v>10.519312492817672</v>
      </c>
      <c r="D28">
        <f t="shared" ca="1" si="0"/>
        <v>1.2804884707346031</v>
      </c>
    </row>
    <row r="29" spans="1:4" x14ac:dyDescent="0.25">
      <c r="A29" vm="101">
        <f ca="1"/>
        <v>45700</v>
      </c>
      <c r="B29" vm="887">
        <f ca="1"/>
        <v>11.31</v>
      </c>
      <c r="C29">
        <f ca="1"/>
        <v>10.872729589343299</v>
      </c>
      <c r="D29">
        <f t="shared" ca="1" si="0"/>
        <v>1.2083258045742462</v>
      </c>
    </row>
    <row r="30" spans="1:4" x14ac:dyDescent="0.25">
      <c r="A30" vm="105">
        <f ca="1"/>
        <v>45701</v>
      </c>
      <c r="B30" vm="1858">
        <f ca="1"/>
        <v>11.75</v>
      </c>
      <c r="C30">
        <f ca="1"/>
        <v>11.214159842822156</v>
      </c>
      <c r="D30">
        <f t="shared" ca="1" si="0"/>
        <v>1.2584004832785998</v>
      </c>
    </row>
    <row r="31" spans="1:4" x14ac:dyDescent="0.25">
      <c r="A31" vm="109">
        <f ca="1"/>
        <v>45702</v>
      </c>
      <c r="B31" vm="976">
        <f ca="1"/>
        <v>11.54</v>
      </c>
      <c r="C31">
        <f ca="1"/>
        <v>11.526873023455206</v>
      </c>
      <c r="D31">
        <f t="shared" ca="1" si="0"/>
        <v>1.2601527424128098</v>
      </c>
    </row>
    <row r="32" spans="1:4" x14ac:dyDescent="0.25">
      <c r="A32" vm="111">
        <f ca="1"/>
        <v>45706</v>
      </c>
      <c r="B32" vm="1859">
        <f ca="1"/>
        <v>12.06</v>
      </c>
      <c r="C32">
        <f ca="1"/>
        <v>12.407671758149533</v>
      </c>
      <c r="D32">
        <f t="shared" ca="1" si="0"/>
        <v>1.2645072630953966</v>
      </c>
    </row>
    <row r="33" spans="1:4" x14ac:dyDescent="0.25">
      <c r="A33" vm="115">
        <f ca="1"/>
        <v>45707</v>
      </c>
      <c r="B33" vm="1860">
        <f ca="1"/>
        <v>13.04</v>
      </c>
      <c r="C33">
        <f ca="1"/>
        <v>12.541614111155567</v>
      </c>
      <c r="D33">
        <f t="shared" ca="1" si="0"/>
        <v>1.2912962428668719</v>
      </c>
    </row>
    <row r="34" spans="1:4" x14ac:dyDescent="0.25">
      <c r="A34" vm="119">
        <f ca="1"/>
        <v>45708</v>
      </c>
      <c r="B34" vm="1861">
        <f ca="1"/>
        <v>14.68</v>
      </c>
      <c r="C34">
        <f ca="1"/>
        <v>12.632651681942294</v>
      </c>
      <c r="D34">
        <f t="shared" ca="1" si="0"/>
        <v>1.3582131014488568</v>
      </c>
    </row>
    <row r="35" spans="1:4" x14ac:dyDescent="0.25">
      <c r="A35" vm="123">
        <f ca="1"/>
        <v>45709</v>
      </c>
      <c r="B35" vm="1862">
        <f ca="1"/>
        <v>14.59</v>
      </c>
      <c r="C35">
        <f ca="1"/>
        <v>12.689352139635922</v>
      </c>
      <c r="D35">
        <f t="shared" ca="1" si="0"/>
        <v>1.3531857878043685</v>
      </c>
    </row>
    <row r="36" spans="1:4" x14ac:dyDescent="0.25">
      <c r="A36" vm="127">
        <f ca="1"/>
        <v>45712</v>
      </c>
      <c r="B36" vm="1863">
        <f ca="1"/>
        <v>13.285</v>
      </c>
      <c r="C36">
        <f ca="1"/>
        <v>12.726125992392557</v>
      </c>
      <c r="D36">
        <f t="shared" ca="1" si="0"/>
        <v>1.3078882889282974</v>
      </c>
    </row>
    <row r="37" spans="1:4" x14ac:dyDescent="0.25">
      <c r="A37" vm="131">
        <f ca="1"/>
        <v>45713</v>
      </c>
      <c r="B37" vm="1864">
        <f ca="1"/>
        <v>13.55</v>
      </c>
      <c r="C37">
        <f ca="1"/>
        <v>12.664868803095619</v>
      </c>
      <c r="D37">
        <f t="shared" ca="1" si="0"/>
        <v>1.3187964010295135</v>
      </c>
    </row>
    <row r="38" spans="1:4" x14ac:dyDescent="0.25">
      <c r="A38" vm="135">
        <f ca="1"/>
        <v>45714</v>
      </c>
      <c r="B38" vm="1020">
        <f ca="1"/>
        <v>12.88</v>
      </c>
      <c r="C38">
        <f ca="1"/>
        <v>12.564888601261021</v>
      </c>
      <c r="D38">
        <f t="shared" ca="1" si="0"/>
        <v>1.3089972055778241</v>
      </c>
    </row>
    <row r="39" spans="1:4" x14ac:dyDescent="0.25">
      <c r="A39" vm="139">
        <f ca="1"/>
        <v>45715</v>
      </c>
      <c r="B39" vm="874">
        <f ca="1"/>
        <v>11.91</v>
      </c>
      <c r="C39">
        <f ca="1"/>
        <v>12.442605408374781</v>
      </c>
      <c r="D39">
        <f t="shared" ca="1" si="0"/>
        <v>1.2848505954513081</v>
      </c>
    </row>
    <row r="40" spans="1:4" x14ac:dyDescent="0.25">
      <c r="A40" vm="143">
        <f ca="1"/>
        <v>45716</v>
      </c>
      <c r="B40" vm="950">
        <f ca="1"/>
        <v>11.73</v>
      </c>
      <c r="C40">
        <f ca="1"/>
        <v>12.314121953005095</v>
      </c>
      <c r="D40">
        <f t="shared" ca="1" si="0"/>
        <v>1.2976756548780541</v>
      </c>
    </row>
    <row r="41" spans="1:4" x14ac:dyDescent="0.25">
      <c r="A41" vm="147">
        <f ca="1"/>
        <v>45719</v>
      </c>
      <c r="B41" vm="745">
        <f ca="1"/>
        <v>9.9600000000000009</v>
      </c>
      <c r="C41">
        <f ca="1"/>
        <v>11.925581630261807</v>
      </c>
      <c r="D41">
        <f t="shared" ca="1" si="0"/>
        <v>1.3555251458577275</v>
      </c>
    </row>
    <row r="42" spans="1:4" x14ac:dyDescent="0.25">
      <c r="A42" vm="151">
        <f ca="1"/>
        <v>45720</v>
      </c>
      <c r="B42" vm="1865">
        <f ca="1"/>
        <v>10.71</v>
      </c>
      <c r="C42">
        <f ca="1"/>
        <v>11.75129450622325</v>
      </c>
      <c r="D42">
        <f t="shared" ca="1" si="0"/>
        <v>1.4350587737826512</v>
      </c>
    </row>
    <row r="43" spans="1:4" x14ac:dyDescent="0.25">
      <c r="A43" vm="155">
        <f ca="1"/>
        <v>45721</v>
      </c>
      <c r="B43" vm="1866">
        <f ca="1"/>
        <v>12.47</v>
      </c>
      <c r="C43">
        <f ca="1"/>
        <v>11.638040415739892</v>
      </c>
      <c r="D43">
        <f t="shared" ca="1" si="0"/>
        <v>1.5225113429704524</v>
      </c>
    </row>
    <row r="44" spans="1:4" x14ac:dyDescent="0.25">
      <c r="A44" vm="159">
        <f ca="1"/>
        <v>45722</v>
      </c>
      <c r="B44" vm="1867">
        <f ca="1"/>
        <v>12.07</v>
      </c>
      <c r="C44">
        <f ca="1"/>
        <v>11.542292216109425</v>
      </c>
      <c r="D44">
        <f t="shared" ca="1" si="0"/>
        <v>1.4749647631830416</v>
      </c>
    </row>
    <row r="45" spans="1:4" x14ac:dyDescent="0.25">
      <c r="A45" vm="162">
        <f ca="1"/>
        <v>45723</v>
      </c>
      <c r="B45" vm="150">
        <f ca="1"/>
        <v>11.47</v>
      </c>
      <c r="C45">
        <f ca="1"/>
        <v>11.461052419204798</v>
      </c>
      <c r="D45">
        <f t="shared" ca="1" si="0"/>
        <v>1.4844903431640657</v>
      </c>
    </row>
    <row r="46" spans="1:4" x14ac:dyDescent="0.25">
      <c r="A46" vm="165">
        <f ca="1"/>
        <v>45726</v>
      </c>
      <c r="B46" vm="1868">
        <f ca="1"/>
        <v>11.43</v>
      </c>
      <c r="C46">
        <f ca="1"/>
        <v>11.258792192387903</v>
      </c>
      <c r="D46">
        <f t="shared" ca="1" si="0"/>
        <v>1.5856839799312363</v>
      </c>
    </row>
    <row r="47" spans="1:4" x14ac:dyDescent="0.25">
      <c r="A47" vm="169">
        <f ca="1"/>
        <v>45727</v>
      </c>
      <c r="B47" vm="874">
        <f ca="1"/>
        <v>11.91</v>
      </c>
      <c r="C47">
        <f ca="1"/>
        <v>11.179761616916046</v>
      </c>
      <c r="D47">
        <f t="shared" ca="1" si="0"/>
        <v>1.6385085483933037</v>
      </c>
    </row>
    <row r="48" spans="1:4" x14ac:dyDescent="0.25">
      <c r="A48" vm="172">
        <f ca="1"/>
        <v>45728</v>
      </c>
      <c r="B48" vm="215">
        <f ca="1"/>
        <v>11</v>
      </c>
      <c r="C48">
        <f ca="1"/>
        <v>11.085005823204998</v>
      </c>
      <c r="D48">
        <f t="shared" ca="1" si="0"/>
        <v>1.6660854688381663</v>
      </c>
    </row>
    <row r="49" spans="1:4" x14ac:dyDescent="0.25">
      <c r="A49" vm="176">
        <f ca="1"/>
        <v>45729</v>
      </c>
      <c r="B49" vm="1405">
        <f ca="1"/>
        <v>10.4</v>
      </c>
      <c r="C49">
        <f ca="1"/>
        <v>10.970325251165129</v>
      </c>
      <c r="D49">
        <f t="shared" ca="1" si="0"/>
        <v>1.7058872517811534</v>
      </c>
    </row>
    <row r="50" spans="1:4" x14ac:dyDescent="0.25">
      <c r="A50" vm="178">
        <f ca="1"/>
        <v>45730</v>
      </c>
      <c r="B50" vm="194">
        <f ca="1"/>
        <v>11.65</v>
      </c>
      <c r="C50">
        <f ca="1"/>
        <v>10.834802700570631</v>
      </c>
      <c r="D50">
        <f t="shared" ca="1" si="0"/>
        <v>1.7660106693365472</v>
      </c>
    </row>
    <row r="51" spans="1:4" x14ac:dyDescent="0.25">
      <c r="A51" vm="182">
        <f ca="1"/>
        <v>45733</v>
      </c>
      <c r="B51" vm="206">
        <f ca="1"/>
        <v>11.38</v>
      </c>
      <c r="C51">
        <f ca="1"/>
        <v>10.331822174090632</v>
      </c>
      <c r="D51">
        <f t="shared" ca="1" si="0"/>
        <v>1.689370717472227</v>
      </c>
    </row>
    <row r="52" spans="1:4" x14ac:dyDescent="0.25">
      <c r="A52" vm="185">
        <f ca="1"/>
        <v>45734</v>
      </c>
      <c r="B52" vm="1869">
        <f ca="1"/>
        <v>10.94</v>
      </c>
      <c r="C52">
        <f ca="1"/>
        <v>10.153390940001611</v>
      </c>
      <c r="D52">
        <f t="shared" ca="1" si="0"/>
        <v>1.5841493649673053</v>
      </c>
    </row>
    <row r="53" spans="1:4" x14ac:dyDescent="0.25">
      <c r="A53" vm="189">
        <f ca="1"/>
        <v>45735</v>
      </c>
      <c r="B53" vm="1870">
        <f ca="1"/>
        <v>9.85</v>
      </c>
      <c r="C53">
        <f ca="1"/>
        <v>9.9733715378871857</v>
      </c>
      <c r="D53">
        <f t="shared" ca="1" si="0"/>
        <v>1.4758508696591615</v>
      </c>
    </row>
    <row r="54" spans="1:4" x14ac:dyDescent="0.25">
      <c r="A54" vm="193">
        <f ca="1"/>
        <v>45736</v>
      </c>
      <c r="B54" vm="476">
        <f ca="1"/>
        <v>8.86</v>
      </c>
      <c r="C54">
        <f ca="1"/>
        <v>9.7924272078991041</v>
      </c>
      <c r="D54">
        <f t="shared" ca="1" si="0"/>
        <v>1.4824420641914486</v>
      </c>
    </row>
    <row r="55" spans="1:4" x14ac:dyDescent="0.25">
      <c r="A55" vm="197">
        <f ca="1"/>
        <v>45737</v>
      </c>
      <c r="B55" vm="300">
        <f ca="1"/>
        <v>8.7100000000000009</v>
      </c>
      <c r="C55">
        <f ca="1"/>
        <v>9.6125204273631937</v>
      </c>
      <c r="D55">
        <f t="shared" ca="1" si="0"/>
        <v>1.5051045601027491</v>
      </c>
    </row>
    <row r="56" spans="1:4" x14ac:dyDescent="0.25">
      <c r="A56" vm="199">
        <f ca="1"/>
        <v>45740</v>
      </c>
      <c r="B56" vm="338">
        <f ca="1"/>
        <v>8.99</v>
      </c>
      <c r="C56">
        <f ca="1"/>
        <v>9.0749103757736584</v>
      </c>
      <c r="D56">
        <f t="shared" ca="1" si="0"/>
        <v>1.526655787902705</v>
      </c>
    </row>
    <row r="57" spans="1:4" x14ac:dyDescent="0.25">
      <c r="A57" vm="203">
        <f ca="1"/>
        <v>45741</v>
      </c>
      <c r="B57" vm="468">
        <f ca="1"/>
        <v>8.48</v>
      </c>
      <c r="C57">
        <f ca="1"/>
        <v>8.890848465714253</v>
      </c>
      <c r="D57">
        <f t="shared" ca="1" si="0"/>
        <v>1.4955161052468235</v>
      </c>
    </row>
    <row r="58" spans="1:4" x14ac:dyDescent="0.25">
      <c r="A58" vm="207">
        <f ca="1"/>
        <v>45742</v>
      </c>
      <c r="B58" vm="630">
        <f ca="1"/>
        <v>8.9</v>
      </c>
      <c r="C58">
        <f ca="1"/>
        <v>8.7081981353964473</v>
      </c>
      <c r="D58">
        <f t="shared" ca="1" si="0"/>
        <v>1.4551450461253559</v>
      </c>
    </row>
    <row r="59" spans="1:4" x14ac:dyDescent="0.25">
      <c r="A59" vm="209">
        <f ca="1"/>
        <v>45743</v>
      </c>
      <c r="B59" vm="429">
        <f ca="1"/>
        <v>9.01</v>
      </c>
      <c r="C59">
        <f ca="1"/>
        <v>8.5301425675571032</v>
      </c>
      <c r="D59">
        <f t="shared" ca="1" si="0"/>
        <v>1.3511759985092131</v>
      </c>
    </row>
    <row r="60" spans="1:4" x14ac:dyDescent="0.25">
      <c r="A60" vm="212">
        <f ca="1"/>
        <v>45744</v>
      </c>
      <c r="B60" vm="598">
        <f ca="1"/>
        <v>8.25</v>
      </c>
      <c r="C60">
        <f ca="1"/>
        <v>8.3541026239534943</v>
      </c>
      <c r="D60">
        <f t="shared" ca="1" si="0"/>
        <v>1.2000153507790035</v>
      </c>
    </row>
    <row r="61" spans="1:4" x14ac:dyDescent="0.25">
      <c r="A61" vm="216">
        <f ca="1"/>
        <v>45747</v>
      </c>
      <c r="B61" vm="603">
        <f ca="1"/>
        <v>8.1999999999999993</v>
      </c>
      <c r="C61">
        <f ca="1"/>
        <v>7.826783998122659</v>
      </c>
      <c r="D61">
        <f t="shared" ca="1" si="0"/>
        <v>1.0942648337197858</v>
      </c>
    </row>
    <row r="62" spans="1:4" x14ac:dyDescent="0.25">
      <c r="A62" vm="220">
        <f ca="1"/>
        <v>45748</v>
      </c>
      <c r="B62" vm="232">
        <f ca="1"/>
        <v>7.88</v>
      </c>
      <c r="C62">
        <f ca="1"/>
        <v>7.6383419710980895</v>
      </c>
      <c r="D62">
        <f t="shared" ca="1" si="0"/>
        <v>0.95896805830127363</v>
      </c>
    </row>
    <row r="63" spans="1:4" x14ac:dyDescent="0.25">
      <c r="A63" vm="223">
        <f ca="1"/>
        <v>45749</v>
      </c>
      <c r="B63" vm="1871">
        <f ca="1"/>
        <v>8.1199999999999992</v>
      </c>
      <c r="C63">
        <f ca="1"/>
        <v>7.4401548342578483</v>
      </c>
      <c r="D63">
        <f t="shared" ca="1" si="0"/>
        <v>0.83815335865913376</v>
      </c>
    </row>
    <row r="64" spans="1:4" x14ac:dyDescent="0.25">
      <c r="A64" vm="224">
        <f ca="1"/>
        <v>45750</v>
      </c>
      <c r="B64" vm="1370">
        <f ca="1"/>
        <v>7.33</v>
      </c>
      <c r="C64">
        <f ca="1"/>
        <v>7.2387162175331277</v>
      </c>
      <c r="D64">
        <f t="shared" ca="1" si="0"/>
        <v>0.64164652508830822</v>
      </c>
    </row>
    <row r="65" spans="1:4" x14ac:dyDescent="0.25">
      <c r="A65" vm="227">
        <f ca="1"/>
        <v>45751</v>
      </c>
      <c r="B65" vm="1825">
        <f ca="1"/>
        <v>6.39</v>
      </c>
      <c r="C65">
        <f ca="1"/>
        <v>7.0425671810888151</v>
      </c>
      <c r="D65">
        <f t="shared" ca="1" si="0"/>
        <v>0.60890842799571843</v>
      </c>
    </row>
    <row r="66" spans="1:4" x14ac:dyDescent="0.25">
      <c r="A66" vm="231">
        <f ca="1"/>
        <v>45754</v>
      </c>
      <c r="B66" vm="1537">
        <f ca="1"/>
        <v>6.44</v>
      </c>
      <c r="C66">
        <f ca="1"/>
        <v>6.4750110454473777</v>
      </c>
      <c r="D66">
        <f t="shared" ca="1" si="0"/>
        <v>0.65714113680717479</v>
      </c>
    </row>
    <row r="67" spans="1:4" x14ac:dyDescent="0.25">
      <c r="A67" vm="235">
        <f ca="1"/>
        <v>45755</v>
      </c>
      <c r="B67" vm="1821">
        <f ca="1"/>
        <v>5.77</v>
      </c>
      <c r="C67">
        <f ca="1"/>
        <v>6.285341893854083</v>
      </c>
      <c r="D67">
        <f t="shared" ref="D67:D130" ca="1" si="1">_xlfn.STDEV.S(B67:B86)</f>
        <v>0.68628596157333754</v>
      </c>
    </row>
    <row r="68" spans="1:4" x14ac:dyDescent="0.25">
      <c r="A68" vm="239">
        <f ca="1"/>
        <v>45756</v>
      </c>
      <c r="B68" vm="1872">
        <f ca="1"/>
        <v>5.9</v>
      </c>
      <c r="C68">
        <f ca="1"/>
        <v>6.1020623462645052</v>
      </c>
      <c r="D68">
        <f t="shared" ca="1" si="1"/>
        <v>0.69960044988098824</v>
      </c>
    </row>
    <row r="69" spans="1:4" x14ac:dyDescent="0.25">
      <c r="A69" vm="243">
        <f ca="1"/>
        <v>45757</v>
      </c>
      <c r="B69" vm="1873">
        <f ca="1"/>
        <v>5.67</v>
      </c>
      <c r="C69">
        <f ca="1"/>
        <v>5.9319216145405544</v>
      </c>
      <c r="D69">
        <f t="shared" ca="1" si="1"/>
        <v>0.70132862632668047</v>
      </c>
    </row>
    <row r="70" spans="1:4" x14ac:dyDescent="0.25">
      <c r="A70" vm="247">
        <f ca="1"/>
        <v>45758</v>
      </c>
      <c r="B70" vm="1771">
        <f ca="1"/>
        <v>5.54</v>
      </c>
      <c r="C70">
        <f ca="1"/>
        <v>5.7809745965915109</v>
      </c>
      <c r="D70">
        <f t="shared" ca="1" si="1"/>
        <v>0.70318149188266665</v>
      </c>
    </row>
    <row r="71" spans="1:4" x14ac:dyDescent="0.25">
      <c r="A71" vm="251">
        <f ca="1"/>
        <v>45761</v>
      </c>
      <c r="B71" vm="1844">
        <f ca="1"/>
        <v>5.5</v>
      </c>
      <c r="C71">
        <f ca="1"/>
        <v>5.4573158257815875</v>
      </c>
      <c r="D71">
        <f t="shared" ca="1" si="1"/>
        <v>0.77603089330800701</v>
      </c>
    </row>
    <row r="72" spans="1:4" x14ac:dyDescent="0.25">
      <c r="A72" vm="255">
        <f ca="1"/>
        <v>45762</v>
      </c>
      <c r="B72" vm="1276">
        <f ca="1"/>
        <v>5.39</v>
      </c>
      <c r="C72">
        <f ca="1"/>
        <v>5.3866809055578049</v>
      </c>
      <c r="D72">
        <f t="shared" ca="1" si="1"/>
        <v>0.78211858032155868</v>
      </c>
    </row>
    <row r="73" spans="1:4" x14ac:dyDescent="0.25">
      <c r="A73" vm="259">
        <f ca="1"/>
        <v>45763</v>
      </c>
      <c r="B73" vm="1874">
        <f ca="1"/>
        <v>4.74</v>
      </c>
      <c r="C73">
        <f ca="1"/>
        <v>5.3330247905459709</v>
      </c>
      <c r="D73">
        <f t="shared" ca="1" si="1"/>
        <v>0.77775385092687888</v>
      </c>
    </row>
    <row r="74" spans="1:4" x14ac:dyDescent="0.25">
      <c r="A74" vm="263">
        <f ca="1"/>
        <v>45764</v>
      </c>
      <c r="B74" vm="1875">
        <f ca="1"/>
        <v>5.0199999999999996</v>
      </c>
      <c r="C74">
        <f ca="1"/>
        <v>5.2942585858089597</v>
      </c>
      <c r="D74">
        <f t="shared" ca="1" si="1"/>
        <v>0.72755882381102488</v>
      </c>
    </row>
    <row r="75" spans="1:4" x14ac:dyDescent="0.25">
      <c r="A75" vm="267">
        <f ca="1"/>
        <v>45768</v>
      </c>
      <c r="B75" vm="1262">
        <f ca="1"/>
        <v>4.8</v>
      </c>
      <c r="C75">
        <f ca="1"/>
        <v>5.2885915105685424</v>
      </c>
      <c r="D75">
        <f t="shared" ca="1" si="1"/>
        <v>0.69833561528748533</v>
      </c>
    </row>
    <row r="76" spans="1:4" x14ac:dyDescent="0.25">
      <c r="A76" vm="271">
        <f ca="1"/>
        <v>45769</v>
      </c>
      <c r="B76" vm="1876">
        <f ca="1"/>
        <v>4.87</v>
      </c>
      <c r="C76">
        <f ca="1"/>
        <v>5.3262817512974294</v>
      </c>
      <c r="D76">
        <f t="shared" ca="1" si="1"/>
        <v>0.63578712094371403</v>
      </c>
    </row>
    <row r="77" spans="1:4" x14ac:dyDescent="0.25">
      <c r="A77" vm="274">
        <f ca="1"/>
        <v>45770</v>
      </c>
      <c r="B77" vm="1877">
        <f ca="1"/>
        <v>5.29</v>
      </c>
      <c r="C77">
        <f ca="1"/>
        <v>5.3818231707290138</v>
      </c>
      <c r="D77">
        <f t="shared" ca="1" si="1"/>
        <v>0.56416939412126743</v>
      </c>
    </row>
    <row r="78" spans="1:4" x14ac:dyDescent="0.25">
      <c r="A78" vm="278">
        <f ca="1"/>
        <v>45771</v>
      </c>
      <c r="B78" vm="1878">
        <f ca="1"/>
        <v>5.42</v>
      </c>
      <c r="C78">
        <f ca="1"/>
        <v>5.4539921814718877</v>
      </c>
      <c r="D78">
        <f t="shared" ca="1" si="1"/>
        <v>0.52646887247415741</v>
      </c>
    </row>
    <row r="79" spans="1:4" x14ac:dyDescent="0.25">
      <c r="A79" vm="282">
        <f ca="1"/>
        <v>45772</v>
      </c>
      <c r="B79" vm="1295">
        <f ca="1"/>
        <v>5.38</v>
      </c>
      <c r="C79">
        <f ca="1"/>
        <v>5.5368733154933212</v>
      </c>
      <c r="D79">
        <f t="shared" ca="1" si="1"/>
        <v>0.49237849155641272</v>
      </c>
    </row>
    <row r="80" spans="1:4" x14ac:dyDescent="0.25">
      <c r="A80" vm="286">
        <f ca="1"/>
        <v>45775</v>
      </c>
      <c r="B80" vm="1879">
        <f ca="1"/>
        <v>5.44</v>
      </c>
      <c r="C80">
        <f ca="1"/>
        <v>5.8039194308922237</v>
      </c>
      <c r="D80">
        <f t="shared" ca="1" si="1"/>
        <v>0.45141145602607269</v>
      </c>
    </row>
    <row r="81" spans="1:4" x14ac:dyDescent="0.25">
      <c r="A81" vm="290">
        <f ca="1"/>
        <v>45776</v>
      </c>
      <c r="B81" vm="1316">
        <f ca="1"/>
        <v>5.66</v>
      </c>
      <c r="C81">
        <f ca="1"/>
        <v>5.8969088811360324</v>
      </c>
      <c r="D81">
        <f t="shared" ca="1" si="1"/>
        <v>0.40884778727283672</v>
      </c>
    </row>
    <row r="82" spans="1:4" x14ac:dyDescent="0.25">
      <c r="A82" vm="292">
        <f ca="1"/>
        <v>45777</v>
      </c>
      <c r="B82" vm="1816">
        <f ca="1"/>
        <v>6.29</v>
      </c>
      <c r="C82">
        <f ca="1"/>
        <v>5.9869698525332513</v>
      </c>
      <c r="D82">
        <f t="shared" ca="1" si="1"/>
        <v>0.43586536731088499</v>
      </c>
    </row>
    <row r="83" spans="1:4" x14ac:dyDescent="0.25">
      <c r="A83" vm="295">
        <f ca="1"/>
        <v>45778</v>
      </c>
      <c r="B83" vm="1835">
        <f ca="1"/>
        <v>6.27</v>
      </c>
      <c r="C83">
        <f ca="1"/>
        <v>6.071825764970793</v>
      </c>
      <c r="D83">
        <f t="shared" ca="1" si="1"/>
        <v>0.4766066319082724</v>
      </c>
    </row>
    <row r="84" spans="1:4" x14ac:dyDescent="0.25">
      <c r="A84" vm="298">
        <f ca="1"/>
        <v>45779</v>
      </c>
      <c r="B84" vm="1880">
        <f ca="1"/>
        <v>7.08</v>
      </c>
      <c r="C84">
        <f ca="1"/>
        <v>6.1495584178637817</v>
      </c>
      <c r="D84">
        <f t="shared" ca="1" si="1"/>
        <v>0.52091588117771759</v>
      </c>
    </row>
    <row r="85" spans="1:4" x14ac:dyDescent="0.25">
      <c r="A85" vm="302">
        <f ca="1"/>
        <v>45782</v>
      </c>
      <c r="B85" vm="1881">
        <f ca="1"/>
        <v>6.96</v>
      </c>
      <c r="C85">
        <f ca="1"/>
        <v>6.3582077825295151</v>
      </c>
      <c r="D85">
        <f t="shared" ca="1" si="1"/>
        <v>0.50397231283599619</v>
      </c>
    </row>
    <row r="86" spans="1:4" x14ac:dyDescent="0.25">
      <c r="A86" vm="304">
        <f ca="1"/>
        <v>45783</v>
      </c>
      <c r="B86" vm="242">
        <f ca="1"/>
        <v>6.83</v>
      </c>
      <c r="C86">
        <f ca="1"/>
        <v>6.39544615826554</v>
      </c>
      <c r="D86">
        <f t="shared" ca="1" si="1"/>
        <v>0.48427176743729566</v>
      </c>
    </row>
    <row r="87" spans="1:4" x14ac:dyDescent="0.25">
      <c r="A87" vm="307">
        <f ca="1"/>
        <v>45784</v>
      </c>
      <c r="B87" vm="1848">
        <f ca="1"/>
        <v>6.3</v>
      </c>
      <c r="C87">
        <f ca="1"/>
        <v>6.4218877353410795</v>
      </c>
      <c r="D87">
        <f t="shared" ca="1" si="1"/>
        <v>0.45413560170596862</v>
      </c>
    </row>
    <row r="88" spans="1:4" x14ac:dyDescent="0.25">
      <c r="A88" vm="310">
        <f ca="1"/>
        <v>45785</v>
      </c>
      <c r="B88" vm="1322">
        <f ca="1"/>
        <v>6</v>
      </c>
      <c r="C88">
        <f ca="1"/>
        <v>6.4374571822387452</v>
      </c>
      <c r="D88">
        <f t="shared" ca="1" si="1"/>
        <v>0.44979666458710466</v>
      </c>
    </row>
    <row r="89" spans="1:4" x14ac:dyDescent="0.25">
      <c r="A89" vm="314">
        <f ca="1"/>
        <v>45786</v>
      </c>
      <c r="B89" vm="1819">
        <f ca="1"/>
        <v>5.96</v>
      </c>
      <c r="C89">
        <f ca="1"/>
        <v>6.4428225636061756</v>
      </c>
      <c r="D89">
        <f t="shared" ca="1" si="1"/>
        <v>0.45045963368424857</v>
      </c>
    </row>
    <row r="90" spans="1:4" x14ac:dyDescent="0.25">
      <c r="A90" vm="316">
        <f ca="1"/>
        <v>45789</v>
      </c>
      <c r="B90" vm="1788">
        <f ca="1"/>
        <v>7.23</v>
      </c>
      <c r="C90">
        <f ca="1"/>
        <v>6.3996054503504212</v>
      </c>
      <c r="D90">
        <f t="shared" ca="1" si="1"/>
        <v>0.45122486808568901</v>
      </c>
    </row>
    <row r="91" spans="1:4" x14ac:dyDescent="0.25">
      <c r="A91" vm="320">
        <f ca="1"/>
        <v>45790</v>
      </c>
      <c r="B91" vm="1825">
        <f ca="1"/>
        <v>6.39</v>
      </c>
      <c r="C91">
        <f ca="1"/>
        <v>6.3762523059486682</v>
      </c>
      <c r="D91">
        <f t="shared" ca="1" si="1"/>
        <v>0.35167372363419031</v>
      </c>
    </row>
    <row r="92" spans="1:4" x14ac:dyDescent="0.25">
      <c r="A92" vm="324">
        <f ca="1"/>
        <v>45791</v>
      </c>
      <c r="B92" vm="1882">
        <f ca="1"/>
        <v>6.23</v>
      </c>
      <c r="C92">
        <f ca="1"/>
        <v>6.3520916700894441</v>
      </c>
      <c r="D92">
        <f t="shared" ca="1" si="1"/>
        <v>0.33769058946101294</v>
      </c>
    </row>
    <row r="93" spans="1:4" x14ac:dyDescent="0.25">
      <c r="A93" vm="328">
        <f ca="1"/>
        <v>45792</v>
      </c>
      <c r="B93" vm="1883">
        <f ca="1"/>
        <v>5.99</v>
      </c>
      <c r="C93">
        <f ca="1"/>
        <v>6.3289980832070443</v>
      </c>
      <c r="D93">
        <f t="shared" ca="1" si="1"/>
        <v>0.33288719046990589</v>
      </c>
    </row>
    <row r="94" spans="1:4" x14ac:dyDescent="0.25">
      <c r="A94" vm="332">
        <f ca="1"/>
        <v>45793</v>
      </c>
      <c r="B94" vm="1884">
        <f ca="1"/>
        <v>6.43</v>
      </c>
      <c r="C94">
        <f ca="1"/>
        <v>6.3050240095279353</v>
      </c>
      <c r="D94">
        <f t="shared" ca="1" si="1"/>
        <v>0.34959854796157569</v>
      </c>
    </row>
    <row r="95" spans="1:4" x14ac:dyDescent="0.25">
      <c r="A95" vm="336">
        <f ca="1"/>
        <v>45796</v>
      </c>
      <c r="B95" vm="1848">
        <f ca="1"/>
        <v>6.3</v>
      </c>
      <c r="C95">
        <f ca="1"/>
        <v>6.1999923780028663</v>
      </c>
      <c r="D95">
        <f t="shared" ca="1" si="1"/>
        <v>0.32918669714760257</v>
      </c>
    </row>
    <row r="96" spans="1:4" x14ac:dyDescent="0.25">
      <c r="A96" vm="340">
        <f ca="1"/>
        <v>45797</v>
      </c>
      <c r="B96" vm="1885">
        <f ca="1"/>
        <v>6.22</v>
      </c>
      <c r="C96">
        <f ca="1"/>
        <v>6.1519731983850114</v>
      </c>
      <c r="D96">
        <f t="shared" ca="1" si="1"/>
        <v>0.31907875203466624</v>
      </c>
    </row>
    <row r="97" spans="1:4" x14ac:dyDescent="0.25">
      <c r="A97" vm="344">
        <f ca="1"/>
        <v>45798</v>
      </c>
      <c r="B97" vm="1886">
        <f ca="1"/>
        <v>6.48</v>
      </c>
      <c r="C97">
        <f ca="1"/>
        <v>6.0974719913958459</v>
      </c>
      <c r="D97">
        <f t="shared" ca="1" si="1"/>
        <v>0.31568336484855408</v>
      </c>
    </row>
    <row r="98" spans="1:4" x14ac:dyDescent="0.25">
      <c r="A98" vm="346">
        <f ca="1"/>
        <v>45799</v>
      </c>
      <c r="B98" vm="1325">
        <f ca="1"/>
        <v>6.05</v>
      </c>
      <c r="C98">
        <f ca="1"/>
        <v>6.0403749252544445</v>
      </c>
      <c r="D98">
        <f t="shared" ca="1" si="1"/>
        <v>0.27644012866594114</v>
      </c>
    </row>
    <row r="99" spans="1:4" x14ac:dyDescent="0.25">
      <c r="A99" vm="349">
        <f ca="1"/>
        <v>45800</v>
      </c>
      <c r="B99" vm="1887">
        <f ca="1"/>
        <v>5.9850000000000003</v>
      </c>
      <c r="C99">
        <f ca="1"/>
        <v>5.9866715215369215</v>
      </c>
      <c r="D99">
        <f t="shared" ca="1" si="1"/>
        <v>0.27290481760805219</v>
      </c>
    </row>
    <row r="100" spans="1:4" x14ac:dyDescent="0.25">
      <c r="A100" vm="353">
        <f ca="1"/>
        <v>45804</v>
      </c>
      <c r="B100" vm="1888">
        <f ca="1"/>
        <v>6.04</v>
      </c>
      <c r="C100">
        <f ca="1"/>
        <v>5.8412088157218651</v>
      </c>
      <c r="D100">
        <f t="shared" ca="1" si="1"/>
        <v>0.26691413955565718</v>
      </c>
    </row>
    <row r="101" spans="1:4" x14ac:dyDescent="0.25">
      <c r="A101" vm="357">
        <f ca="1"/>
        <v>45805</v>
      </c>
      <c r="B101" vm="1276">
        <f ca="1"/>
        <v>5.39</v>
      </c>
      <c r="C101">
        <f ca="1"/>
        <v>5.8120131040708856</v>
      </c>
      <c r="D101">
        <f t="shared" ca="1" si="1"/>
        <v>0.26434626414689699</v>
      </c>
    </row>
    <row r="102" spans="1:4" x14ac:dyDescent="0.25">
      <c r="A102" vm="361">
        <f ca="1"/>
        <v>45806</v>
      </c>
      <c r="B102" vm="1772">
        <f ca="1"/>
        <v>5.46</v>
      </c>
      <c r="C102">
        <f ca="1"/>
        <v>5.7872383265762055</v>
      </c>
      <c r="D102">
        <f t="shared" ca="1" si="1"/>
        <v>0.25827158288575958</v>
      </c>
    </row>
    <row r="103" spans="1:4" x14ac:dyDescent="0.25">
      <c r="A103" vm="365">
        <f ca="1"/>
        <v>45807</v>
      </c>
      <c r="B103" vm="1889">
        <f ca="1"/>
        <v>5.34</v>
      </c>
      <c r="C103">
        <f ca="1"/>
        <v>5.7680770780999238</v>
      </c>
      <c r="D103">
        <f t="shared" ca="1" si="1"/>
        <v>0.37478555271823888</v>
      </c>
    </row>
    <row r="104" spans="1:4" x14ac:dyDescent="0.25">
      <c r="A104" vm="369">
        <f ca="1"/>
        <v>45810</v>
      </c>
      <c r="B104" vm="1890">
        <f ca="1"/>
        <v>5.52</v>
      </c>
      <c r="C104">
        <f ca="1"/>
        <v>5.7338780402879781</v>
      </c>
      <c r="D104">
        <f t="shared" ca="1" si="1"/>
        <v>0.43255057507764344</v>
      </c>
    </row>
    <row r="105" spans="1:4" x14ac:dyDescent="0.25">
      <c r="A105" vm="372">
        <f ca="1"/>
        <v>45811</v>
      </c>
      <c r="B105" vm="1771">
        <f ca="1"/>
        <v>5.54</v>
      </c>
      <c r="C105">
        <f ca="1"/>
        <v>5.7370471350554357</v>
      </c>
      <c r="D105">
        <f t="shared" ca="1" si="1"/>
        <v>0.45362255350966801</v>
      </c>
    </row>
    <row r="106" spans="1:4" x14ac:dyDescent="0.25">
      <c r="A106" vm="375">
        <f ca="1"/>
        <v>45812</v>
      </c>
      <c r="B106" vm="1284">
        <f ca="1"/>
        <v>5.82</v>
      </c>
      <c r="C106">
        <f ca="1"/>
        <v>5.7479945275140789</v>
      </c>
      <c r="D106">
        <f t="shared" ca="1" si="1"/>
        <v>0.51109042355793721</v>
      </c>
    </row>
    <row r="107" spans="1:4" x14ac:dyDescent="0.25">
      <c r="A107" vm="378">
        <f ca="1"/>
        <v>45813</v>
      </c>
      <c r="B107" vm="1891">
        <f ca="1"/>
        <v>6.03</v>
      </c>
      <c r="C107">
        <f ca="1"/>
        <v>5.76122167394354</v>
      </c>
      <c r="D107">
        <f t="shared" ca="1" si="1"/>
        <v>0.63997615087142634</v>
      </c>
    </row>
    <row r="108" spans="1:4" x14ac:dyDescent="0.25">
      <c r="A108" vm="382">
        <f ca="1"/>
        <v>45814</v>
      </c>
      <c r="B108" vm="1280">
        <f ca="1"/>
        <v>5.91</v>
      </c>
      <c r="C108">
        <f ca="1"/>
        <v>5.7617705409467082</v>
      </c>
      <c r="D108">
        <f t="shared" ca="1" si="1"/>
        <v>0.71552170881774069</v>
      </c>
    </row>
    <row r="109" spans="1:4" x14ac:dyDescent="0.25">
      <c r="A109" vm="386">
        <f ca="1"/>
        <v>45817</v>
      </c>
      <c r="B109" vm="1335">
        <f ca="1"/>
        <v>6.15</v>
      </c>
      <c r="C109">
        <f ca="1"/>
        <v>5.7693141105634265</v>
      </c>
      <c r="D109">
        <f t="shared" ca="1" si="1"/>
        <v>0.77553987986636708</v>
      </c>
    </row>
    <row r="110" spans="1:4" x14ac:dyDescent="0.25">
      <c r="A110" vm="389">
        <f ca="1"/>
        <v>45818</v>
      </c>
      <c r="B110" vm="1328">
        <f ca="1"/>
        <v>6.06</v>
      </c>
      <c r="C110">
        <f ca="1"/>
        <v>5.7818917345179477</v>
      </c>
      <c r="D110">
        <f t="shared" ca="1" si="1"/>
        <v>0.80154374080335611</v>
      </c>
    </row>
    <row r="111" spans="1:4" x14ac:dyDescent="0.25">
      <c r="A111" vm="391">
        <f ca="1"/>
        <v>45819</v>
      </c>
      <c r="B111" vm="1892">
        <f ca="1"/>
        <v>6.02</v>
      </c>
      <c r="C111">
        <f ca="1"/>
        <v>5.772141134839039</v>
      </c>
      <c r="D111">
        <f t="shared" ca="1" si="1"/>
        <v>0.81221335024473651</v>
      </c>
    </row>
    <row r="112" spans="1:4" x14ac:dyDescent="0.25">
      <c r="A112" vm="395">
        <f ca="1"/>
        <v>45820</v>
      </c>
      <c r="B112" vm="1285">
        <f ca="1"/>
        <v>5.78</v>
      </c>
      <c r="C112">
        <f ca="1"/>
        <v>5.7582051853592651</v>
      </c>
      <c r="D112">
        <f t="shared" ca="1" si="1"/>
        <v>0.88162812902875198</v>
      </c>
    </row>
    <row r="113" spans="1:4" x14ac:dyDescent="0.25">
      <c r="A113" vm="399">
        <f ca="1"/>
        <v>45821</v>
      </c>
      <c r="B113" vm="1879">
        <f ca="1"/>
        <v>5.44</v>
      </c>
      <c r="C113">
        <f ca="1"/>
        <v>5.7448641561639642</v>
      </c>
      <c r="D113">
        <f t="shared" ca="1" si="1"/>
        <v>0.92428791937075794</v>
      </c>
    </row>
    <row r="114" spans="1:4" x14ac:dyDescent="0.25">
      <c r="A114" vm="403">
        <f ca="1"/>
        <v>45824</v>
      </c>
      <c r="B114" vm="1776">
        <f ca="1"/>
        <v>5.68</v>
      </c>
      <c r="C114">
        <f ca="1"/>
        <v>5.7363939445807031</v>
      </c>
      <c r="D114">
        <f t="shared" ca="1" si="1"/>
        <v>1.0379396341842437</v>
      </c>
    </row>
    <row r="115" spans="1:4" x14ac:dyDescent="0.25">
      <c r="A115" vm="407">
        <f ca="1"/>
        <v>45825</v>
      </c>
      <c r="B115" vm="1893">
        <f ca="1"/>
        <v>5.55</v>
      </c>
      <c r="C115">
        <f ca="1"/>
        <v>5.7416525552363629</v>
      </c>
      <c r="D115">
        <f t="shared" ca="1" si="1"/>
        <v>1.1015544041322511</v>
      </c>
    </row>
    <row r="116" spans="1:4" x14ac:dyDescent="0.25">
      <c r="A116" vm="410">
        <f ca="1"/>
        <v>45826</v>
      </c>
      <c r="B116" vm="1879">
        <f ca="1"/>
        <v>5.44</v>
      </c>
      <c r="C116">
        <f ca="1"/>
        <v>5.754542334597109</v>
      </c>
      <c r="D116">
        <f t="shared" ca="1" si="1"/>
        <v>1.1284869936055364</v>
      </c>
    </row>
    <row r="117" spans="1:4" x14ac:dyDescent="0.25">
      <c r="A117" vm="412">
        <f ca="1"/>
        <v>45828</v>
      </c>
      <c r="B117" vm="1305">
        <f ca="1"/>
        <v>5.48</v>
      </c>
      <c r="C117">
        <f ca="1"/>
        <v>5.8509880772315475</v>
      </c>
      <c r="D117">
        <f t="shared" ca="1" si="1"/>
        <v>1.1414413787193214</v>
      </c>
    </row>
    <row r="118" spans="1:4" x14ac:dyDescent="0.25">
      <c r="A118" vm="414">
        <f ca="1"/>
        <v>45831</v>
      </c>
      <c r="B118" vm="1778">
        <f ca="1"/>
        <v>5.45</v>
      </c>
      <c r="C118">
        <f ca="1"/>
        <v>6.0223348687569915</v>
      </c>
      <c r="D118">
        <f t="shared" ca="1" si="1"/>
        <v>1.092121426640065</v>
      </c>
    </row>
    <row r="119" spans="1:4" x14ac:dyDescent="0.25">
      <c r="A119" vm="417">
        <f ca="1"/>
        <v>45832</v>
      </c>
      <c r="B119" vm="1326">
        <f ca="1"/>
        <v>5.84</v>
      </c>
      <c r="C119">
        <f ca="1"/>
        <v>6.0749256167783816</v>
      </c>
      <c r="D119">
        <f t="shared" ca="1" si="1"/>
        <v>1.0019479711253045</v>
      </c>
    </row>
    <row r="120" spans="1:4" x14ac:dyDescent="0.25">
      <c r="A120" vm="421">
        <f ca="1"/>
        <v>45833</v>
      </c>
      <c r="B120" vm="1322">
        <f ca="1"/>
        <v>6</v>
      </c>
      <c r="C120">
        <f ca="1"/>
        <v>6.1755226691220955</v>
      </c>
      <c r="D120">
        <f t="shared" ca="1" si="1"/>
        <v>0.95547439305796389</v>
      </c>
    </row>
    <row r="121" spans="1:4" x14ac:dyDescent="0.25">
      <c r="A121" vm="422">
        <f ca="1"/>
        <v>45834</v>
      </c>
      <c r="B121" vm="1280">
        <f ca="1"/>
        <v>5.91</v>
      </c>
      <c r="C121">
        <f ca="1"/>
        <v>6.2855368025458205</v>
      </c>
      <c r="D121">
        <f t="shared" ca="1" si="1"/>
        <v>0.88154230874372408</v>
      </c>
    </row>
    <row r="122" spans="1:4" x14ac:dyDescent="0.25">
      <c r="A122" vm="423">
        <f ca="1"/>
        <v>45835</v>
      </c>
      <c r="B122" vm="1366">
        <f ca="1"/>
        <v>6.98</v>
      </c>
      <c r="C122">
        <f ca="1"/>
        <v>6.3971977487386891</v>
      </c>
      <c r="D122">
        <f t="shared" ca="1" si="1"/>
        <v>0.76902860805044149</v>
      </c>
    </row>
    <row r="123" spans="1:4" x14ac:dyDescent="0.25">
      <c r="A123" vm="425">
        <f ca="1"/>
        <v>45838</v>
      </c>
      <c r="B123" vm="1377">
        <f ca="1"/>
        <v>6.9</v>
      </c>
      <c r="C123">
        <f ca="1"/>
        <v>6.6976214450278242</v>
      </c>
      <c r="D123">
        <f t="shared" ca="1" si="1"/>
        <v>0.74361757998527556</v>
      </c>
    </row>
    <row r="124" spans="1:4" x14ac:dyDescent="0.25">
      <c r="A124" vm="427">
        <f ca="1"/>
        <v>45839</v>
      </c>
      <c r="B124" vm="1365">
        <f ca="1"/>
        <v>6.61</v>
      </c>
      <c r="C124">
        <f ca="1"/>
        <v>6.815315730357872</v>
      </c>
      <c r="D124">
        <f t="shared" ca="1" si="1"/>
        <v>0.70274106184283824</v>
      </c>
    </row>
    <row r="125" spans="1:4" x14ac:dyDescent="0.25">
      <c r="A125" vm="430">
        <f ca="1"/>
        <v>45840</v>
      </c>
      <c r="B125" vm="1880">
        <f ca="1"/>
        <v>7.08</v>
      </c>
      <c r="C125">
        <f ca="1"/>
        <v>6.9176563359957397</v>
      </c>
      <c r="D125">
        <f t="shared" ca="1" si="1"/>
        <v>0.61827944627345521</v>
      </c>
    </row>
    <row r="126" spans="1:4" x14ac:dyDescent="0.25">
      <c r="A126" vm="432">
        <f ca="1"/>
        <v>45841</v>
      </c>
      <c r="B126" vm="1791">
        <f ca="1"/>
        <v>7.75</v>
      </c>
      <c r="C126">
        <f ca="1"/>
        <v>7.0219470950390352</v>
      </c>
      <c r="D126">
        <f t="shared" ca="1" si="1"/>
        <v>0.57060701750070741</v>
      </c>
    </row>
    <row r="127" spans="1:4" x14ac:dyDescent="0.25">
      <c r="A127" vm="434">
        <f ca="1"/>
        <v>45845</v>
      </c>
      <c r="B127" vm="1856">
        <f ca="1"/>
        <v>7.54</v>
      </c>
      <c r="C127">
        <f ca="1"/>
        <v>7.4789777748549424</v>
      </c>
      <c r="D127">
        <f t="shared" ca="1" si="1"/>
        <v>0.5833431327497699</v>
      </c>
    </row>
    <row r="128" spans="1:4" x14ac:dyDescent="0.25">
      <c r="A128" vm="437">
        <f ca="1"/>
        <v>45846</v>
      </c>
      <c r="B128" vm="1894">
        <f ca="1"/>
        <v>7.56</v>
      </c>
      <c r="C128">
        <f ca="1"/>
        <v>7.5912931483614425</v>
      </c>
      <c r="D128">
        <f t="shared" ca="1" si="1"/>
        <v>0.57115280469922358</v>
      </c>
    </row>
    <row r="129" spans="1:4" x14ac:dyDescent="0.25">
      <c r="A129" vm="441">
        <f ca="1"/>
        <v>45847</v>
      </c>
      <c r="B129" vm="1530">
        <f ca="1"/>
        <v>7.18</v>
      </c>
      <c r="C129">
        <f ca="1"/>
        <v>7.699486388987034</v>
      </c>
      <c r="D129">
        <f t="shared" ca="1" si="1"/>
        <v>0.55917796809244902</v>
      </c>
    </row>
    <row r="130" spans="1:4" x14ac:dyDescent="0.25">
      <c r="A130" vm="444">
        <f ca="1"/>
        <v>45848</v>
      </c>
      <c r="B130" vm="1854">
        <f ca="1"/>
        <v>6.97</v>
      </c>
      <c r="C130">
        <f ca="1"/>
        <v>7.801489517107755</v>
      </c>
      <c r="D130">
        <f t="shared" ca="1" si="1"/>
        <v>0.50983459650113339</v>
      </c>
    </row>
    <row r="131" spans="1:4" x14ac:dyDescent="0.25">
      <c r="A131" vm="446">
        <f ca="1"/>
        <v>45849</v>
      </c>
      <c r="B131" vm="305">
        <f ca="1"/>
        <v>7.95</v>
      </c>
      <c r="C131">
        <f ca="1"/>
        <v>7.8953665020877528</v>
      </c>
      <c r="D131">
        <f t="shared" ref="D131:D194" ca="1" si="2">_xlfn.STDEV.S(B131:B150)</f>
        <v>0.41755270704175135</v>
      </c>
    </row>
    <row r="132" spans="1:4" x14ac:dyDescent="0.25">
      <c r="A132" vm="449">
        <f ca="1"/>
        <v>45852</v>
      </c>
      <c r="B132" vm="1806">
        <f ca="1"/>
        <v>7.92</v>
      </c>
      <c r="C132">
        <f ca="1"/>
        <v>8.1214868257129886</v>
      </c>
      <c r="D132">
        <f t="shared" ca="1" si="2"/>
        <v>0.41636269613984622</v>
      </c>
    </row>
    <row r="133" spans="1:4" x14ac:dyDescent="0.25">
      <c r="A133" vm="452">
        <f ca="1"/>
        <v>45853</v>
      </c>
      <c r="B133" vm="341">
        <f ca="1"/>
        <v>9.0399999999999991</v>
      </c>
      <c r="C133">
        <f ca="1"/>
        <v>8.1868984581531983</v>
      </c>
      <c r="D133">
        <f t="shared" ca="1" si="2"/>
        <v>0.41239352692862608</v>
      </c>
    </row>
    <row r="134" spans="1:4" x14ac:dyDescent="0.25">
      <c r="A134" vm="454">
        <f ca="1"/>
        <v>45854</v>
      </c>
      <c r="B134" vm="1895">
        <f ca="1"/>
        <v>8.7899999999999991</v>
      </c>
      <c r="C134">
        <f ca="1"/>
        <v>8.2498438884297975</v>
      </c>
      <c r="D134">
        <f t="shared" ca="1" si="2"/>
        <v>0.3852285719304564</v>
      </c>
    </row>
    <row r="135" spans="1:4" x14ac:dyDescent="0.25">
      <c r="A135" vm="457">
        <f ca="1"/>
        <v>45855</v>
      </c>
      <c r="B135" vm="450">
        <f ca="1"/>
        <v>8.76</v>
      </c>
      <c r="C135">
        <f ca="1"/>
        <v>8.3080908112033782</v>
      </c>
      <c r="D135">
        <f t="shared" ca="1" si="2"/>
        <v>0.36368581003532791</v>
      </c>
    </row>
    <row r="136" spans="1:4" x14ac:dyDescent="0.25">
      <c r="A136" vm="460">
        <f ca="1"/>
        <v>45856</v>
      </c>
      <c r="B136" vm="429">
        <f ca="1"/>
        <v>9.01</v>
      </c>
      <c r="C136">
        <f ca="1"/>
        <v>8.3588922396816745</v>
      </c>
      <c r="D136">
        <f t="shared" ca="1" si="2"/>
        <v>0.34053015941863979</v>
      </c>
    </row>
    <row r="137" spans="1:4" x14ac:dyDescent="0.25">
      <c r="A137" vm="462">
        <f ca="1"/>
        <v>45859</v>
      </c>
      <c r="B137" vm="237">
        <f ca="1"/>
        <v>8.43</v>
      </c>
      <c r="C137">
        <f ca="1"/>
        <v>8.4796650627713799</v>
      </c>
      <c r="D137">
        <f t="shared" ca="1" si="2"/>
        <v>0.28238225305798742</v>
      </c>
    </row>
    <row r="138" spans="1:4" x14ac:dyDescent="0.25">
      <c r="A138" vm="466">
        <f ca="1"/>
        <v>45860</v>
      </c>
      <c r="B138" vm="599">
        <f ca="1"/>
        <v>8.09</v>
      </c>
      <c r="C138">
        <f ca="1"/>
        <v>8.4635070059321293</v>
      </c>
      <c r="D138">
        <f t="shared" ca="1" si="2"/>
        <v>0.27913164221243447</v>
      </c>
    </row>
    <row r="139" spans="1:4" x14ac:dyDescent="0.25">
      <c r="A139" vm="469">
        <f ca="1"/>
        <v>45861</v>
      </c>
      <c r="B139" vm="339">
        <f ca="1"/>
        <v>8.74</v>
      </c>
      <c r="C139">
        <f ca="1"/>
        <v>8.4293798354709626</v>
      </c>
      <c r="D139">
        <f t="shared" ca="1" si="2"/>
        <v>0.28270311747764465</v>
      </c>
    </row>
    <row r="140" spans="1:4" x14ac:dyDescent="0.25">
      <c r="A140" vm="473">
        <f ca="1"/>
        <v>45862</v>
      </c>
      <c r="B140" vm="352">
        <f ca="1"/>
        <v>8.33</v>
      </c>
      <c r="C140">
        <f ca="1"/>
        <v>8.3851428650267401</v>
      </c>
      <c r="D140">
        <f t="shared" ca="1" si="2"/>
        <v>0.22891276205484687</v>
      </c>
    </row>
    <row r="141" spans="1:4" x14ac:dyDescent="0.25">
      <c r="A141" vm="477">
        <f ca="1"/>
        <v>45863</v>
      </c>
      <c r="B141" vm="1896">
        <f ca="1"/>
        <v>8.26</v>
      </c>
      <c r="C141">
        <f ca="1"/>
        <v>8.3360436799048774</v>
      </c>
      <c r="D141">
        <f t="shared" ca="1" si="2"/>
        <v>0.25827107342561817</v>
      </c>
    </row>
    <row r="142" spans="1:4" x14ac:dyDescent="0.25">
      <c r="A142" vm="481">
        <f ca="1"/>
        <v>45866</v>
      </c>
      <c r="B142" vm="285">
        <f ca="1"/>
        <v>8.34</v>
      </c>
      <c r="C142">
        <f ca="1"/>
        <v>8.1913811917210335</v>
      </c>
      <c r="D142">
        <f t="shared" ca="1" si="2"/>
        <v>0.26026100259870699</v>
      </c>
    </row>
    <row r="143" spans="1:4" x14ac:dyDescent="0.25">
      <c r="A143" vm="483">
        <f ca="1"/>
        <v>45867</v>
      </c>
      <c r="B143" vm="293">
        <f ca="1"/>
        <v>8.2799999999999994</v>
      </c>
      <c r="C143">
        <f ca="1"/>
        <v>8.1538154703889969</v>
      </c>
      <c r="D143">
        <f t="shared" ca="1" si="2"/>
        <v>0.24424750173801807</v>
      </c>
    </row>
    <row r="144" spans="1:4" x14ac:dyDescent="0.25">
      <c r="A144" vm="486">
        <f ca="1"/>
        <v>45868</v>
      </c>
      <c r="B144" vm="1428">
        <f ca="1"/>
        <v>8.02</v>
      </c>
      <c r="C144">
        <f ca="1"/>
        <v>8.1214767292770293</v>
      </c>
      <c r="D144">
        <f t="shared" ca="1" si="2"/>
        <v>0.23041096008288275</v>
      </c>
    </row>
    <row r="145" spans="1:4" x14ac:dyDescent="0.25">
      <c r="A145" vm="489">
        <f ca="1"/>
        <v>45869</v>
      </c>
      <c r="B145" vm="1412">
        <f ca="1"/>
        <v>8.31</v>
      </c>
      <c r="C145">
        <f ca="1"/>
        <v>8.0932234900219235</v>
      </c>
      <c r="D145">
        <f t="shared" ca="1" si="2"/>
        <v>0.22965592111953737</v>
      </c>
    </row>
    <row r="146" spans="1:4" x14ac:dyDescent="0.25">
      <c r="A146" vm="490">
        <f ca="1"/>
        <v>45870</v>
      </c>
      <c r="B146" vm="1897">
        <f ca="1"/>
        <v>7.49</v>
      </c>
      <c r="C146">
        <f ca="1"/>
        <v>8.067028373720099</v>
      </c>
      <c r="D146">
        <f t="shared" ca="1" si="2"/>
        <v>0.25475426756406894</v>
      </c>
    </row>
    <row r="147" spans="1:4" x14ac:dyDescent="0.25">
      <c r="A147" vm="491">
        <f ca="1"/>
        <v>45873</v>
      </c>
      <c r="B147" vm="228">
        <f ca="1"/>
        <v>7.82</v>
      </c>
      <c r="C147">
        <f ca="1"/>
        <v>7.9986207876050317</v>
      </c>
      <c r="D147">
        <f t="shared" ca="1" si="2"/>
        <v>0.28772977088343077</v>
      </c>
    </row>
    <row r="148" spans="1:4" x14ac:dyDescent="0.25">
      <c r="A148" vm="492">
        <f ca="1"/>
        <v>45874</v>
      </c>
      <c r="B148" vm="1417">
        <f ca="1"/>
        <v>7.83</v>
      </c>
      <c r="C148">
        <f ca="1"/>
        <v>7.9806293323855222</v>
      </c>
      <c r="D148">
        <f t="shared" ca="1" si="2"/>
        <v>0.28663014863280373</v>
      </c>
    </row>
    <row r="149" spans="1:4" x14ac:dyDescent="0.25">
      <c r="A149" vm="495">
        <f ca="1"/>
        <v>45875</v>
      </c>
      <c r="B149" vm="1898">
        <f ca="1"/>
        <v>8.01</v>
      </c>
      <c r="C149">
        <f ca="1"/>
        <v>7.9646222153306132</v>
      </c>
      <c r="D149">
        <f t="shared" ca="1" si="2"/>
        <v>0.28474318992826902</v>
      </c>
    </row>
    <row r="150" spans="1:4" x14ac:dyDescent="0.25">
      <c r="A150" vm="499">
        <f ca="1"/>
        <v>45876</v>
      </c>
      <c r="B150" vm="619">
        <f ca="1"/>
        <v>8.15</v>
      </c>
      <c r="C150">
        <f ca="1"/>
        <v>7.9502528365028349</v>
      </c>
      <c r="D150">
        <f t="shared" ca="1" si="2"/>
        <v>0.29450940472875264</v>
      </c>
    </row>
    <row r="151" spans="1:4" x14ac:dyDescent="0.25">
      <c r="A151" vm="501">
        <f ca="1"/>
        <v>45877</v>
      </c>
      <c r="B151" vm="1899">
        <f ca="1"/>
        <v>7.98</v>
      </c>
      <c r="C151">
        <f ca="1"/>
        <v>7.9378557868671971</v>
      </c>
      <c r="D151">
        <f t="shared" ca="1" si="2"/>
        <v>0.29135391753528533</v>
      </c>
    </row>
    <row r="152" spans="1:4" x14ac:dyDescent="0.25">
      <c r="A152" vm="504">
        <f ca="1"/>
        <v>45880</v>
      </c>
      <c r="B152" vm="1428">
        <f ca="1"/>
        <v>8.02</v>
      </c>
      <c r="C152">
        <f ca="1"/>
        <v>7.9150461413788626</v>
      </c>
      <c r="D152">
        <f t="shared" ca="1" si="2"/>
        <v>0.29730854078053764</v>
      </c>
    </row>
    <row r="153" spans="1:4" x14ac:dyDescent="0.25">
      <c r="A153" vm="505">
        <f ca="1"/>
        <v>45881</v>
      </c>
      <c r="B153" vm="1793">
        <f ca="1"/>
        <v>7.8</v>
      </c>
      <c r="C153">
        <f ca="1"/>
        <v>7.910154713564463</v>
      </c>
      <c r="D153">
        <f t="shared" ca="1" si="2"/>
        <v>0.30987094087700451</v>
      </c>
    </row>
    <row r="154" spans="1:4" x14ac:dyDescent="0.25">
      <c r="A154" vm="507">
        <f ca="1"/>
        <v>45882</v>
      </c>
      <c r="B154" vm="1898">
        <f ca="1"/>
        <v>8.01</v>
      </c>
      <c r="C154">
        <f ca="1"/>
        <v>7.9044852617166992</v>
      </c>
      <c r="D154">
        <f t="shared" ca="1" si="2"/>
        <v>0.3079383909673799</v>
      </c>
    </row>
    <row r="155" spans="1:4" x14ac:dyDescent="0.25">
      <c r="A155" vm="509">
        <f ca="1"/>
        <v>45883</v>
      </c>
      <c r="B155" vm="305">
        <f ca="1"/>
        <v>7.95</v>
      </c>
      <c r="C155">
        <f ca="1"/>
        <v>7.8973018336915723</v>
      </c>
      <c r="D155">
        <f t="shared" ca="1" si="2"/>
        <v>0.40204051903678606</v>
      </c>
    </row>
    <row r="156" spans="1:4" x14ac:dyDescent="0.25">
      <c r="A156" vm="510">
        <f ca="1"/>
        <v>45884</v>
      </c>
      <c r="B156" vm="262">
        <f ca="1"/>
        <v>7.77</v>
      </c>
      <c r="C156">
        <f ca="1"/>
        <v>7.8895793294663257</v>
      </c>
      <c r="D156">
        <f t="shared" ca="1" si="2"/>
        <v>0.53154467059891142</v>
      </c>
    </row>
    <row r="157" spans="1:4" x14ac:dyDescent="0.25">
      <c r="A157" vm="514">
        <f ca="1"/>
        <v>45887</v>
      </c>
      <c r="B157" vm="1791">
        <f ca="1"/>
        <v>7.75</v>
      </c>
      <c r="C157">
        <f ca="1"/>
        <v>7.8915376879595796</v>
      </c>
      <c r="D157">
        <f t="shared" ca="1" si="2"/>
        <v>0.62174520928042376</v>
      </c>
    </row>
    <row r="158" spans="1:4" x14ac:dyDescent="0.25">
      <c r="A158" vm="517">
        <f ca="1"/>
        <v>45888</v>
      </c>
      <c r="B158" vm="1421">
        <f ca="1"/>
        <v>7.84</v>
      </c>
      <c r="C158">
        <f ca="1"/>
        <v>7.9001168134106159</v>
      </c>
      <c r="D158">
        <f t="shared" ca="1" si="2"/>
        <v>0.68707982375450838</v>
      </c>
    </row>
    <row r="159" spans="1:4" x14ac:dyDescent="0.25">
      <c r="A159" vm="520">
        <f ca="1"/>
        <v>45889</v>
      </c>
      <c r="B159" vm="1899">
        <f ca="1"/>
        <v>7.98</v>
      </c>
      <c r="C159">
        <f ca="1"/>
        <v>7.9137247662673449</v>
      </c>
      <c r="D159">
        <f t="shared" ca="1" si="2"/>
        <v>0.76298927356742519</v>
      </c>
    </row>
    <row r="160" spans="1:4" x14ac:dyDescent="0.25">
      <c r="A160" vm="522">
        <f ca="1"/>
        <v>45890</v>
      </c>
      <c r="B160" vm="1829">
        <f ca="1"/>
        <v>7.34</v>
      </c>
      <c r="C160">
        <f ca="1"/>
        <v>7.9315235474390668</v>
      </c>
      <c r="D160">
        <f t="shared" ca="1" si="2"/>
        <v>0.83323892447674197</v>
      </c>
    </row>
    <row r="161" spans="1:4" x14ac:dyDescent="0.25">
      <c r="A161" vm="524">
        <f ca="1"/>
        <v>45891</v>
      </c>
      <c r="B161" vm="261">
        <f ca="1"/>
        <v>8.2899999999999991</v>
      </c>
      <c r="C161">
        <f ca="1"/>
        <v>7.9505531783560448</v>
      </c>
      <c r="D161">
        <f t="shared" ca="1" si="2"/>
        <v>0.82659479031047678</v>
      </c>
    </row>
    <row r="162" spans="1:4" x14ac:dyDescent="0.25">
      <c r="A162" vm="527">
        <f ca="1"/>
        <v>45894</v>
      </c>
      <c r="B162" vm="1421">
        <f ca="1"/>
        <v>7.84</v>
      </c>
      <c r="C162">
        <f ca="1"/>
        <v>7.98907415676823</v>
      </c>
      <c r="D162">
        <f t="shared" ca="1" si="2"/>
        <v>0.88483361504623537</v>
      </c>
    </row>
    <row r="163" spans="1:4" x14ac:dyDescent="0.25">
      <c r="A163" vm="529">
        <f ca="1"/>
        <v>45895</v>
      </c>
      <c r="B163" vm="1382">
        <f ca="1"/>
        <v>7.81</v>
      </c>
      <c r="C163">
        <f ca="1"/>
        <v>7.9967413121964768</v>
      </c>
      <c r="D163">
        <f t="shared" ca="1" si="2"/>
        <v>0.87410269780832373</v>
      </c>
    </row>
    <row r="164" spans="1:4" x14ac:dyDescent="0.25">
      <c r="A164" vm="531">
        <f ca="1"/>
        <v>45896</v>
      </c>
      <c r="B164" vm="1793">
        <f ca="1"/>
        <v>7.8</v>
      </c>
      <c r="C164">
        <f ca="1"/>
        <v>8.0019636250334063</v>
      </c>
      <c r="D164">
        <f t="shared" ca="1" si="2"/>
        <v>0.91543762902317871</v>
      </c>
    </row>
    <row r="165" spans="1:4" x14ac:dyDescent="0.25">
      <c r="A165" vm="534">
        <f ca="1"/>
        <v>45897</v>
      </c>
      <c r="B165" vm="607">
        <f ca="1"/>
        <v>8.5299999999999994</v>
      </c>
      <c r="C165">
        <f ca="1"/>
        <v>8.0055024555039456</v>
      </c>
      <c r="D165">
        <f t="shared" ca="1" si="2"/>
        <v>1.0070143468376589</v>
      </c>
    </row>
    <row r="166" spans="1:4" x14ac:dyDescent="0.25">
      <c r="A166" vm="536">
        <f ca="1"/>
        <v>45898</v>
      </c>
      <c r="B166" vm="646">
        <f ca="1"/>
        <v>8.66</v>
      </c>
      <c r="C166">
        <f ca="1"/>
        <v>8.0098483549847597</v>
      </c>
      <c r="D166">
        <f t="shared" ca="1" si="2"/>
        <v>1.0716464214616541</v>
      </c>
    </row>
    <row r="167" spans="1:4" x14ac:dyDescent="0.25">
      <c r="A167" vm="538">
        <f ca="1"/>
        <v>45902</v>
      </c>
      <c r="B167" vm="589">
        <f ca="1"/>
        <v>8.06</v>
      </c>
      <c r="C167">
        <f ca="1"/>
        <v>8.1020270564082555</v>
      </c>
      <c r="D167">
        <f t="shared" ca="1" si="2"/>
        <v>1.099789932094698</v>
      </c>
    </row>
    <row r="168" spans="1:4" x14ac:dyDescent="0.25">
      <c r="A168" vm="541">
        <f ca="1"/>
        <v>45903</v>
      </c>
      <c r="B168" vm="617">
        <f ca="1"/>
        <v>8</v>
      </c>
      <c r="C168">
        <f ca="1"/>
        <v>8.1412478913053619</v>
      </c>
      <c r="D168">
        <f t="shared" ca="1" si="2"/>
        <v>1.0879119304525788</v>
      </c>
    </row>
    <row r="169" spans="1:4" x14ac:dyDescent="0.25">
      <c r="A169" vm="543">
        <f ca="1"/>
        <v>45904</v>
      </c>
      <c r="B169" vm="1381">
        <f ca="1"/>
        <v>7.64</v>
      </c>
      <c r="C169">
        <f ca="1"/>
        <v>8.1892930420156489</v>
      </c>
      <c r="D169">
        <f t="shared" ca="1" si="2"/>
        <v>1.0812822553752921</v>
      </c>
    </row>
    <row r="170" spans="1:4" x14ac:dyDescent="0.25">
      <c r="A170" vm="545">
        <f ca="1"/>
        <v>45905</v>
      </c>
      <c r="B170" vm="1541">
        <f ca="1"/>
        <v>7.9</v>
      </c>
      <c r="C170">
        <f ca="1"/>
        <v>8.2475404355340007</v>
      </c>
      <c r="D170">
        <f t="shared" ca="1" si="2"/>
        <v>1.0549396340923765</v>
      </c>
    </row>
    <row r="171" spans="1:4" x14ac:dyDescent="0.25">
      <c r="A171" vm="546">
        <f ca="1"/>
        <v>45908</v>
      </c>
      <c r="B171" vm="254">
        <f ca="1"/>
        <v>7.68</v>
      </c>
      <c r="C171">
        <f ca="1"/>
        <v>8.4620518474478175</v>
      </c>
      <c r="D171">
        <f t="shared" ca="1" si="2"/>
        <v>0.98503473088649618</v>
      </c>
    </row>
    <row r="172" spans="1:4" x14ac:dyDescent="0.25">
      <c r="A172" vm="548">
        <f ca="1"/>
        <v>45909</v>
      </c>
      <c r="B172" vm="352">
        <f ca="1"/>
        <v>8.33</v>
      </c>
      <c r="C172">
        <f ca="1"/>
        <v>8.5554211742046853</v>
      </c>
      <c r="D172">
        <f t="shared" ca="1" si="2"/>
        <v>0.86129584134360571</v>
      </c>
    </row>
    <row r="173" spans="1:4" x14ac:dyDescent="0.25">
      <c r="A173" vm="550">
        <f ca="1"/>
        <v>45910</v>
      </c>
      <c r="B173" vm="1415">
        <f ca="1"/>
        <v>7.93</v>
      </c>
      <c r="C173">
        <f ca="1"/>
        <v>8.6663493874315787</v>
      </c>
      <c r="D173">
        <f t="shared" ca="1" si="2"/>
        <v>0.77166873176185369</v>
      </c>
    </row>
    <row r="174" spans="1:4" x14ac:dyDescent="0.25">
      <c r="A174" vm="551">
        <f ca="1"/>
        <v>45911</v>
      </c>
      <c r="B174" vm="443">
        <f ca="1"/>
        <v>9.11</v>
      </c>
      <c r="C174">
        <f ca="1"/>
        <v>8.7884876462266632</v>
      </c>
      <c r="D174">
        <f t="shared" ca="1" si="2"/>
        <v>0.59366036719571191</v>
      </c>
    </row>
    <row r="175" spans="1:4" x14ac:dyDescent="0.25">
      <c r="A175" vm="554">
        <f ca="1"/>
        <v>45912</v>
      </c>
      <c r="B175" vm="500">
        <f ca="1"/>
        <v>9.57</v>
      </c>
      <c r="C175">
        <f ca="1"/>
        <v>8.9128979469882594</v>
      </c>
      <c r="D175">
        <f t="shared" ca="1" si="2"/>
        <v>0.55916737914039383</v>
      </c>
    </row>
    <row r="176" spans="1:4" x14ac:dyDescent="0.25">
      <c r="A176" vm="555">
        <f ca="1"/>
        <v>45915</v>
      </c>
      <c r="B176" vm="748">
        <f ca="1"/>
        <v>9.59</v>
      </c>
      <c r="C176">
        <f ca="1"/>
        <v>9.2940638623256682</v>
      </c>
      <c r="D176">
        <f t="shared" ca="1" si="2"/>
        <v>0.65934477044698681</v>
      </c>
    </row>
    <row r="177" spans="1:4" x14ac:dyDescent="0.25">
      <c r="A177" vm="556">
        <f ca="1"/>
        <v>45916</v>
      </c>
      <c r="B177" vm="748">
        <f ca="1"/>
        <v>9.59</v>
      </c>
      <c r="C177">
        <f ca="1"/>
        <v>9.4427051714512871</v>
      </c>
      <c r="D177">
        <f t="shared" ca="1" si="2"/>
        <v>0.66795268505612315</v>
      </c>
    </row>
    <row r="178" spans="1:4" x14ac:dyDescent="0.25">
      <c r="A178" vm="559">
        <f ca="1"/>
        <v>45917</v>
      </c>
      <c r="B178" vm="1870">
        <f ca="1"/>
        <v>9.85</v>
      </c>
      <c r="C178">
        <f ca="1"/>
        <v>9.57897772005267</v>
      </c>
      <c r="D178">
        <f t="shared" ca="1" si="2"/>
        <v>0.69029818118503583</v>
      </c>
    </row>
    <row r="179" spans="1:4" x14ac:dyDescent="0.25">
      <c r="A179" vm="560">
        <f ca="1"/>
        <v>45918</v>
      </c>
      <c r="B179" vm="755">
        <f ca="1"/>
        <v>9.9499999999999993</v>
      </c>
      <c r="C179">
        <f ca="1"/>
        <v>9.7104707367197847</v>
      </c>
      <c r="D179">
        <f t="shared" ca="1" si="2"/>
        <v>0.69723136686997134</v>
      </c>
    </row>
    <row r="180" spans="1:4" x14ac:dyDescent="0.25">
      <c r="A180" vm="561">
        <f ca="1"/>
        <v>45919</v>
      </c>
      <c r="B180" vm="658">
        <f ca="1"/>
        <v>9.6300000000000008</v>
      </c>
      <c r="C180">
        <f ca="1"/>
        <v>9.8317565783693528</v>
      </c>
      <c r="D180">
        <f t="shared" ca="1" si="2"/>
        <v>0.73456682545064067</v>
      </c>
    </row>
    <row r="181" spans="1:4" x14ac:dyDescent="0.25">
      <c r="A181" vm="562">
        <f ca="1"/>
        <v>45922</v>
      </c>
      <c r="B181" vm="669">
        <f ca="1"/>
        <v>10.050000000000001</v>
      </c>
      <c r="C181">
        <f ca="1"/>
        <v>10.11023954960427</v>
      </c>
      <c r="D181">
        <f t="shared" ca="1" si="2"/>
        <v>0.78297996882356302</v>
      </c>
    </row>
    <row r="182" spans="1:4" x14ac:dyDescent="0.25">
      <c r="A182" vm="563">
        <f ca="1"/>
        <v>45923</v>
      </c>
      <c r="B182" vm="657">
        <f ca="1"/>
        <v>9.35</v>
      </c>
      <c r="C182">
        <f ca="1"/>
        <v>10.181939366865429</v>
      </c>
      <c r="D182">
        <f t="shared" ca="1" si="2"/>
        <v>0.79425751491566021</v>
      </c>
    </row>
    <row r="183" spans="1:4" x14ac:dyDescent="0.25">
      <c r="A183" vm="564">
        <f ca="1"/>
        <v>45924</v>
      </c>
      <c r="B183" vm="1857">
        <f ca="1"/>
        <v>10.37</v>
      </c>
      <c r="C183">
        <f ca="1"/>
        <v>10.251152245055774</v>
      </c>
      <c r="D183">
        <f t="shared" ca="1" si="2"/>
        <v>0.79386860904122725</v>
      </c>
    </row>
    <row r="184" spans="1:4" x14ac:dyDescent="0.25">
      <c r="A184" vm="566">
        <f ca="1"/>
        <v>45925</v>
      </c>
      <c r="B184" vm="180">
        <f ca="1"/>
        <v>11.13</v>
      </c>
      <c r="C184">
        <f ca="1"/>
        <v>10.318134554359093</v>
      </c>
      <c r="D184">
        <f t="shared" ca="1" si="2"/>
        <v>0.81003638644719</v>
      </c>
    </row>
    <row r="185" spans="1:4" x14ac:dyDescent="0.25">
      <c r="A185" vm="568">
        <f ca="1"/>
        <v>45926</v>
      </c>
      <c r="B185" vm="815">
        <f ca="1"/>
        <v>10.8</v>
      </c>
      <c r="C185">
        <f ca="1"/>
        <v>10.378228455779974</v>
      </c>
      <c r="D185">
        <f t="shared" ca="1" si="2"/>
        <v>0.76029080308994801</v>
      </c>
    </row>
    <row r="186" spans="1:4" x14ac:dyDescent="0.25">
      <c r="A186" vm="571">
        <f ca="1"/>
        <v>45929</v>
      </c>
      <c r="B186" vm="1804">
        <f ca="1"/>
        <v>10.41</v>
      </c>
      <c r="C186">
        <f ca="1"/>
        <v>10.46233003758973</v>
      </c>
      <c r="D186">
        <f t="shared" ca="1" si="2"/>
        <v>0.72264062554233044</v>
      </c>
    </row>
    <row r="187" spans="1:4" x14ac:dyDescent="0.25">
      <c r="A187" vm="573">
        <f ca="1"/>
        <v>45930</v>
      </c>
      <c r="B187" vm="1407">
        <f ca="1"/>
        <v>10.33</v>
      </c>
      <c r="C187">
        <f ca="1"/>
        <v>10.447968673749536</v>
      </c>
      <c r="D187">
        <f t="shared" ca="1" si="2"/>
        <v>0.70847705456288801</v>
      </c>
    </row>
    <row r="188" spans="1:4" x14ac:dyDescent="0.25">
      <c r="A188" vm="575">
        <f ca="1"/>
        <v>45931</v>
      </c>
      <c r="B188" vm="1900">
        <f ca="1"/>
        <v>10.76</v>
      </c>
      <c r="C188">
        <f ca="1"/>
        <v>10.415283707817597</v>
      </c>
      <c r="D188">
        <f t="shared" ca="1" si="2"/>
        <v>0.70461710393510524</v>
      </c>
    </row>
    <row r="189" spans="1:4" x14ac:dyDescent="0.25">
      <c r="A189" vm="576">
        <f ca="1"/>
        <v>45932</v>
      </c>
      <c r="B189" vm="217">
        <f ca="1"/>
        <v>11.24</v>
      </c>
      <c r="C189">
        <f ca="1"/>
        <v>10.366971095488621</v>
      </c>
      <c r="D189">
        <f t="shared" ca="1" si="2"/>
        <v>0.72900003609847586</v>
      </c>
    </row>
    <row r="190" spans="1:4" x14ac:dyDescent="0.25">
      <c r="A190" vm="578">
        <f ca="1"/>
        <v>45933</v>
      </c>
      <c r="B190" vm="161">
        <f ca="1"/>
        <v>10.58</v>
      </c>
      <c r="C190">
        <f ca="1"/>
        <v>10.30725099895465</v>
      </c>
      <c r="D190">
        <f t="shared" ca="1" si="2"/>
        <v>0.65815911530011617</v>
      </c>
    </row>
    <row r="191" spans="1:4" x14ac:dyDescent="0.25">
      <c r="A191" vm="580">
        <f ca="1"/>
        <v>45936</v>
      </c>
      <c r="B191" vm="1901">
        <f ca="1"/>
        <v>10.61</v>
      </c>
      <c r="C191">
        <f ca="1"/>
        <v>10.062598615982003</v>
      </c>
      <c r="D191">
        <f t="shared" ca="1" si="2"/>
        <v>0.64632137191143058</v>
      </c>
    </row>
    <row r="192" spans="1:4" x14ac:dyDescent="0.25">
      <c r="A192" vm="582">
        <f ca="1"/>
        <v>45937</v>
      </c>
      <c r="B192" vm="1431">
        <f ca="1"/>
        <v>9.93</v>
      </c>
      <c r="C192">
        <f ca="1"/>
        <v>9.9641185228768272</v>
      </c>
      <c r="D192">
        <f t="shared" ca="1" si="2"/>
        <v>0.61830072737599484</v>
      </c>
    </row>
    <row r="193" spans="1:4" x14ac:dyDescent="0.25">
      <c r="A193" vm="584">
        <f ca="1"/>
        <v>45938</v>
      </c>
      <c r="B193" vm="663">
        <f ca="1"/>
        <v>9.89</v>
      </c>
      <c r="C193">
        <f ca="1"/>
        <v>9.8621183761418134</v>
      </c>
      <c r="D193">
        <f t="shared" ca="1" si="2"/>
        <v>0.61972383492887173</v>
      </c>
    </row>
    <row r="194" spans="1:4" x14ac:dyDescent="0.25">
      <c r="A194" vm="585">
        <f ca="1"/>
        <v>45939</v>
      </c>
      <c r="B194" vm="408">
        <f ca="1"/>
        <v>9.58</v>
      </c>
      <c r="C194">
        <f ca="1"/>
        <v>9.7594993737606863</v>
      </c>
      <c r="D194">
        <f t="shared" ca="1" si="2"/>
        <v>0.61846392908475067</v>
      </c>
    </row>
    <row r="195" spans="1:4" x14ac:dyDescent="0.25">
      <c r="A195" vm="587">
        <f ca="1"/>
        <v>45940</v>
      </c>
      <c r="B195" vm="558">
        <f ca="1"/>
        <v>8.51</v>
      </c>
      <c r="C195">
        <f ca="1"/>
        <v>9.6600293673391668</v>
      </c>
      <c r="D195">
        <f t="shared" ref="D195:D234" ca="1" si="3">_xlfn.STDEV.S(B195:B214)</f>
        <v>0.62340380383149652</v>
      </c>
    </row>
    <row r="196" spans="1:4" x14ac:dyDescent="0.25">
      <c r="A196" vm="590">
        <f ca="1"/>
        <v>45943</v>
      </c>
      <c r="B196" vm="318">
        <f ca="1"/>
        <v>9.41</v>
      </c>
      <c r="C196">
        <f ca="1"/>
        <v>9.4090236293667324</v>
      </c>
      <c r="D196">
        <f t="shared" ca="1" si="3"/>
        <v>0.56490911006247635</v>
      </c>
    </row>
    <row r="197" spans="1:4" x14ac:dyDescent="0.25">
      <c r="A197" vm="592">
        <f ca="1"/>
        <v>45944</v>
      </c>
      <c r="B197" vm="654">
        <f ca="1"/>
        <v>9.18</v>
      </c>
      <c r="C197">
        <f ca="1"/>
        <v>9.3542985199988813</v>
      </c>
      <c r="D197">
        <f t="shared" ca="1" si="3"/>
        <v>0.56111373038008316</v>
      </c>
    </row>
    <row r="198" spans="1:4" x14ac:dyDescent="0.25">
      <c r="A198" vm="594">
        <f ca="1"/>
        <v>45945</v>
      </c>
      <c r="B198" vm="748">
        <f ca="1"/>
        <v>9.59</v>
      </c>
      <c r="C198">
        <f ca="1"/>
        <v>9.3154421209962024</v>
      </c>
      <c r="D198">
        <f t="shared" ca="1" si="3"/>
        <v>0.54764922263491955</v>
      </c>
    </row>
    <row r="199" spans="1:4" x14ac:dyDescent="0.25">
      <c r="A199" vm="596">
        <f ca="1"/>
        <v>45946</v>
      </c>
      <c r="B199" vm="383">
        <f ca="1"/>
        <v>9.0299999999999994</v>
      </c>
      <c r="C199">
        <f ca="1"/>
        <v>9.2920845476556178</v>
      </c>
      <c r="D199">
        <f t="shared" ca="1" si="3"/>
        <v>0.57311079805052123</v>
      </c>
    </row>
    <row r="200" spans="1:4" x14ac:dyDescent="0.25">
      <c r="A200" vm="597">
        <f ca="1"/>
        <v>45947</v>
      </c>
      <c r="B200" vm="450">
        <f ca="1"/>
        <v>8.76</v>
      </c>
      <c r="C200">
        <f ca="1"/>
        <v>9.2864032862994623</v>
      </c>
      <c r="D200">
        <f t="shared" ca="1" si="3"/>
        <v>0.59179449446933063</v>
      </c>
    </row>
    <row r="201" spans="1:4" x14ac:dyDescent="0.25">
      <c r="A201" vm="600">
        <f ca="1"/>
        <v>45950</v>
      </c>
      <c r="B201" vm="506">
        <f ca="1"/>
        <v>9.3699999999999992</v>
      </c>
      <c r="C201">
        <f ca="1"/>
        <v>9.4134806323434788</v>
      </c>
      <c r="D201">
        <f t="shared" ca="1" si="3"/>
        <v>0.58854923104904389</v>
      </c>
    </row>
    <row r="202" spans="1:4" x14ac:dyDescent="0.25">
      <c r="A202" vm="601">
        <f ca="1"/>
        <v>45951</v>
      </c>
      <c r="B202" vm="493">
        <f ca="1"/>
        <v>9.36</v>
      </c>
      <c r="C202">
        <f ca="1"/>
        <v>9.4912422040309217</v>
      </c>
      <c r="D202">
        <f t="shared" ca="1" si="3"/>
        <v>0.63582080188152301</v>
      </c>
    </row>
    <row r="203" spans="1:4" x14ac:dyDescent="0.25">
      <c r="A203" vm="604">
        <f ca="1"/>
        <v>45952</v>
      </c>
      <c r="B203" vm="1542">
        <f ca="1"/>
        <v>9.07</v>
      </c>
      <c r="C203">
        <f ca="1"/>
        <v>9.5745227076229824</v>
      </c>
      <c r="D203">
        <f t="shared" ca="1" si="3"/>
        <v>0.67061656626373933</v>
      </c>
    </row>
    <row r="204" spans="1:4" x14ac:dyDescent="0.25">
      <c r="A204" vm="606">
        <f ca="1"/>
        <v>45953</v>
      </c>
      <c r="B204" vm="521">
        <f ca="1"/>
        <v>9.39</v>
      </c>
      <c r="C204">
        <f ca="1"/>
        <v>9.6563700370996308</v>
      </c>
      <c r="D204">
        <f t="shared" ca="1" si="3"/>
        <v>0.72180074521260618</v>
      </c>
    </row>
    <row r="205" spans="1:4" x14ac:dyDescent="0.25">
      <c r="A205" vm="608">
        <f ca="1"/>
        <v>45954</v>
      </c>
      <c r="B205" vm="535">
        <f ca="1"/>
        <v>9.6199999999999992</v>
      </c>
      <c r="C205">
        <f ca="1"/>
        <v>9.7305486331818969</v>
      </c>
      <c r="D205">
        <f t="shared" ca="1" si="3"/>
        <v>0.78276315568295407</v>
      </c>
    </row>
    <row r="206" spans="1:4" x14ac:dyDescent="0.25">
      <c r="A206" vm="610">
        <f ca="1"/>
        <v>45957</v>
      </c>
      <c r="B206" vm="793">
        <f ca="1"/>
        <v>10.02</v>
      </c>
      <c r="C206">
        <f ca="1"/>
        <v>9.8952411544247578</v>
      </c>
      <c r="D206">
        <f t="shared" ca="1" si="3"/>
        <v>0.82187622323302989</v>
      </c>
    </row>
    <row r="207" spans="1:4" x14ac:dyDescent="0.25">
      <c r="A207" vm="611">
        <f ca="1"/>
        <v>45958</v>
      </c>
      <c r="B207" vm="834">
        <f ca="1"/>
        <v>10.24</v>
      </c>
      <c r="C207">
        <f ca="1"/>
        <v>9.9346895107584992</v>
      </c>
      <c r="D207">
        <f t="shared" ca="1" si="3"/>
        <v>0.82011953557489325</v>
      </c>
    </row>
    <row r="208" spans="1:4" x14ac:dyDescent="0.25">
      <c r="A208" vm="614">
        <f ca="1"/>
        <v>45959</v>
      </c>
      <c r="B208" vm="156">
        <f ca="1"/>
        <v>11.04</v>
      </c>
      <c r="C208">
        <f ca="1"/>
        <v>9.9681995776879528</v>
      </c>
      <c r="D208">
        <f t="shared" ca="1" si="3"/>
        <v>0.8015552317050173</v>
      </c>
    </row>
    <row r="209" spans="1:4" x14ac:dyDescent="0.25">
      <c r="A209" vm="618">
        <f ca="1"/>
        <v>45960</v>
      </c>
      <c r="B209" vm="1804">
        <f ca="1"/>
        <v>10.41</v>
      </c>
      <c r="C209">
        <f ca="1"/>
        <v>9.995898864424694</v>
      </c>
      <c r="D209">
        <f t="shared" ca="1" si="3"/>
        <v>0.69829604640227816</v>
      </c>
    </row>
    <row r="210" spans="1:4" x14ac:dyDescent="0.25">
      <c r="A210" vm="621">
        <f ca="1"/>
        <v>45961</v>
      </c>
      <c r="B210" vm="1405">
        <f ca="1"/>
        <v>10.4</v>
      </c>
      <c r="C210">
        <f ca="1"/>
        <v>10.017615538980877</v>
      </c>
      <c r="D210">
        <f t="shared" ca="1" si="3"/>
        <v>0.64282783976656399</v>
      </c>
    </row>
    <row r="211" spans="1:4" x14ac:dyDescent="0.25">
      <c r="A211" vm="622">
        <f ca="1"/>
        <v>45964</v>
      </c>
      <c r="B211" vm="1902">
        <f ca="1"/>
        <v>10.14</v>
      </c>
      <c r="C211">
        <f ca="1"/>
        <v>9.9807984247581665</v>
      </c>
      <c r="D211">
        <f t="shared" ca="1" si="3"/>
        <v>0.57310006474482811</v>
      </c>
    </row>
    <row r="212" spans="1:4" x14ac:dyDescent="0.25">
      <c r="A212" vm="623">
        <f ca="1"/>
        <v>45965</v>
      </c>
      <c r="B212" vm="474">
        <f ca="1"/>
        <v>9.2799999999999994</v>
      </c>
      <c r="C212">
        <f ca="1"/>
        <v>9.9207745895719377</v>
      </c>
      <c r="D212">
        <f t="shared" ca="1" si="3"/>
        <v>0.51989497927339523</v>
      </c>
    </row>
    <row r="213" spans="1:4" x14ac:dyDescent="0.25">
      <c r="A213" vm="626">
        <f ca="1"/>
        <v>45966</v>
      </c>
      <c r="B213" vm="1395">
        <f ca="1"/>
        <v>9.83</v>
      </c>
      <c r="C213">
        <f ca="1"/>
        <v>9.8421233265676573</v>
      </c>
      <c r="D213">
        <f t="shared" ca="1" si="3"/>
        <v>0.51683602204588097</v>
      </c>
    </row>
    <row r="214" spans="1:4" x14ac:dyDescent="0.25">
      <c r="A214" vm="627">
        <f ca="1"/>
        <v>45967</v>
      </c>
      <c r="B214" vm="1903">
        <f ca="1"/>
        <v>9.9649999999999999</v>
      </c>
      <c r="C214">
        <f ca="1"/>
        <v>9.7518078437995666</v>
      </c>
      <c r="D214">
        <f t="shared" ca="1" si="3"/>
        <v>0.47886543544419419</v>
      </c>
    </row>
    <row r="215" spans="1:4" x14ac:dyDescent="0.25">
      <c r="A215" vm="629">
        <f ca="1"/>
        <v>45968</v>
      </c>
      <c r="B215" vm="484">
        <f ca="1"/>
        <v>9.65</v>
      </c>
      <c r="C215">
        <f ca="1"/>
        <v>9.6557473073131295</v>
      </c>
      <c r="D215">
        <f t="shared" ca="1" si="3"/>
        <v>0.41499675014580384</v>
      </c>
    </row>
    <row r="216" spans="1:4" x14ac:dyDescent="0.25">
      <c r="A216" vm="631">
        <f ca="1"/>
        <v>45971</v>
      </c>
      <c r="B216" vm="635">
        <f ca="1"/>
        <v>9.6999999999999993</v>
      </c>
      <c r="C216">
        <f ca="1"/>
        <v>9.3514465518108132</v>
      </c>
      <c r="D216">
        <f t="shared" ca="1" si="3"/>
        <v>0.38987607680281905</v>
      </c>
    </row>
    <row r="217" spans="1:4" x14ac:dyDescent="0.25">
      <c r="A217" vm="632">
        <f ca="1"/>
        <v>45972</v>
      </c>
      <c r="B217" vm="405">
        <f ca="1"/>
        <v>9.7899999999999991</v>
      </c>
      <c r="C217">
        <f ca="1"/>
        <v>9.2535320856815915</v>
      </c>
      <c r="D217">
        <f t="shared" ca="1" si="3"/>
        <v>0.37164454933798163</v>
      </c>
    </row>
    <row r="218" spans="1:4" x14ac:dyDescent="0.25">
      <c r="A218" vm="634">
        <f ca="1"/>
        <v>45973</v>
      </c>
      <c r="B218" vm="337">
        <f ca="1"/>
        <v>8.9700000000000006</v>
      </c>
      <c r="C218">
        <f ca="1"/>
        <v>9.1581058947894025</v>
      </c>
      <c r="D218">
        <f t="shared" ca="1" si="3"/>
        <v>0.30827395113335204</v>
      </c>
    </row>
    <row r="219" spans="1:4" x14ac:dyDescent="0.25">
      <c r="A219" vm="636">
        <f ca="1"/>
        <v>45974</v>
      </c>
      <c r="B219" vm="418">
        <f ca="1"/>
        <v>8.77</v>
      </c>
      <c r="C219">
        <f ca="1"/>
        <v>9.0736033844498358</v>
      </c>
      <c r="D219">
        <f t="shared" ca="1" si="3"/>
        <v>0.31510255454857999</v>
      </c>
    </row>
    <row r="220" spans="1:4" x14ac:dyDescent="0.25">
      <c r="A220" vm="637">
        <f ca="1"/>
        <v>45975</v>
      </c>
      <c r="B220" vm="552">
        <f ca="1"/>
        <v>8.8000000000000007</v>
      </c>
      <c r="C220">
        <f ca="1"/>
        <v>8.9992036576444541</v>
      </c>
      <c r="D220">
        <f t="shared" ca="1" si="3"/>
        <v>0.32388382993616327</v>
      </c>
    </row>
    <row r="221" spans="1:4" x14ac:dyDescent="0.25">
      <c r="A221" vm="639">
        <f ca="1"/>
        <v>45978</v>
      </c>
      <c r="B221" vm="351">
        <f ca="1"/>
        <v>8.58</v>
      </c>
      <c r="C221">
        <f ca="1"/>
        <v>8.8240049001072443</v>
      </c>
      <c r="D221">
        <f t="shared" ca="1" si="3"/>
        <v>0.33373609246194003</v>
      </c>
    </row>
    <row r="222" spans="1:4" x14ac:dyDescent="0.25">
      <c r="A222" vm="643">
        <f ca="1"/>
        <v>45979</v>
      </c>
      <c r="B222" vm="241">
        <f ca="1"/>
        <v>8.6649999999999991</v>
      </c>
      <c r="C222">
        <f ca="1"/>
        <v>8.7803779030909013</v>
      </c>
      <c r="D222">
        <f t="shared" ca="1" si="3"/>
        <v>0.33787062982745319</v>
      </c>
    </row>
    <row r="223" spans="1:4" x14ac:dyDescent="0.25">
      <c r="A223" vm="644">
        <f ca="1"/>
        <v>45980</v>
      </c>
      <c r="B223" vm="595">
        <f ca="1"/>
        <v>8.32</v>
      </c>
      <c r="C223">
        <f ca="1"/>
        <v>8.7481043990670901</v>
      </c>
      <c r="D223">
        <f t="shared" ca="1" si="3"/>
        <v>0.34589153268178191</v>
      </c>
    </row>
    <row r="224" spans="1:4" x14ac:dyDescent="0.25">
      <c r="A224" vm="647">
        <f ca="1"/>
        <v>45981</v>
      </c>
      <c r="B224" vm="549">
        <f ca="1"/>
        <v>8.2200000000000006</v>
      </c>
      <c r="C224">
        <f ca="1"/>
        <v>8.7273098919560148</v>
      </c>
      <c r="D224">
        <f t="shared" ca="1" si="3"/>
        <v>0.32310053550552326</v>
      </c>
    </row>
    <row r="225" spans="1:4" x14ac:dyDescent="0.25">
      <c r="A225" vm="648">
        <f ca="1"/>
        <v>45982</v>
      </c>
      <c r="B225" vm="366">
        <f ca="1"/>
        <v>8.39</v>
      </c>
      <c r="C225">
        <f ca="1"/>
        <v>8.7150247490436943</v>
      </c>
      <c r="D225">
        <f t="shared" ca="1" si="3"/>
        <v>0.26675639516040528</v>
      </c>
    </row>
    <row r="226" spans="1:4" x14ac:dyDescent="0.25">
      <c r="A226" vm="650">
        <f ca="1"/>
        <v>45985</v>
      </c>
      <c r="B226" vm="380">
        <f ca="1"/>
        <v>8.89</v>
      </c>
      <c r="C226">
        <f ca="1"/>
        <v>8.7511071748521232</v>
      </c>
      <c r="D226">
        <f t="shared" ca="1" si="3"/>
        <v>0.21461734799546389</v>
      </c>
    </row>
    <row r="227" spans="1:4" x14ac:dyDescent="0.25">
      <c r="A227" vm="651">
        <f ca="1"/>
        <v>45986</v>
      </c>
      <c r="B227" vm="586">
        <f ca="1"/>
        <v>8.94</v>
      </c>
      <c r="C227">
        <f ca="1"/>
        <v>8.7633295536305056</v>
      </c>
      <c r="D227">
        <f t="shared" ca="1" si="3"/>
        <v>0.22195822702809315</v>
      </c>
    </row>
    <row r="228" spans="1:4" x14ac:dyDescent="0.25">
      <c r="A228" vm="653">
        <f ca="1"/>
        <v>45987</v>
      </c>
      <c r="B228" vm="1411">
        <f ca="1"/>
        <v>8.91</v>
      </c>
      <c r="C228">
        <f ca="1"/>
        <v>8.7768900302854984</v>
      </c>
      <c r="D228">
        <f t="shared" ca="1" si="3"/>
        <v>0.23254390266499494</v>
      </c>
    </row>
    <row r="229" spans="1:4" x14ac:dyDescent="0.25">
      <c r="A229" vm="655">
        <f ca="1"/>
        <v>45989</v>
      </c>
      <c r="B229" vm="586">
        <f ca="1"/>
        <v>8.94</v>
      </c>
      <c r="C229">
        <f ca="1"/>
        <v>8.8078513400165974</v>
      </c>
      <c r="D229">
        <f t="shared" ca="1" si="3"/>
        <v>0.24315632831575654</v>
      </c>
    </row>
    <row r="230" spans="1:4" x14ac:dyDescent="0.25">
      <c r="A230" vm="656">
        <f ca="1"/>
        <v>45992</v>
      </c>
      <c r="B230" vm="337">
        <f ca="1"/>
        <v>8.9700000000000006</v>
      </c>
      <c r="C230">
        <f ca="1"/>
        <v>8.8610985363068213</v>
      </c>
      <c r="D230">
        <f t="shared" ca="1" si="3"/>
        <v>0.25723807760793999</v>
      </c>
    </row>
    <row r="231" spans="1:4" x14ac:dyDescent="0.25">
      <c r="A231" vm="659">
        <f ca="1"/>
        <v>45993</v>
      </c>
      <c r="B231" vm="418">
        <f ca="1"/>
        <v>8.77</v>
      </c>
      <c r="C231">
        <f ca="1"/>
        <v>8.8798851775617944</v>
      </c>
      <c r="D231">
        <f t="shared" ca="1" si="3"/>
        <v>0.27591406529673584</v>
      </c>
    </row>
    <row r="232" spans="1:4" x14ac:dyDescent="0.25">
      <c r="A232" vm="660">
        <f ca="1"/>
        <v>45994</v>
      </c>
      <c r="B232" vm="380">
        <f ca="1"/>
        <v>8.89</v>
      </c>
      <c r="C232">
        <f ca="1"/>
        <v>8.8989072510819867</v>
      </c>
      <c r="D232">
        <f t="shared" ca="1" si="3"/>
        <v>0.26889898970927095</v>
      </c>
    </row>
    <row r="233" spans="1:4" x14ac:dyDescent="0.25">
      <c r="A233" vm="662">
        <f ca="1"/>
        <v>45995</v>
      </c>
      <c r="B233" vm="1904">
        <f ca="1"/>
        <v>8.85</v>
      </c>
      <c r="C233">
        <f ca="1"/>
        <v>8.9180454353298106</v>
      </c>
      <c r="D233">
        <f t="shared" ca="1" si="3"/>
        <v>0.27700180504827043</v>
      </c>
    </row>
    <row r="234" spans="1:4" x14ac:dyDescent="0.25">
      <c r="A234" vm="665">
        <f ca="1"/>
        <v>45996</v>
      </c>
      <c r="B234" vm="586">
        <f ca="1"/>
        <v>8.94</v>
      </c>
      <c r="C234">
        <f ca="1"/>
        <v>8.9372138400568115</v>
      </c>
      <c r="D234">
        <f t="shared" ca="1" si="3"/>
        <v>0.25651510676761324</v>
      </c>
    </row>
    <row r="235" spans="1:4" x14ac:dyDescent="0.25">
      <c r="A235" vm="668">
        <f ca="1"/>
        <v>45999</v>
      </c>
      <c r="B235" vm="475">
        <f ca="1"/>
        <v>9.33</v>
      </c>
    </row>
    <row r="236" spans="1:4" x14ac:dyDescent="0.25">
      <c r="A236" vm="671">
        <f ca="1"/>
        <v>46000</v>
      </c>
      <c r="B236" vm="396">
        <f ca="1"/>
        <v>9.52</v>
      </c>
    </row>
    <row r="237" spans="1:4" x14ac:dyDescent="0.25">
      <c r="A237" vm="675">
        <f ca="1"/>
        <v>46001</v>
      </c>
      <c r="B237" vm="373">
        <f ca="1"/>
        <v>9.09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7"/>
  <sheetViews>
    <sheetView workbookViewId="0">
      <selection sqref="A1:B1048576"/>
    </sheetView>
  </sheetViews>
  <sheetFormatPr defaultRowHeight="15" x14ac:dyDescent="0.25"/>
  <cols>
    <col min="1" max="1" width="9.42578125" bestFit="1" customWidth="1"/>
  </cols>
  <sheetData>
    <row r="1" spans="1:2" x14ac:dyDescent="0.25">
      <c r="A1" t="str" cm="1">
        <f t="array" aca="1" ref="A1:B237" ca="1">_xlfn.STOCKHISTORY("GBTG", DATE(YEAR(TODAY()),1,1), TODAY())</f>
        <v>Date</v>
      </c>
      <c r="B1" t="str">
        <f ca="1"/>
        <v>Close</v>
      </c>
    </row>
    <row r="2" spans="1:2" x14ac:dyDescent="0.25">
      <c r="A2" vm="1">
        <f ca="1"/>
        <v>45659</v>
      </c>
      <c r="B2" vm="394">
        <f ca="1"/>
        <v>9.16</v>
      </c>
    </row>
    <row r="3" spans="1:2" x14ac:dyDescent="0.25">
      <c r="A3" vm="5">
        <f ca="1"/>
        <v>45660</v>
      </c>
      <c r="B3" vm="373">
        <f ca="1"/>
        <v>9.09</v>
      </c>
    </row>
    <row r="4" spans="1:2" x14ac:dyDescent="0.25">
      <c r="A4" vm="9">
        <f ca="1"/>
        <v>45663</v>
      </c>
      <c r="B4" vm="435">
        <f ca="1"/>
        <v>8.83</v>
      </c>
    </row>
    <row r="5" spans="1:2" x14ac:dyDescent="0.25">
      <c r="A5" vm="13">
        <f ca="1"/>
        <v>45664</v>
      </c>
      <c r="B5" vm="640">
        <f ca="1"/>
        <v>8.8699999999999992</v>
      </c>
    </row>
    <row r="6" spans="1:2" x14ac:dyDescent="0.25">
      <c r="A6" vm="15">
        <f ca="1"/>
        <v>45665</v>
      </c>
      <c r="B6" vm="630">
        <f ca="1"/>
        <v>8.9</v>
      </c>
    </row>
    <row r="7" spans="1:2" x14ac:dyDescent="0.25">
      <c r="A7" vm="19">
        <f ca="1"/>
        <v>45667</v>
      </c>
      <c r="B7" vm="265">
        <f ca="1"/>
        <v>8.59</v>
      </c>
    </row>
    <row r="8" spans="1:2" x14ac:dyDescent="0.25">
      <c r="A8" vm="23">
        <f ca="1"/>
        <v>45670</v>
      </c>
      <c r="B8" vm="1895">
        <f ca="1"/>
        <v>8.7899999999999991</v>
      </c>
    </row>
    <row r="9" spans="1:2" x14ac:dyDescent="0.25">
      <c r="A9" vm="27">
        <f ca="1"/>
        <v>45671</v>
      </c>
      <c r="B9" vm="1411">
        <f ca="1"/>
        <v>8.91</v>
      </c>
    </row>
    <row r="10" spans="1:2" x14ac:dyDescent="0.25">
      <c r="A10" vm="31">
        <f ca="1"/>
        <v>45672</v>
      </c>
      <c r="B10" vm="337">
        <f ca="1"/>
        <v>8.9700000000000006</v>
      </c>
    </row>
    <row r="11" spans="1:2" x14ac:dyDescent="0.25">
      <c r="A11" vm="35">
        <f ca="1"/>
        <v>45673</v>
      </c>
      <c r="B11" vm="337">
        <f ca="1"/>
        <v>8.9700000000000006</v>
      </c>
    </row>
    <row r="12" spans="1:2" x14ac:dyDescent="0.25">
      <c r="A12" vm="39">
        <f ca="1"/>
        <v>45674</v>
      </c>
      <c r="B12" vm="331">
        <f ca="1"/>
        <v>9</v>
      </c>
    </row>
    <row r="13" spans="1:2" x14ac:dyDescent="0.25">
      <c r="A13" vm="43">
        <f ca="1"/>
        <v>45678</v>
      </c>
      <c r="B13" vm="383">
        <f ca="1"/>
        <v>9.0299999999999994</v>
      </c>
    </row>
    <row r="14" spans="1:2" x14ac:dyDescent="0.25">
      <c r="A14" vm="47">
        <f ca="1"/>
        <v>45679</v>
      </c>
      <c r="B14" vm="337">
        <f ca="1"/>
        <v>8.9700000000000006</v>
      </c>
    </row>
    <row r="15" spans="1:2" x14ac:dyDescent="0.25">
      <c r="A15" vm="51">
        <f ca="1"/>
        <v>45680</v>
      </c>
      <c r="B15" vm="331">
        <f ca="1"/>
        <v>9</v>
      </c>
    </row>
    <row r="16" spans="1:2" x14ac:dyDescent="0.25">
      <c r="A16" vm="55">
        <f ca="1"/>
        <v>45681</v>
      </c>
      <c r="B16" vm="335">
        <f ca="1"/>
        <v>8.9499999999999993</v>
      </c>
    </row>
    <row r="17" spans="1:2" x14ac:dyDescent="0.25">
      <c r="A17" vm="59">
        <f ca="1"/>
        <v>45684</v>
      </c>
      <c r="B17" vm="385">
        <f ca="1"/>
        <v>8.82</v>
      </c>
    </row>
    <row r="18" spans="1:2" x14ac:dyDescent="0.25">
      <c r="A18" vm="63">
        <f ca="1"/>
        <v>45685</v>
      </c>
      <c r="B18" vm="338">
        <f ca="1"/>
        <v>8.99</v>
      </c>
    </row>
    <row r="19" spans="1:2" x14ac:dyDescent="0.25">
      <c r="A19" vm="67">
        <f ca="1"/>
        <v>45686</v>
      </c>
      <c r="B19" vm="337">
        <f ca="1"/>
        <v>8.9700000000000006</v>
      </c>
    </row>
    <row r="20" spans="1:2" x14ac:dyDescent="0.25">
      <c r="A20" vm="71">
        <f ca="1"/>
        <v>45687</v>
      </c>
      <c r="B20" vm="331">
        <f ca="1"/>
        <v>9</v>
      </c>
    </row>
    <row r="21" spans="1:2" x14ac:dyDescent="0.25">
      <c r="A21" vm="75">
        <f ca="1"/>
        <v>45688</v>
      </c>
      <c r="B21" vm="385">
        <f ca="1"/>
        <v>8.82</v>
      </c>
    </row>
    <row r="22" spans="1:2" x14ac:dyDescent="0.25">
      <c r="A22" vm="78">
        <f ca="1"/>
        <v>45691</v>
      </c>
      <c r="B22" vm="470">
        <f ca="1"/>
        <v>8.92</v>
      </c>
    </row>
    <row r="23" spans="1:2" x14ac:dyDescent="0.25">
      <c r="A23" vm="82">
        <f ca="1"/>
        <v>45692</v>
      </c>
      <c r="B23" vm="338">
        <f ca="1"/>
        <v>8.99</v>
      </c>
    </row>
    <row r="24" spans="1:2" x14ac:dyDescent="0.25">
      <c r="A24" vm="85">
        <f ca="1"/>
        <v>45693</v>
      </c>
      <c r="B24" vm="331">
        <f ca="1"/>
        <v>9</v>
      </c>
    </row>
    <row r="25" spans="1:2" x14ac:dyDescent="0.25">
      <c r="A25" vm="88">
        <f ca="1"/>
        <v>45694</v>
      </c>
      <c r="B25" vm="461">
        <f ca="1"/>
        <v>8.98</v>
      </c>
    </row>
    <row r="26" spans="1:2" x14ac:dyDescent="0.25">
      <c r="A26" vm="92">
        <f ca="1"/>
        <v>45695</v>
      </c>
      <c r="B26" vm="335">
        <f ca="1"/>
        <v>8.9499999999999993</v>
      </c>
    </row>
    <row r="27" spans="1:2" x14ac:dyDescent="0.25">
      <c r="A27" vm="95">
        <f ca="1"/>
        <v>45698</v>
      </c>
      <c r="B27" vm="450">
        <f ca="1"/>
        <v>8.76</v>
      </c>
    </row>
    <row r="28" spans="1:2" x14ac:dyDescent="0.25">
      <c r="A28" vm="98">
        <f ca="1"/>
        <v>45699</v>
      </c>
      <c r="B28" vm="376">
        <f ca="1"/>
        <v>8.7799999999999994</v>
      </c>
    </row>
    <row r="29" spans="1:2" x14ac:dyDescent="0.25">
      <c r="A29" vm="101">
        <f ca="1"/>
        <v>45700</v>
      </c>
      <c r="B29" vm="376">
        <f ca="1"/>
        <v>8.7799999999999994</v>
      </c>
    </row>
    <row r="30" spans="1:2" x14ac:dyDescent="0.25">
      <c r="A30" vm="105">
        <f ca="1"/>
        <v>45701</v>
      </c>
      <c r="B30" vm="337">
        <f ca="1"/>
        <v>8.9700000000000006</v>
      </c>
    </row>
    <row r="31" spans="1:2" x14ac:dyDescent="0.25">
      <c r="A31" vm="109">
        <f ca="1"/>
        <v>45702</v>
      </c>
      <c r="B31" vm="335">
        <f ca="1"/>
        <v>8.9499999999999993</v>
      </c>
    </row>
    <row r="32" spans="1:2" x14ac:dyDescent="0.25">
      <c r="A32" vm="111">
        <f ca="1"/>
        <v>45706</v>
      </c>
      <c r="B32" vm="416">
        <f ca="1"/>
        <v>8.93</v>
      </c>
    </row>
    <row r="33" spans="1:2" x14ac:dyDescent="0.25">
      <c r="A33" vm="115">
        <f ca="1"/>
        <v>45707</v>
      </c>
      <c r="B33" vm="428">
        <f ca="1"/>
        <v>8.8800000000000008</v>
      </c>
    </row>
    <row r="34" spans="1:2" x14ac:dyDescent="0.25">
      <c r="A34" vm="119">
        <f ca="1"/>
        <v>45708</v>
      </c>
      <c r="B34" vm="339">
        <f ca="1"/>
        <v>8.74</v>
      </c>
    </row>
    <row r="35" spans="1:2" x14ac:dyDescent="0.25">
      <c r="A35" vm="123">
        <f ca="1"/>
        <v>45709</v>
      </c>
      <c r="B35" vm="364">
        <f ca="1"/>
        <v>8.5500000000000007</v>
      </c>
    </row>
    <row r="36" spans="1:2" x14ac:dyDescent="0.25">
      <c r="A36" vm="127">
        <f ca="1"/>
        <v>45712</v>
      </c>
      <c r="B36" vm="364">
        <f ca="1"/>
        <v>8.5500000000000007</v>
      </c>
    </row>
    <row r="37" spans="1:2" x14ac:dyDescent="0.25">
      <c r="A37" vm="131">
        <f ca="1"/>
        <v>45713</v>
      </c>
      <c r="B37" vm="607">
        <f ca="1"/>
        <v>8.5299999999999994</v>
      </c>
    </row>
    <row r="38" spans="1:2" x14ac:dyDescent="0.25">
      <c r="A38" vm="135">
        <f ca="1"/>
        <v>45714</v>
      </c>
      <c r="B38" vm="299">
        <f ca="1"/>
        <v>8.6199999999999992</v>
      </c>
    </row>
    <row r="39" spans="1:2" x14ac:dyDescent="0.25">
      <c r="A39" vm="139">
        <f ca="1"/>
        <v>45715</v>
      </c>
      <c r="B39" vm="309">
        <f ca="1"/>
        <v>8.11</v>
      </c>
    </row>
    <row r="40" spans="1:2" x14ac:dyDescent="0.25">
      <c r="A40" vm="143">
        <f ca="1"/>
        <v>45716</v>
      </c>
      <c r="B40" vm="1412">
        <f ca="1"/>
        <v>8.31</v>
      </c>
    </row>
    <row r="41" spans="1:2" x14ac:dyDescent="0.25">
      <c r="A41" vm="147">
        <f ca="1"/>
        <v>45719</v>
      </c>
      <c r="B41" vm="625">
        <f ca="1"/>
        <v>8.52</v>
      </c>
    </row>
    <row r="42" spans="1:2" x14ac:dyDescent="0.25">
      <c r="A42" vm="151">
        <f ca="1"/>
        <v>45720</v>
      </c>
      <c r="B42" vm="588">
        <f ca="1"/>
        <v>8.08</v>
      </c>
    </row>
    <row r="43" spans="1:2" x14ac:dyDescent="0.25">
      <c r="A43" vm="155">
        <f ca="1"/>
        <v>45721</v>
      </c>
      <c r="B43" vm="277">
        <f ca="1"/>
        <v>8.16</v>
      </c>
    </row>
    <row r="44" spans="1:2" x14ac:dyDescent="0.25">
      <c r="A44" vm="159">
        <f ca="1"/>
        <v>45722</v>
      </c>
      <c r="B44" vm="1899">
        <f ca="1"/>
        <v>7.98</v>
      </c>
    </row>
    <row r="45" spans="1:2" x14ac:dyDescent="0.25">
      <c r="A45" vm="162">
        <f ca="1"/>
        <v>45723</v>
      </c>
      <c r="B45" vm="1790">
        <f ca="1"/>
        <v>8.07</v>
      </c>
    </row>
    <row r="46" spans="1:2" x14ac:dyDescent="0.25">
      <c r="A46" vm="165">
        <f ca="1"/>
        <v>45726</v>
      </c>
      <c r="B46" vm="1382">
        <f ca="1"/>
        <v>7.81</v>
      </c>
    </row>
    <row r="47" spans="1:2" x14ac:dyDescent="0.25">
      <c r="A47" vm="169">
        <f ca="1"/>
        <v>45727</v>
      </c>
      <c r="B47" vm="1897">
        <f ca="1"/>
        <v>7.49</v>
      </c>
    </row>
    <row r="48" spans="1:2" x14ac:dyDescent="0.25">
      <c r="A48" vm="172">
        <f ca="1"/>
        <v>45728</v>
      </c>
      <c r="B48" vm="1905">
        <f ca="1"/>
        <v>7.37</v>
      </c>
    </row>
    <row r="49" spans="1:2" x14ac:dyDescent="0.25">
      <c r="A49" vm="176">
        <f ca="1"/>
        <v>45729</v>
      </c>
      <c r="B49" vm="1376">
        <f ca="1"/>
        <v>7.27</v>
      </c>
    </row>
    <row r="50" spans="1:2" x14ac:dyDescent="0.25">
      <c r="A50" vm="178">
        <f ca="1"/>
        <v>45730</v>
      </c>
      <c r="B50" vm="1789">
        <f ca="1"/>
        <v>7.35</v>
      </c>
    </row>
    <row r="51" spans="1:2" x14ac:dyDescent="0.25">
      <c r="A51" vm="182">
        <f ca="1"/>
        <v>45733</v>
      </c>
      <c r="B51" vm="1906">
        <f ca="1"/>
        <v>7.44</v>
      </c>
    </row>
    <row r="52" spans="1:2" x14ac:dyDescent="0.25">
      <c r="A52" vm="185">
        <f ca="1"/>
        <v>45734</v>
      </c>
      <c r="B52" vm="1853">
        <f ca="1"/>
        <v>7.48</v>
      </c>
    </row>
    <row r="53" spans="1:2" x14ac:dyDescent="0.25">
      <c r="A53" vm="189">
        <f ca="1"/>
        <v>45735</v>
      </c>
      <c r="B53" vm="248">
        <f ca="1"/>
        <v>7.71</v>
      </c>
    </row>
    <row r="54" spans="1:2" x14ac:dyDescent="0.25">
      <c r="A54" vm="193">
        <f ca="1"/>
        <v>45736</v>
      </c>
      <c r="B54" vm="1907">
        <f ca="1"/>
        <v>7.74</v>
      </c>
    </row>
    <row r="55" spans="1:2" x14ac:dyDescent="0.25">
      <c r="A55" vm="197">
        <f ca="1"/>
        <v>45737</v>
      </c>
      <c r="B55" vm="1387">
        <f ca="1"/>
        <v>7.61</v>
      </c>
    </row>
    <row r="56" spans="1:2" x14ac:dyDescent="0.25">
      <c r="A56" vm="199">
        <f ca="1"/>
        <v>45740</v>
      </c>
      <c r="B56" vm="1908">
        <f ca="1"/>
        <v>7.69</v>
      </c>
    </row>
    <row r="57" spans="1:2" x14ac:dyDescent="0.25">
      <c r="A57" vm="203">
        <f ca="1"/>
        <v>45741</v>
      </c>
      <c r="B57" vm="1386">
        <f ca="1"/>
        <v>7.6</v>
      </c>
    </row>
    <row r="58" spans="1:2" x14ac:dyDescent="0.25">
      <c r="A58" vm="207">
        <f ca="1"/>
        <v>45742</v>
      </c>
      <c r="B58" vm="1909">
        <f ca="1"/>
        <v>7.59</v>
      </c>
    </row>
    <row r="59" spans="1:2" x14ac:dyDescent="0.25">
      <c r="A59" vm="209">
        <f ca="1"/>
        <v>45743</v>
      </c>
      <c r="B59" vm="1909">
        <f ca="1"/>
        <v>7.59</v>
      </c>
    </row>
    <row r="60" spans="1:2" x14ac:dyDescent="0.25">
      <c r="A60" vm="212">
        <f ca="1"/>
        <v>45744</v>
      </c>
      <c r="B60" vm="1374">
        <f ca="1"/>
        <v>7.36</v>
      </c>
    </row>
    <row r="61" spans="1:2" x14ac:dyDescent="0.25">
      <c r="A61" vm="216">
        <f ca="1"/>
        <v>45747</v>
      </c>
      <c r="B61" vm="1380">
        <f ca="1"/>
        <v>7.26</v>
      </c>
    </row>
    <row r="62" spans="1:2" x14ac:dyDescent="0.25">
      <c r="A62" vm="220">
        <f ca="1"/>
        <v>45748</v>
      </c>
      <c r="B62" vm="1789">
        <f ca="1"/>
        <v>7.35</v>
      </c>
    </row>
    <row r="63" spans="1:2" x14ac:dyDescent="0.25">
      <c r="A63" vm="223">
        <f ca="1"/>
        <v>45749</v>
      </c>
      <c r="B63" vm="1910">
        <f ca="1"/>
        <v>7.45</v>
      </c>
    </row>
    <row r="64" spans="1:2" x14ac:dyDescent="0.25">
      <c r="A64" vm="224">
        <f ca="1"/>
        <v>45750</v>
      </c>
      <c r="B64" vm="1368">
        <f ca="1"/>
        <v>6.92</v>
      </c>
    </row>
    <row r="65" spans="1:2" x14ac:dyDescent="0.25">
      <c r="A65" vm="227">
        <f ca="1"/>
        <v>45751</v>
      </c>
      <c r="B65" vm="1529">
        <f ca="1"/>
        <v>6.58</v>
      </c>
    </row>
    <row r="66" spans="1:2" x14ac:dyDescent="0.25">
      <c r="A66" vm="231">
        <f ca="1"/>
        <v>45754</v>
      </c>
      <c r="B66" vm="1343">
        <f ca="1"/>
        <v>6.46</v>
      </c>
    </row>
    <row r="67" spans="1:2" x14ac:dyDescent="0.25">
      <c r="A67" vm="235">
        <f ca="1"/>
        <v>45755</v>
      </c>
      <c r="B67" vm="1911">
        <f ca="1"/>
        <v>6.41</v>
      </c>
    </row>
    <row r="68" spans="1:2" x14ac:dyDescent="0.25">
      <c r="A68" vm="239">
        <f ca="1"/>
        <v>45756</v>
      </c>
      <c r="B68" vm="242">
        <f ca="1"/>
        <v>6.83</v>
      </c>
    </row>
    <row r="69" spans="1:2" x14ac:dyDescent="0.25">
      <c r="A69" vm="243">
        <f ca="1"/>
        <v>45757</v>
      </c>
      <c r="B69" vm="1364">
        <f ca="1"/>
        <v>6.64</v>
      </c>
    </row>
    <row r="70" spans="1:2" x14ac:dyDescent="0.25">
      <c r="A70" vm="247">
        <f ca="1"/>
        <v>45758</v>
      </c>
      <c r="B70" vm="1362">
        <f ca="1"/>
        <v>6.74</v>
      </c>
    </row>
    <row r="71" spans="1:2" x14ac:dyDescent="0.25">
      <c r="A71" vm="251">
        <f ca="1"/>
        <v>45761</v>
      </c>
      <c r="B71" vm="1912">
        <f ca="1"/>
        <v>6.71</v>
      </c>
    </row>
    <row r="72" spans="1:2" x14ac:dyDescent="0.25">
      <c r="A72" vm="255">
        <f ca="1"/>
        <v>45762</v>
      </c>
      <c r="B72" vm="1811">
        <f ca="1"/>
        <v>6.65</v>
      </c>
    </row>
    <row r="73" spans="1:2" x14ac:dyDescent="0.25">
      <c r="A73" vm="259">
        <f ca="1"/>
        <v>45763</v>
      </c>
      <c r="B73" vm="1338">
        <f ca="1"/>
        <v>6.56</v>
      </c>
    </row>
    <row r="74" spans="1:2" x14ac:dyDescent="0.25">
      <c r="A74" vm="263">
        <f ca="1"/>
        <v>45764</v>
      </c>
      <c r="B74" vm="1364">
        <f ca="1"/>
        <v>6.64</v>
      </c>
    </row>
    <row r="75" spans="1:2" x14ac:dyDescent="0.25">
      <c r="A75" vm="267">
        <f ca="1"/>
        <v>45768</v>
      </c>
      <c r="B75" vm="1884">
        <f ca="1"/>
        <v>6.43</v>
      </c>
    </row>
    <row r="76" spans="1:2" x14ac:dyDescent="0.25">
      <c r="A76" vm="271">
        <f ca="1"/>
        <v>45769</v>
      </c>
      <c r="B76" vm="1529">
        <f ca="1"/>
        <v>6.58</v>
      </c>
    </row>
    <row r="77" spans="1:2" x14ac:dyDescent="0.25">
      <c r="A77" vm="274">
        <f ca="1"/>
        <v>45770</v>
      </c>
      <c r="B77" vm="1525">
        <f ca="1"/>
        <v>6.72</v>
      </c>
    </row>
    <row r="78" spans="1:2" x14ac:dyDescent="0.25">
      <c r="A78" vm="278">
        <f ca="1"/>
        <v>45771</v>
      </c>
      <c r="B78" vm="1913">
        <f ca="1"/>
        <v>6.81</v>
      </c>
    </row>
    <row r="79" spans="1:2" x14ac:dyDescent="0.25">
      <c r="A79" vm="282">
        <f ca="1"/>
        <v>45772</v>
      </c>
      <c r="B79" vm="1851">
        <f ca="1"/>
        <v>6.77</v>
      </c>
    </row>
    <row r="80" spans="1:2" x14ac:dyDescent="0.25">
      <c r="A80" vm="286">
        <f ca="1"/>
        <v>45775</v>
      </c>
      <c r="B80" vm="1792">
        <f ca="1"/>
        <v>6.79</v>
      </c>
    </row>
    <row r="81" spans="1:2" x14ac:dyDescent="0.25">
      <c r="A81" vm="290">
        <f ca="1"/>
        <v>45776</v>
      </c>
      <c r="B81" vm="1525">
        <f ca="1"/>
        <v>6.72</v>
      </c>
    </row>
    <row r="82" spans="1:2" x14ac:dyDescent="0.25">
      <c r="A82" vm="292">
        <f ca="1"/>
        <v>45777</v>
      </c>
      <c r="B82" vm="1912">
        <f ca="1"/>
        <v>6.71</v>
      </c>
    </row>
    <row r="83" spans="1:2" x14ac:dyDescent="0.25">
      <c r="A83" vm="295">
        <f ca="1"/>
        <v>45778</v>
      </c>
      <c r="B83" vm="1357">
        <f ca="1"/>
        <v>6.76</v>
      </c>
    </row>
    <row r="84" spans="1:2" x14ac:dyDescent="0.25">
      <c r="A84" vm="298">
        <f ca="1"/>
        <v>45779</v>
      </c>
      <c r="B84" vm="1914">
        <f ca="1"/>
        <v>6.88</v>
      </c>
    </row>
    <row r="85" spans="1:2" x14ac:dyDescent="0.25">
      <c r="A85" vm="302">
        <f ca="1"/>
        <v>45782</v>
      </c>
      <c r="B85" vm="1915">
        <f ca="1"/>
        <v>6.89</v>
      </c>
    </row>
    <row r="86" spans="1:2" x14ac:dyDescent="0.25">
      <c r="A86" vm="304">
        <f ca="1"/>
        <v>45783</v>
      </c>
      <c r="B86" vm="1916">
        <f ca="1"/>
        <v>6.17</v>
      </c>
    </row>
    <row r="87" spans="1:2" x14ac:dyDescent="0.25">
      <c r="A87" vm="307">
        <f ca="1"/>
        <v>45784</v>
      </c>
      <c r="B87" vm="1819">
        <f ca="1"/>
        <v>5.96</v>
      </c>
    </row>
    <row r="88" spans="1:2" x14ac:dyDescent="0.25">
      <c r="A88" vm="310">
        <f ca="1"/>
        <v>45785</v>
      </c>
      <c r="B88" vm="1327">
        <f ca="1"/>
        <v>6.01</v>
      </c>
    </row>
    <row r="89" spans="1:2" x14ac:dyDescent="0.25">
      <c r="A89" vm="314">
        <f ca="1"/>
        <v>45786</v>
      </c>
      <c r="B89" vm="1314">
        <f ca="1"/>
        <v>5.83</v>
      </c>
    </row>
    <row r="90" spans="1:2" x14ac:dyDescent="0.25">
      <c r="A90" vm="316">
        <f ca="1"/>
        <v>45789</v>
      </c>
      <c r="B90" vm="1916">
        <f ca="1"/>
        <v>6.17</v>
      </c>
    </row>
    <row r="91" spans="1:2" x14ac:dyDescent="0.25">
      <c r="A91" vm="320">
        <f ca="1"/>
        <v>45790</v>
      </c>
      <c r="B91" vm="1917">
        <f ca="1"/>
        <v>6.24</v>
      </c>
    </row>
    <row r="92" spans="1:2" x14ac:dyDescent="0.25">
      <c r="A92" vm="324">
        <f ca="1"/>
        <v>45791</v>
      </c>
      <c r="B92" vm="1283">
        <f ca="1"/>
        <v>6.16</v>
      </c>
    </row>
    <row r="93" spans="1:2" x14ac:dyDescent="0.25">
      <c r="A93" vm="328">
        <f ca="1"/>
        <v>45792</v>
      </c>
      <c r="B93" vm="1918">
        <f ca="1"/>
        <v>6.07</v>
      </c>
    </row>
    <row r="94" spans="1:2" x14ac:dyDescent="0.25">
      <c r="A94" vm="332">
        <f ca="1"/>
        <v>45793</v>
      </c>
      <c r="B94" vm="1334">
        <f ca="1"/>
        <v>6.09</v>
      </c>
    </row>
    <row r="95" spans="1:2" x14ac:dyDescent="0.25">
      <c r="A95" vm="336">
        <f ca="1"/>
        <v>45796</v>
      </c>
      <c r="B95" vm="1918">
        <f ca="1"/>
        <v>6.07</v>
      </c>
    </row>
    <row r="96" spans="1:2" x14ac:dyDescent="0.25">
      <c r="A96" vm="340">
        <f ca="1"/>
        <v>45797</v>
      </c>
      <c r="B96" vm="1282">
        <f ca="1"/>
        <v>6.11</v>
      </c>
    </row>
    <row r="97" spans="1:2" x14ac:dyDescent="0.25">
      <c r="A97" vm="344">
        <f ca="1"/>
        <v>45798</v>
      </c>
      <c r="B97" vm="1918">
        <f ca="1"/>
        <v>6.07</v>
      </c>
    </row>
    <row r="98" spans="1:2" x14ac:dyDescent="0.25">
      <c r="A98" vm="346">
        <f ca="1"/>
        <v>45799</v>
      </c>
      <c r="B98" vm="1334">
        <f ca="1"/>
        <v>6.09</v>
      </c>
    </row>
    <row r="99" spans="1:2" x14ac:dyDescent="0.25">
      <c r="A99" vm="349">
        <f ca="1"/>
        <v>45800</v>
      </c>
      <c r="B99" vm="1883">
        <f ca="1"/>
        <v>5.99</v>
      </c>
    </row>
    <row r="100" spans="1:2" x14ac:dyDescent="0.25">
      <c r="A100" vm="353">
        <f ca="1"/>
        <v>45804</v>
      </c>
      <c r="B100" vm="1919">
        <f ca="1"/>
        <v>6.26</v>
      </c>
    </row>
    <row r="101" spans="1:2" x14ac:dyDescent="0.25">
      <c r="A101" vm="357">
        <f ca="1"/>
        <v>45805</v>
      </c>
      <c r="B101" vm="1920">
        <f ca="1"/>
        <v>6.21</v>
      </c>
    </row>
    <row r="102" spans="1:2" x14ac:dyDescent="0.25">
      <c r="A102" vm="361">
        <f ca="1"/>
        <v>45806</v>
      </c>
      <c r="B102" vm="1882">
        <f ca="1"/>
        <v>6.23</v>
      </c>
    </row>
    <row r="103" spans="1:2" x14ac:dyDescent="0.25">
      <c r="A103" vm="365">
        <f ca="1"/>
        <v>45807</v>
      </c>
      <c r="B103" vm="1784">
        <f ca="1"/>
        <v>6.25</v>
      </c>
    </row>
    <row r="104" spans="1:2" x14ac:dyDescent="0.25">
      <c r="A104" vm="369">
        <f ca="1"/>
        <v>45810</v>
      </c>
      <c r="B104" vm="1921">
        <f ca="1"/>
        <v>6.34</v>
      </c>
    </row>
    <row r="105" spans="1:2" x14ac:dyDescent="0.25">
      <c r="A105" vm="372">
        <f ca="1"/>
        <v>45811</v>
      </c>
      <c r="B105" vm="1337">
        <f ca="1"/>
        <v>6.4</v>
      </c>
    </row>
    <row r="106" spans="1:2" x14ac:dyDescent="0.25">
      <c r="A106" vm="375">
        <f ca="1"/>
        <v>45812</v>
      </c>
      <c r="B106" vm="1783">
        <f ca="1"/>
        <v>6.38</v>
      </c>
    </row>
    <row r="107" spans="1:2" x14ac:dyDescent="0.25">
      <c r="A107" vm="378">
        <f ca="1"/>
        <v>45813</v>
      </c>
      <c r="B107" vm="1777">
        <f ca="1"/>
        <v>6.5</v>
      </c>
    </row>
    <row r="108" spans="1:2" x14ac:dyDescent="0.25">
      <c r="A108" vm="382">
        <f ca="1"/>
        <v>45814</v>
      </c>
      <c r="B108" vm="1338">
        <f ca="1"/>
        <v>6.56</v>
      </c>
    </row>
    <row r="109" spans="1:2" x14ac:dyDescent="0.25">
      <c r="A109" vm="386">
        <f ca="1"/>
        <v>45817</v>
      </c>
      <c r="B109" vm="1820">
        <f ca="1"/>
        <v>6.57</v>
      </c>
    </row>
    <row r="110" spans="1:2" x14ac:dyDescent="0.25">
      <c r="A110" vm="389">
        <f ca="1"/>
        <v>45818</v>
      </c>
      <c r="B110" vm="1820">
        <f ca="1"/>
        <v>6.57</v>
      </c>
    </row>
    <row r="111" spans="1:2" x14ac:dyDescent="0.25">
      <c r="A111" vm="391">
        <f ca="1"/>
        <v>45819</v>
      </c>
      <c r="B111" vm="1922">
        <f ca="1"/>
        <v>6.49</v>
      </c>
    </row>
    <row r="112" spans="1:2" x14ac:dyDescent="0.25">
      <c r="A112" vm="395">
        <f ca="1"/>
        <v>45820</v>
      </c>
      <c r="B112" vm="1783">
        <f ca="1"/>
        <v>6.38</v>
      </c>
    </row>
    <row r="113" spans="1:2" x14ac:dyDescent="0.25">
      <c r="A113" vm="399">
        <f ca="1"/>
        <v>45821</v>
      </c>
      <c r="B113" vm="1334">
        <f ca="1"/>
        <v>6.09</v>
      </c>
    </row>
    <row r="114" spans="1:2" x14ac:dyDescent="0.25">
      <c r="A114" vm="403">
        <f ca="1"/>
        <v>45824</v>
      </c>
      <c r="B114" vm="1283">
        <f ca="1"/>
        <v>6.16</v>
      </c>
    </row>
    <row r="115" spans="1:2" x14ac:dyDescent="0.25">
      <c r="A115" vm="407">
        <f ca="1"/>
        <v>45825</v>
      </c>
      <c r="B115" vm="1892">
        <f ca="1"/>
        <v>6.02</v>
      </c>
    </row>
    <row r="116" spans="1:2" x14ac:dyDescent="0.25">
      <c r="A116" vm="410">
        <f ca="1"/>
        <v>45826</v>
      </c>
      <c r="B116" vm="1918">
        <f ca="1"/>
        <v>6.07</v>
      </c>
    </row>
    <row r="117" spans="1:2" x14ac:dyDescent="0.25">
      <c r="A117" vm="412">
        <f ca="1"/>
        <v>45828</v>
      </c>
      <c r="B117" vm="1888">
        <f ca="1"/>
        <v>6.04</v>
      </c>
    </row>
    <row r="118" spans="1:2" x14ac:dyDescent="0.25">
      <c r="A118" vm="414">
        <f ca="1"/>
        <v>45831</v>
      </c>
      <c r="B118" vm="1923">
        <f ca="1"/>
        <v>6.19</v>
      </c>
    </row>
    <row r="119" spans="1:2" x14ac:dyDescent="0.25">
      <c r="A119" vm="417">
        <f ca="1"/>
        <v>45832</v>
      </c>
      <c r="B119" vm="1924">
        <f ca="1"/>
        <v>6.33</v>
      </c>
    </row>
    <row r="120" spans="1:2" x14ac:dyDescent="0.25">
      <c r="A120" vm="421">
        <f ca="1"/>
        <v>45833</v>
      </c>
      <c r="B120" vm="1923">
        <f ca="1"/>
        <v>6.19</v>
      </c>
    </row>
    <row r="121" spans="1:2" x14ac:dyDescent="0.25">
      <c r="A121" vm="422">
        <f ca="1"/>
        <v>45834</v>
      </c>
      <c r="B121" vm="1924">
        <f ca="1"/>
        <v>6.33</v>
      </c>
    </row>
    <row r="122" spans="1:2" x14ac:dyDescent="0.25">
      <c r="A122" vm="423">
        <f ca="1"/>
        <v>45835</v>
      </c>
      <c r="B122" vm="1925">
        <f ca="1"/>
        <v>6.45</v>
      </c>
    </row>
    <row r="123" spans="1:2" x14ac:dyDescent="0.25">
      <c r="A123" vm="425">
        <f ca="1"/>
        <v>45838</v>
      </c>
      <c r="B123" vm="1848">
        <f ca="1"/>
        <v>6.3</v>
      </c>
    </row>
    <row r="124" spans="1:2" x14ac:dyDescent="0.25">
      <c r="A124" vm="427">
        <f ca="1"/>
        <v>45839</v>
      </c>
      <c r="B124" vm="1921">
        <f ca="1"/>
        <v>6.34</v>
      </c>
    </row>
    <row r="125" spans="1:2" x14ac:dyDescent="0.25">
      <c r="A125" vm="430">
        <f ca="1"/>
        <v>45840</v>
      </c>
      <c r="B125" vm="1785">
        <f ca="1"/>
        <v>6.35</v>
      </c>
    </row>
    <row r="126" spans="1:2" x14ac:dyDescent="0.25">
      <c r="A126" vm="432">
        <f ca="1"/>
        <v>45841</v>
      </c>
      <c r="B126" vm="1348">
        <f ca="1"/>
        <v>6.47</v>
      </c>
    </row>
    <row r="127" spans="1:2" x14ac:dyDescent="0.25">
      <c r="A127" vm="434">
        <f ca="1"/>
        <v>45845</v>
      </c>
      <c r="B127" vm="1825">
        <f ca="1"/>
        <v>6.39</v>
      </c>
    </row>
    <row r="128" spans="1:2" x14ac:dyDescent="0.25">
      <c r="A128" vm="437">
        <f ca="1"/>
        <v>45846</v>
      </c>
      <c r="B128" vm="1825">
        <f ca="1"/>
        <v>6.39</v>
      </c>
    </row>
    <row r="129" spans="1:2" x14ac:dyDescent="0.25">
      <c r="A129" vm="441">
        <f ca="1"/>
        <v>45847</v>
      </c>
      <c r="B129" vm="1926">
        <f ca="1"/>
        <v>6.37</v>
      </c>
    </row>
    <row r="130" spans="1:2" x14ac:dyDescent="0.25">
      <c r="A130" vm="444">
        <f ca="1"/>
        <v>45848</v>
      </c>
      <c r="B130" vm="1340">
        <f ca="1"/>
        <v>6.59</v>
      </c>
    </row>
    <row r="131" spans="1:2" x14ac:dyDescent="0.25">
      <c r="A131" vm="446">
        <f ca="1"/>
        <v>45849</v>
      </c>
      <c r="B131" vm="1911">
        <f ca="1"/>
        <v>6.41</v>
      </c>
    </row>
    <row r="132" spans="1:2" x14ac:dyDescent="0.25">
      <c r="A132" vm="449">
        <f ca="1"/>
        <v>45852</v>
      </c>
      <c r="B132" vm="1849">
        <f ca="1"/>
        <v>6.36</v>
      </c>
    </row>
    <row r="133" spans="1:2" x14ac:dyDescent="0.25">
      <c r="A133" vm="452">
        <f ca="1"/>
        <v>45853</v>
      </c>
      <c r="B133" vm="1784">
        <f ca="1"/>
        <v>6.25</v>
      </c>
    </row>
    <row r="134" spans="1:2" x14ac:dyDescent="0.25">
      <c r="A134" vm="454">
        <f ca="1"/>
        <v>45854</v>
      </c>
      <c r="B134" vm="1785">
        <f ca="1"/>
        <v>6.35</v>
      </c>
    </row>
    <row r="135" spans="1:2" x14ac:dyDescent="0.25">
      <c r="A135" vm="457">
        <f ca="1"/>
        <v>45855</v>
      </c>
      <c r="B135" vm="1884">
        <f ca="1"/>
        <v>6.43</v>
      </c>
    </row>
    <row r="136" spans="1:2" x14ac:dyDescent="0.25">
      <c r="A136" vm="460">
        <f ca="1"/>
        <v>45856</v>
      </c>
      <c r="B136" vm="1927">
        <f ca="1"/>
        <v>6.32</v>
      </c>
    </row>
    <row r="137" spans="1:2" x14ac:dyDescent="0.25">
      <c r="A137" vm="462">
        <f ca="1"/>
        <v>45859</v>
      </c>
      <c r="B137" vm="1830">
        <f ca="1"/>
        <v>6.31</v>
      </c>
    </row>
    <row r="138" spans="1:2" x14ac:dyDescent="0.25">
      <c r="A138" vm="466">
        <f ca="1"/>
        <v>45860</v>
      </c>
      <c r="B138" vm="1348">
        <f ca="1"/>
        <v>6.47</v>
      </c>
    </row>
    <row r="139" spans="1:2" x14ac:dyDescent="0.25">
      <c r="A139" vm="469">
        <f ca="1"/>
        <v>45861</v>
      </c>
      <c r="B139" vm="1814">
        <f ca="1"/>
        <v>6.66</v>
      </c>
    </row>
    <row r="140" spans="1:2" x14ac:dyDescent="0.25">
      <c r="A140" vm="473">
        <f ca="1"/>
        <v>45862</v>
      </c>
      <c r="B140" vm="1928">
        <f ca="1"/>
        <v>6.68</v>
      </c>
    </row>
    <row r="141" spans="1:2" x14ac:dyDescent="0.25">
      <c r="A141" vm="477">
        <f ca="1"/>
        <v>45863</v>
      </c>
      <c r="B141" vm="1851">
        <f ca="1"/>
        <v>6.77</v>
      </c>
    </row>
    <row r="142" spans="1:2" x14ac:dyDescent="0.25">
      <c r="A142" vm="481">
        <f ca="1"/>
        <v>45866</v>
      </c>
      <c r="B142" vm="1912">
        <f ca="1"/>
        <v>6.71</v>
      </c>
    </row>
    <row r="143" spans="1:2" x14ac:dyDescent="0.25">
      <c r="A143" vm="483">
        <f ca="1"/>
        <v>45867</v>
      </c>
      <c r="B143" vm="1814">
        <f ca="1"/>
        <v>6.66</v>
      </c>
    </row>
    <row r="144" spans="1:2" x14ac:dyDescent="0.25">
      <c r="A144" vm="486">
        <f ca="1"/>
        <v>45868</v>
      </c>
      <c r="B144" vm="1359">
        <f ca="1"/>
        <v>6.67</v>
      </c>
    </row>
    <row r="145" spans="1:2" x14ac:dyDescent="0.25">
      <c r="A145" vm="489">
        <f ca="1"/>
        <v>45869</v>
      </c>
      <c r="B145" vm="1884">
        <f ca="1"/>
        <v>6.43</v>
      </c>
    </row>
    <row r="146" spans="1:2" x14ac:dyDescent="0.25">
      <c r="A146" vm="490">
        <f ca="1"/>
        <v>45870</v>
      </c>
      <c r="B146" vm="1334">
        <f ca="1"/>
        <v>6.09</v>
      </c>
    </row>
    <row r="147" spans="1:2" x14ac:dyDescent="0.25">
      <c r="A147" vm="491">
        <f ca="1"/>
        <v>45873</v>
      </c>
      <c r="B147" vm="1917">
        <f ca="1"/>
        <v>6.24</v>
      </c>
    </row>
    <row r="148" spans="1:2" x14ac:dyDescent="0.25">
      <c r="A148" vm="492">
        <f ca="1"/>
        <v>45874</v>
      </c>
      <c r="B148" vm="1777">
        <f ca="1"/>
        <v>6.5</v>
      </c>
    </row>
    <row r="149" spans="1:2" x14ac:dyDescent="0.25">
      <c r="A149" vm="495">
        <f ca="1"/>
        <v>45875</v>
      </c>
      <c r="B149" vm="1370">
        <f ca="1"/>
        <v>7.33</v>
      </c>
    </row>
    <row r="150" spans="1:2" x14ac:dyDescent="0.25">
      <c r="A150" vm="499">
        <f ca="1"/>
        <v>45876</v>
      </c>
      <c r="B150" vm="1375">
        <f ca="1"/>
        <v>7.25</v>
      </c>
    </row>
    <row r="151" spans="1:2" x14ac:dyDescent="0.25">
      <c r="A151" vm="501">
        <f ca="1"/>
        <v>45877</v>
      </c>
      <c r="B151" vm="1929">
        <f ca="1"/>
        <v>7.51</v>
      </c>
    </row>
    <row r="152" spans="1:2" x14ac:dyDescent="0.25">
      <c r="A152" vm="504">
        <f ca="1"/>
        <v>45880</v>
      </c>
      <c r="B152" vm="1839">
        <f ca="1"/>
        <v>7.47</v>
      </c>
    </row>
    <row r="153" spans="1:2" x14ac:dyDescent="0.25">
      <c r="A153" vm="505">
        <f ca="1"/>
        <v>45881</v>
      </c>
      <c r="B153" vm="248">
        <f ca="1"/>
        <v>7.71</v>
      </c>
    </row>
    <row r="154" spans="1:2" x14ac:dyDescent="0.25">
      <c r="A154" vm="507">
        <f ca="1"/>
        <v>45882</v>
      </c>
      <c r="B154" vm="1413">
        <f ca="1"/>
        <v>7.87</v>
      </c>
    </row>
    <row r="155" spans="1:2" x14ac:dyDescent="0.25">
      <c r="A155" vm="509">
        <f ca="1"/>
        <v>45883</v>
      </c>
      <c r="B155" vm="228">
        <f ca="1"/>
        <v>7.82</v>
      </c>
    </row>
    <row r="156" spans="1:2" x14ac:dyDescent="0.25">
      <c r="A156" vm="510">
        <f ca="1"/>
        <v>45884</v>
      </c>
      <c r="B156" vm="228">
        <f ca="1"/>
        <v>7.82</v>
      </c>
    </row>
    <row r="157" spans="1:2" x14ac:dyDescent="0.25">
      <c r="A157" vm="514">
        <f ca="1"/>
        <v>45887</v>
      </c>
      <c r="B157" vm="1421">
        <f ca="1"/>
        <v>7.84</v>
      </c>
    </row>
    <row r="158" spans="1:2" x14ac:dyDescent="0.25">
      <c r="A158" vm="517">
        <f ca="1"/>
        <v>45888</v>
      </c>
      <c r="B158" vm="1808">
        <f ca="1"/>
        <v>7.91</v>
      </c>
    </row>
    <row r="159" spans="1:2" x14ac:dyDescent="0.25">
      <c r="A159" vm="520">
        <f ca="1"/>
        <v>45889</v>
      </c>
      <c r="B159" vm="1541">
        <f ca="1"/>
        <v>7.9</v>
      </c>
    </row>
    <row r="160" spans="1:2" x14ac:dyDescent="0.25">
      <c r="A160" vm="522">
        <f ca="1"/>
        <v>45890</v>
      </c>
      <c r="B160" vm="1899">
        <f ca="1"/>
        <v>7.98</v>
      </c>
    </row>
    <row r="161" spans="1:2" x14ac:dyDescent="0.25">
      <c r="A161" vm="524">
        <f ca="1"/>
        <v>45891</v>
      </c>
      <c r="B161" vm="1896">
        <f ca="1"/>
        <v>8.26</v>
      </c>
    </row>
    <row r="162" spans="1:2" x14ac:dyDescent="0.25">
      <c r="A162" vm="527">
        <f ca="1"/>
        <v>45894</v>
      </c>
      <c r="B162" vm="303">
        <f ca="1"/>
        <v>8.17</v>
      </c>
    </row>
    <row r="163" spans="1:2" x14ac:dyDescent="0.25">
      <c r="A163" vm="529">
        <f ca="1"/>
        <v>45895</v>
      </c>
      <c r="B163" vm="303">
        <f ca="1"/>
        <v>8.17</v>
      </c>
    </row>
    <row r="164" spans="1:2" x14ac:dyDescent="0.25">
      <c r="A164" vm="531">
        <f ca="1"/>
        <v>45896</v>
      </c>
      <c r="B164" vm="297">
        <f ca="1"/>
        <v>8.24</v>
      </c>
    </row>
    <row r="165" spans="1:2" x14ac:dyDescent="0.25">
      <c r="A165" vm="534">
        <f ca="1"/>
        <v>45897</v>
      </c>
      <c r="B165" vm="598">
        <f ca="1"/>
        <v>8.25</v>
      </c>
    </row>
    <row r="166" spans="1:2" x14ac:dyDescent="0.25">
      <c r="A166" vm="536">
        <f ca="1"/>
        <v>45898</v>
      </c>
      <c r="B166" vm="285">
        <f ca="1"/>
        <v>8.34</v>
      </c>
    </row>
    <row r="167" spans="1:2" x14ac:dyDescent="0.25">
      <c r="A167" vm="538">
        <f ca="1"/>
        <v>45902</v>
      </c>
      <c r="B167" vm="309">
        <f ca="1"/>
        <v>8.11</v>
      </c>
    </row>
    <row r="168" spans="1:2" x14ac:dyDescent="0.25">
      <c r="A168" vm="541">
        <f ca="1"/>
        <v>45903</v>
      </c>
      <c r="B168" vm="268">
        <f ca="1"/>
        <v>8.1</v>
      </c>
    </row>
    <row r="169" spans="1:2" x14ac:dyDescent="0.25">
      <c r="A169" vm="543">
        <f ca="1"/>
        <v>45904</v>
      </c>
      <c r="B169" vm="615">
        <f ca="1"/>
        <v>8.14</v>
      </c>
    </row>
    <row r="170" spans="1:2" x14ac:dyDescent="0.25">
      <c r="A170" vm="545">
        <f ca="1"/>
        <v>45905</v>
      </c>
      <c r="B170" vm="309">
        <f ca="1"/>
        <v>8.11</v>
      </c>
    </row>
    <row r="171" spans="1:2" x14ac:dyDescent="0.25">
      <c r="A171" vm="546">
        <f ca="1"/>
        <v>45908</v>
      </c>
      <c r="B171" vm="1427">
        <f ca="1"/>
        <v>8.2100000000000009</v>
      </c>
    </row>
    <row r="172" spans="1:2" x14ac:dyDescent="0.25">
      <c r="A172" vm="548">
        <f ca="1"/>
        <v>45909</v>
      </c>
      <c r="B172" vm="309">
        <f ca="1"/>
        <v>8.11</v>
      </c>
    </row>
    <row r="173" spans="1:2" x14ac:dyDescent="0.25">
      <c r="A173" vm="550">
        <f ca="1"/>
        <v>45910</v>
      </c>
      <c r="B173" vm="1415">
        <f ca="1"/>
        <v>7.93</v>
      </c>
    </row>
    <row r="174" spans="1:2" x14ac:dyDescent="0.25">
      <c r="A174" vm="551">
        <f ca="1"/>
        <v>45911</v>
      </c>
      <c r="B174" vm="595">
        <f ca="1"/>
        <v>8.32</v>
      </c>
    </row>
    <row r="175" spans="1:2" x14ac:dyDescent="0.25">
      <c r="A175" vm="554">
        <f ca="1"/>
        <v>45912</v>
      </c>
      <c r="B175" vm="277">
        <f ca="1"/>
        <v>8.16</v>
      </c>
    </row>
    <row r="176" spans="1:2" x14ac:dyDescent="0.25">
      <c r="A176" vm="555">
        <f ca="1"/>
        <v>45915</v>
      </c>
      <c r="B176" vm="269">
        <f ca="1"/>
        <v>8.19</v>
      </c>
    </row>
    <row r="177" spans="1:2" x14ac:dyDescent="0.25">
      <c r="A177" vm="556">
        <f ca="1"/>
        <v>45916</v>
      </c>
      <c r="B177" vm="277">
        <f ca="1"/>
        <v>8.16</v>
      </c>
    </row>
    <row r="178" spans="1:2" x14ac:dyDescent="0.25">
      <c r="A178" vm="559">
        <f ca="1"/>
        <v>45917</v>
      </c>
      <c r="B178" vm="269">
        <f ca="1"/>
        <v>8.19</v>
      </c>
    </row>
    <row r="179" spans="1:2" x14ac:dyDescent="0.25">
      <c r="A179" vm="560">
        <f ca="1"/>
        <v>45918</v>
      </c>
      <c r="B179" vm="549">
        <f ca="1"/>
        <v>8.2200000000000006</v>
      </c>
    </row>
    <row r="180" spans="1:2" x14ac:dyDescent="0.25">
      <c r="A180" vm="561">
        <f ca="1"/>
        <v>45919</v>
      </c>
      <c r="B180" vm="615">
        <f ca="1"/>
        <v>8.14</v>
      </c>
    </row>
    <row r="181" spans="1:2" x14ac:dyDescent="0.25">
      <c r="A181" vm="562">
        <f ca="1"/>
        <v>45922</v>
      </c>
      <c r="B181" vm="588">
        <f ca="1"/>
        <v>8.08</v>
      </c>
    </row>
    <row r="182" spans="1:2" x14ac:dyDescent="0.25">
      <c r="A182" vm="563">
        <f ca="1"/>
        <v>45923</v>
      </c>
      <c r="B182" vm="281">
        <f ca="1"/>
        <v>8.23</v>
      </c>
    </row>
    <row r="183" spans="1:2" x14ac:dyDescent="0.25">
      <c r="A183" vm="564">
        <f ca="1"/>
        <v>45924</v>
      </c>
      <c r="B183" vm="297">
        <f ca="1"/>
        <v>8.24</v>
      </c>
    </row>
    <row r="184" spans="1:2" x14ac:dyDescent="0.25">
      <c r="A184" vm="566">
        <f ca="1"/>
        <v>45925</v>
      </c>
      <c r="B184" vm="617">
        <f ca="1"/>
        <v>8</v>
      </c>
    </row>
    <row r="185" spans="1:2" x14ac:dyDescent="0.25">
      <c r="A185" vm="568">
        <f ca="1"/>
        <v>45926</v>
      </c>
      <c r="B185" vm="615">
        <f ca="1"/>
        <v>8.14</v>
      </c>
    </row>
    <row r="186" spans="1:2" x14ac:dyDescent="0.25">
      <c r="A186" vm="571">
        <f ca="1"/>
        <v>45929</v>
      </c>
      <c r="B186" vm="1930">
        <f ca="1"/>
        <v>8.18</v>
      </c>
    </row>
    <row r="187" spans="1:2" x14ac:dyDescent="0.25">
      <c r="A187" vm="573">
        <f ca="1"/>
        <v>45930</v>
      </c>
      <c r="B187" vm="588">
        <f ca="1"/>
        <v>8.08</v>
      </c>
    </row>
    <row r="188" spans="1:2" x14ac:dyDescent="0.25">
      <c r="A188" vm="575">
        <f ca="1"/>
        <v>45931</v>
      </c>
      <c r="B188" vm="1416">
        <f ca="1"/>
        <v>7.96</v>
      </c>
    </row>
    <row r="189" spans="1:2" x14ac:dyDescent="0.25">
      <c r="A189" vm="576">
        <f ca="1"/>
        <v>45932</v>
      </c>
      <c r="B189" vm="617">
        <f ca="1"/>
        <v>8</v>
      </c>
    </row>
    <row r="190" spans="1:2" x14ac:dyDescent="0.25">
      <c r="A190" vm="578">
        <f ca="1"/>
        <v>45933</v>
      </c>
      <c r="B190" vm="617">
        <f ca="1"/>
        <v>8</v>
      </c>
    </row>
    <row r="191" spans="1:2" x14ac:dyDescent="0.25">
      <c r="A191" vm="580">
        <f ca="1"/>
        <v>45936</v>
      </c>
      <c r="B191" vm="309">
        <f ca="1"/>
        <v>8.11</v>
      </c>
    </row>
    <row r="192" spans="1:2" x14ac:dyDescent="0.25">
      <c r="A192" vm="582">
        <f ca="1"/>
        <v>45937</v>
      </c>
      <c r="B192" vm="1793">
        <f ca="1"/>
        <v>7.8</v>
      </c>
    </row>
    <row r="193" spans="1:2" x14ac:dyDescent="0.25">
      <c r="A193" vm="584">
        <f ca="1"/>
        <v>45938</v>
      </c>
      <c r="B193" vm="1423">
        <f ca="1"/>
        <v>7.78</v>
      </c>
    </row>
    <row r="194" spans="1:2" x14ac:dyDescent="0.25">
      <c r="A194" vm="585">
        <f ca="1"/>
        <v>45939</v>
      </c>
      <c r="B194" vm="256">
        <f ca="1"/>
        <v>7.76</v>
      </c>
    </row>
    <row r="195" spans="1:2" x14ac:dyDescent="0.25">
      <c r="A195" vm="587">
        <f ca="1"/>
        <v>45940</v>
      </c>
      <c r="B195" vm="1856">
        <f ca="1"/>
        <v>7.54</v>
      </c>
    </row>
    <row r="196" spans="1:2" x14ac:dyDescent="0.25">
      <c r="A196" vm="590">
        <f ca="1"/>
        <v>45943</v>
      </c>
      <c r="B196" vm="1794">
        <f ca="1"/>
        <v>7.72</v>
      </c>
    </row>
    <row r="197" spans="1:2" x14ac:dyDescent="0.25">
      <c r="A197" vm="592">
        <f ca="1"/>
        <v>45944</v>
      </c>
      <c r="B197" vm="620">
        <f ca="1"/>
        <v>7.97</v>
      </c>
    </row>
    <row r="198" spans="1:2" x14ac:dyDescent="0.25">
      <c r="A198" vm="594">
        <f ca="1"/>
        <v>45945</v>
      </c>
      <c r="B198" vm="624">
        <f ca="1"/>
        <v>8.0500000000000007</v>
      </c>
    </row>
    <row r="199" spans="1:2" x14ac:dyDescent="0.25">
      <c r="A199" vm="596">
        <f ca="1"/>
        <v>45946</v>
      </c>
      <c r="B199" vm="620">
        <f ca="1"/>
        <v>7.97</v>
      </c>
    </row>
    <row r="200" spans="1:2" x14ac:dyDescent="0.25">
      <c r="A200" vm="597">
        <f ca="1"/>
        <v>45947</v>
      </c>
      <c r="B200" vm="599">
        <f ca="1"/>
        <v>8.09</v>
      </c>
    </row>
    <row r="201" spans="1:2" x14ac:dyDescent="0.25">
      <c r="A201" vm="600">
        <f ca="1"/>
        <v>45950</v>
      </c>
      <c r="B201" vm="1871">
        <f ca="1"/>
        <v>8.1199999999999992</v>
      </c>
    </row>
    <row r="202" spans="1:2" x14ac:dyDescent="0.25">
      <c r="A202" vm="601">
        <f ca="1"/>
        <v>45951</v>
      </c>
      <c r="B202" vm="260">
        <f ca="1"/>
        <v>8.1300000000000008</v>
      </c>
    </row>
    <row r="203" spans="1:2" x14ac:dyDescent="0.25">
      <c r="A203" vm="604">
        <f ca="1"/>
        <v>45952</v>
      </c>
      <c r="B203" vm="1899">
        <f ca="1"/>
        <v>7.98</v>
      </c>
    </row>
    <row r="204" spans="1:2" x14ac:dyDescent="0.25">
      <c r="A204" vm="606">
        <f ca="1"/>
        <v>45953</v>
      </c>
      <c r="B204" vm="1541">
        <f ca="1"/>
        <v>7.9</v>
      </c>
    </row>
    <row r="205" spans="1:2" x14ac:dyDescent="0.25">
      <c r="A205" vm="608">
        <f ca="1"/>
        <v>45954</v>
      </c>
      <c r="B205" vm="1898">
        <f ca="1"/>
        <v>8.01</v>
      </c>
    </row>
    <row r="206" spans="1:2" x14ac:dyDescent="0.25">
      <c r="A206" vm="610">
        <f ca="1"/>
        <v>45957</v>
      </c>
      <c r="B206" vm="456">
        <f ca="1"/>
        <v>8.0399999999999991</v>
      </c>
    </row>
    <row r="207" spans="1:2" x14ac:dyDescent="0.25">
      <c r="A207" vm="611">
        <f ca="1"/>
        <v>45958</v>
      </c>
      <c r="B207" vm="260">
        <f ca="1"/>
        <v>8.1300000000000008</v>
      </c>
    </row>
    <row r="208" spans="1:2" x14ac:dyDescent="0.25">
      <c r="A208" vm="614">
        <f ca="1"/>
        <v>45959</v>
      </c>
      <c r="B208" vm="1421">
        <f ca="1"/>
        <v>7.84</v>
      </c>
    </row>
    <row r="209" spans="1:2" x14ac:dyDescent="0.25">
      <c r="A209" vm="618">
        <f ca="1"/>
        <v>45960</v>
      </c>
      <c r="B209" vm="1541">
        <f ca="1"/>
        <v>7.9</v>
      </c>
    </row>
    <row r="210" spans="1:2" x14ac:dyDescent="0.25">
      <c r="A210" vm="621">
        <f ca="1"/>
        <v>45961</v>
      </c>
      <c r="B210" vm="1385">
        <f ca="1"/>
        <v>7.86</v>
      </c>
    </row>
    <row r="211" spans="1:2" x14ac:dyDescent="0.25">
      <c r="A211" vm="622">
        <f ca="1"/>
        <v>45964</v>
      </c>
      <c r="B211" vm="1384">
        <f ca="1"/>
        <v>7.67</v>
      </c>
    </row>
    <row r="212" spans="1:2" x14ac:dyDescent="0.25">
      <c r="A212" vm="623">
        <f ca="1"/>
        <v>45965</v>
      </c>
      <c r="B212" vm="1384">
        <f ca="1"/>
        <v>7.67</v>
      </c>
    </row>
    <row r="213" spans="1:2" x14ac:dyDescent="0.25">
      <c r="A213" vm="626">
        <f ca="1"/>
        <v>45966</v>
      </c>
      <c r="B213" vm="1808">
        <f ca="1"/>
        <v>7.91</v>
      </c>
    </row>
    <row r="214" spans="1:2" x14ac:dyDescent="0.25">
      <c r="A214" vm="627">
        <f ca="1"/>
        <v>45967</v>
      </c>
      <c r="B214" vm="262">
        <f ca="1"/>
        <v>7.77</v>
      </c>
    </row>
    <row r="215" spans="1:2" x14ac:dyDescent="0.25">
      <c r="A215" vm="629">
        <f ca="1"/>
        <v>45968</v>
      </c>
      <c r="B215" vm="1416">
        <f ca="1"/>
        <v>7.96</v>
      </c>
    </row>
    <row r="216" spans="1:2" x14ac:dyDescent="0.25">
      <c r="A216" vm="631">
        <f ca="1"/>
        <v>45971</v>
      </c>
      <c r="B216" vm="1931">
        <f ca="1"/>
        <v>7.65</v>
      </c>
    </row>
    <row r="217" spans="1:2" x14ac:dyDescent="0.25">
      <c r="A217" vm="632">
        <f ca="1"/>
        <v>45972</v>
      </c>
      <c r="B217" vm="1413">
        <f ca="1"/>
        <v>7.87</v>
      </c>
    </row>
    <row r="218" spans="1:2" x14ac:dyDescent="0.25">
      <c r="A218" vm="634">
        <f ca="1"/>
        <v>45973</v>
      </c>
      <c r="B218" vm="1905">
        <f ca="1"/>
        <v>7.37</v>
      </c>
    </row>
    <row r="219" spans="1:2" x14ac:dyDescent="0.25">
      <c r="A219" vm="636">
        <f ca="1"/>
        <v>45974</v>
      </c>
      <c r="B219" vm="1932">
        <f ca="1"/>
        <v>7.17</v>
      </c>
    </row>
    <row r="220" spans="1:2" x14ac:dyDescent="0.25">
      <c r="A220" vm="637">
        <f ca="1"/>
        <v>45975</v>
      </c>
      <c r="B220" vm="1530">
        <f ca="1"/>
        <v>7.18</v>
      </c>
    </row>
    <row r="221" spans="1:2" x14ac:dyDescent="0.25">
      <c r="A221" vm="639">
        <f ca="1"/>
        <v>45978</v>
      </c>
      <c r="B221" vm="234">
        <f ca="1"/>
        <v>7.14</v>
      </c>
    </row>
    <row r="222" spans="1:2" x14ac:dyDescent="0.25">
      <c r="A222" vm="643">
        <f ca="1"/>
        <v>45979</v>
      </c>
      <c r="B222" vm="1366">
        <f ca="1"/>
        <v>6.98</v>
      </c>
    </row>
    <row r="223" spans="1:2" x14ac:dyDescent="0.25">
      <c r="A223" vm="644">
        <f ca="1"/>
        <v>45980</v>
      </c>
      <c r="B223" vm="1933">
        <f ca="1"/>
        <v>6.93</v>
      </c>
    </row>
    <row r="224" spans="1:2" x14ac:dyDescent="0.25">
      <c r="A224" vm="647">
        <f ca="1"/>
        <v>45981</v>
      </c>
      <c r="B224" vm="242">
        <f ca="1"/>
        <v>6.83</v>
      </c>
    </row>
    <row r="225" spans="1:2" x14ac:dyDescent="0.25">
      <c r="A225" vm="648">
        <f ca="1"/>
        <v>45982</v>
      </c>
      <c r="B225" vm="1934">
        <f ca="1"/>
        <v>7.11</v>
      </c>
    </row>
    <row r="226" spans="1:2" x14ac:dyDescent="0.25">
      <c r="A226" vm="650">
        <f ca="1"/>
        <v>45985</v>
      </c>
      <c r="B226" vm="1543">
        <f ca="1"/>
        <v>7.32</v>
      </c>
    </row>
    <row r="227" spans="1:2" x14ac:dyDescent="0.25">
      <c r="A227" vm="651">
        <f ca="1"/>
        <v>45986</v>
      </c>
      <c r="B227" vm="1907">
        <f ca="1"/>
        <v>7.74</v>
      </c>
    </row>
    <row r="228" spans="1:2" x14ac:dyDescent="0.25">
      <c r="A228" vm="653">
        <f ca="1"/>
        <v>45987</v>
      </c>
      <c r="B228" vm="1935">
        <f ca="1"/>
        <v>7.7</v>
      </c>
    </row>
    <row r="229" spans="1:2" x14ac:dyDescent="0.25">
      <c r="A229" vm="655">
        <f ca="1"/>
        <v>45989</v>
      </c>
      <c r="B229" vm="248">
        <f ca="1"/>
        <v>7.71</v>
      </c>
    </row>
    <row r="230" spans="1:2" x14ac:dyDescent="0.25">
      <c r="A230" vm="656">
        <f ca="1"/>
        <v>45992</v>
      </c>
      <c r="B230" vm="1423">
        <f ca="1"/>
        <v>7.78</v>
      </c>
    </row>
    <row r="231" spans="1:2" x14ac:dyDescent="0.25">
      <c r="A231" vm="659">
        <f ca="1"/>
        <v>45993</v>
      </c>
      <c r="B231" vm="1415">
        <f ca="1"/>
        <v>7.93</v>
      </c>
    </row>
    <row r="232" spans="1:2" x14ac:dyDescent="0.25">
      <c r="A232" vm="660">
        <f ca="1"/>
        <v>45994</v>
      </c>
      <c r="B232" vm="617">
        <f ca="1"/>
        <v>8</v>
      </c>
    </row>
    <row r="233" spans="1:2" x14ac:dyDescent="0.25">
      <c r="A233" vm="662">
        <f ca="1"/>
        <v>45995</v>
      </c>
      <c r="B233" vm="232">
        <f ca="1"/>
        <v>7.88</v>
      </c>
    </row>
    <row r="234" spans="1:2" x14ac:dyDescent="0.25">
      <c r="A234" vm="665">
        <f ca="1"/>
        <v>45996</v>
      </c>
      <c r="B234" vm="1806">
        <f ca="1"/>
        <v>7.92</v>
      </c>
    </row>
    <row r="235" spans="1:2" x14ac:dyDescent="0.25">
      <c r="A235" vm="668">
        <f ca="1"/>
        <v>45999</v>
      </c>
      <c r="B235" vm="1936">
        <f ca="1"/>
        <v>7.41</v>
      </c>
    </row>
    <row r="236" spans="1:2" x14ac:dyDescent="0.25">
      <c r="A236" vm="671">
        <f ca="1"/>
        <v>46000</v>
      </c>
      <c r="B236" vm="1909">
        <f ca="1"/>
        <v>7.59</v>
      </c>
    </row>
    <row r="237" spans="1:2" x14ac:dyDescent="0.25">
      <c r="A237" vm="675">
        <f ca="1"/>
        <v>46001</v>
      </c>
      <c r="B237" vm="232">
        <f ca="1"/>
        <v>7.88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37"/>
  <sheetViews>
    <sheetView workbookViewId="0">
      <selection activeCell="B1" activeCellId="1" sqref="A1:A1048576 B1:B1048576"/>
    </sheetView>
  </sheetViews>
  <sheetFormatPr defaultRowHeight="15" x14ac:dyDescent="0.25"/>
  <cols>
    <col min="1" max="1" width="9.42578125" bestFit="1" customWidth="1"/>
  </cols>
  <sheetData>
    <row r="1" spans="1:6" x14ac:dyDescent="0.25">
      <c r="A1" t="str" cm="1">
        <f t="array" aca="1" ref="A1:F237" ca="1">_xlfn.STOCKHISTORY("TMC", DATE(YEAR(TODAY()),1,1), TODAY(), 0, 1,0,1,2,3,4,5)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5">
      <c r="A2" vm="1">
        <f ca="1"/>
        <v>45659</v>
      </c>
      <c r="B2" vm="1937">
        <f ca="1"/>
        <v>1.2</v>
      </c>
      <c r="C2" vm="1470">
        <f ca="1"/>
        <v>1.1399999999999999</v>
      </c>
      <c r="D2" vm="1937">
        <f ca="1"/>
        <v>1.2</v>
      </c>
      <c r="E2" vm="1648">
        <f ca="1"/>
        <v>1.1100000000000001</v>
      </c>
      <c r="F2" vm="1938">
        <f ca="1"/>
        <v>1642362</v>
      </c>
    </row>
    <row r="3" spans="1:6" x14ac:dyDescent="0.25">
      <c r="A3" vm="5">
        <f ca="1"/>
        <v>45660</v>
      </c>
      <c r="B3" vm="1455">
        <f ca="1"/>
        <v>1.25</v>
      </c>
      <c r="C3" vm="1937">
        <f ca="1"/>
        <v>1.2</v>
      </c>
      <c r="D3" vm="1939">
        <f ca="1"/>
        <v>1.27</v>
      </c>
      <c r="E3" vm="1469">
        <f ca="1"/>
        <v>1.1200000000000001</v>
      </c>
      <c r="F3" vm="1940">
        <f ca="1"/>
        <v>2020511</v>
      </c>
    </row>
    <row r="4" spans="1:6" x14ac:dyDescent="0.25">
      <c r="A4" vm="9">
        <f ca="1"/>
        <v>45663</v>
      </c>
      <c r="B4" vm="1470">
        <f ca="1"/>
        <v>1.1399999999999999</v>
      </c>
      <c r="C4" vm="1455">
        <f ca="1"/>
        <v>1.25</v>
      </c>
      <c r="D4" vm="1939">
        <f ca="1"/>
        <v>1.27</v>
      </c>
      <c r="E4" vm="1493">
        <f ca="1"/>
        <v>1.05</v>
      </c>
      <c r="F4" vm="1941">
        <f ca="1"/>
        <v>4071635</v>
      </c>
    </row>
    <row r="5" spans="1:6" x14ac:dyDescent="0.25">
      <c r="A5" vm="13">
        <f ca="1"/>
        <v>45664</v>
      </c>
      <c r="B5" vm="1942">
        <f ca="1"/>
        <v>1.19</v>
      </c>
      <c r="C5" vm="1470">
        <f ca="1"/>
        <v>1.1399999999999999</v>
      </c>
      <c r="D5" vm="1942">
        <f ca="1"/>
        <v>1.19</v>
      </c>
      <c r="E5" vm="1943">
        <f ca="1"/>
        <v>1.0901000000000001</v>
      </c>
      <c r="F5" vm="1944">
        <f ca="1"/>
        <v>1177824</v>
      </c>
    </row>
    <row r="6" spans="1:6" x14ac:dyDescent="0.25">
      <c r="A6" vm="15">
        <f ca="1"/>
        <v>45665</v>
      </c>
      <c r="B6" vm="1945">
        <f ca="1"/>
        <v>1.0900000000000001</v>
      </c>
      <c r="C6" vm="1946">
        <f ca="1"/>
        <v>1.17</v>
      </c>
      <c r="D6" vm="1464">
        <f ca="1"/>
        <v>1.18</v>
      </c>
      <c r="E6" vm="1947">
        <f ca="1"/>
        <v>1.06</v>
      </c>
      <c r="F6" vm="1948">
        <f ca="1"/>
        <v>1574014</v>
      </c>
    </row>
    <row r="7" spans="1:6" x14ac:dyDescent="0.25">
      <c r="A7" vm="19">
        <f ca="1"/>
        <v>45667</v>
      </c>
      <c r="B7" vm="1470">
        <f ca="1"/>
        <v>1.1399999999999999</v>
      </c>
      <c r="C7" vm="1469">
        <f ca="1"/>
        <v>1.1200000000000001</v>
      </c>
      <c r="D7" vm="1464">
        <f ca="1"/>
        <v>1.18</v>
      </c>
      <c r="E7" vm="1591">
        <f ca="1"/>
        <v>1.1000000000000001</v>
      </c>
      <c r="F7" vm="1949">
        <f ca="1"/>
        <v>1568636</v>
      </c>
    </row>
    <row r="8" spans="1:6" x14ac:dyDescent="0.25">
      <c r="A8" vm="23">
        <f ca="1"/>
        <v>45670</v>
      </c>
      <c r="B8" vm="1644">
        <f ca="1"/>
        <v>1.07</v>
      </c>
      <c r="C8" vm="1597">
        <f ca="1"/>
        <v>1.1299999999999999</v>
      </c>
      <c r="D8" vm="1646">
        <f ca="1"/>
        <v>1.1499999999999999</v>
      </c>
      <c r="E8" vm="1592">
        <f ca="1"/>
        <v>1.04</v>
      </c>
      <c r="F8" vm="1950">
        <f ca="1"/>
        <v>1595203</v>
      </c>
    </row>
    <row r="9" spans="1:6" x14ac:dyDescent="0.25">
      <c r="A9" vm="27">
        <f ca="1"/>
        <v>45671</v>
      </c>
      <c r="B9" vm="1493">
        <f ca="1"/>
        <v>1.05</v>
      </c>
      <c r="C9" vm="1644">
        <f ca="1"/>
        <v>1.07</v>
      </c>
      <c r="D9" vm="1951">
        <f ca="1"/>
        <v>1.0874999999999999</v>
      </c>
      <c r="E9" vm="1952">
        <f ca="1"/>
        <v>1.02</v>
      </c>
      <c r="F9" vm="1953">
        <f ca="1"/>
        <v>978372</v>
      </c>
    </row>
    <row r="10" spans="1:6" x14ac:dyDescent="0.25">
      <c r="A10" vm="31">
        <f ca="1"/>
        <v>45672</v>
      </c>
      <c r="B10" vm="1954">
        <f ca="1"/>
        <v>1.3</v>
      </c>
      <c r="C10" vm="1648">
        <f ca="1"/>
        <v>1.1100000000000001</v>
      </c>
      <c r="D10" vm="1955">
        <f ca="1"/>
        <v>1.32</v>
      </c>
      <c r="E10" vm="1591">
        <f ca="1"/>
        <v>1.1000000000000001</v>
      </c>
      <c r="F10" vm="1956">
        <f ca="1"/>
        <v>6703346</v>
      </c>
    </row>
    <row r="11" spans="1:6" x14ac:dyDescent="0.25">
      <c r="A11" vm="35">
        <f ca="1"/>
        <v>45673</v>
      </c>
      <c r="B11" vm="1957">
        <f ca="1"/>
        <v>1.57</v>
      </c>
      <c r="C11" vm="1954">
        <f ca="1"/>
        <v>1.3</v>
      </c>
      <c r="D11" vm="1958">
        <f ca="1"/>
        <v>1.595</v>
      </c>
      <c r="E11" vm="1959">
        <f ca="1"/>
        <v>1.2855000000000001</v>
      </c>
      <c r="F11" vm="1960">
        <f ca="1"/>
        <v>11496000</v>
      </c>
    </row>
    <row r="12" spans="1:6" x14ac:dyDescent="0.25">
      <c r="A12" vm="39">
        <f ca="1"/>
        <v>45674</v>
      </c>
      <c r="B12" vm="1736">
        <f ca="1"/>
        <v>1.59</v>
      </c>
      <c r="C12" vm="1728">
        <f ca="1"/>
        <v>1.79</v>
      </c>
      <c r="D12" vm="1553">
        <f ca="1"/>
        <v>1.88</v>
      </c>
      <c r="E12" vm="1737">
        <f ca="1"/>
        <v>1.4650000000000001</v>
      </c>
      <c r="F12" vm="1961">
        <f ca="1"/>
        <v>16346691</v>
      </c>
    </row>
    <row r="13" spans="1:6" x14ac:dyDescent="0.25">
      <c r="A13" vm="43">
        <f ca="1"/>
        <v>45678</v>
      </c>
      <c r="B13" vm="1575">
        <f ca="1"/>
        <v>1.62</v>
      </c>
      <c r="C13" vm="1962">
        <f ca="1"/>
        <v>1.63</v>
      </c>
      <c r="D13" vm="1511">
        <f ca="1"/>
        <v>1.71</v>
      </c>
      <c r="E13" vm="1963">
        <f ca="1"/>
        <v>1.3301000000000001</v>
      </c>
      <c r="F13" vm="1964">
        <f ca="1"/>
        <v>8499631</v>
      </c>
    </row>
    <row r="14" spans="1:6" x14ac:dyDescent="0.25">
      <c r="A14" vm="47">
        <f ca="1"/>
        <v>45679</v>
      </c>
      <c r="B14" vm="1733">
        <f ca="1"/>
        <v>1.56</v>
      </c>
      <c r="C14" vm="1575">
        <f ca="1"/>
        <v>1.62</v>
      </c>
      <c r="D14" vm="1575">
        <f ca="1"/>
        <v>1.62</v>
      </c>
      <c r="E14" vm="1732">
        <f ca="1"/>
        <v>1.51</v>
      </c>
      <c r="F14" vm="1965">
        <f ca="1"/>
        <v>2217276</v>
      </c>
    </row>
    <row r="15" spans="1:6" x14ac:dyDescent="0.25">
      <c r="A15" vm="51">
        <f ca="1"/>
        <v>45680</v>
      </c>
      <c r="B15" vm="1957">
        <f ca="1"/>
        <v>1.57</v>
      </c>
      <c r="C15" vm="1957">
        <f ca="1"/>
        <v>1.57</v>
      </c>
      <c r="D15" vm="1736">
        <f ca="1"/>
        <v>1.59</v>
      </c>
      <c r="E15" vm="1966">
        <f ca="1"/>
        <v>1.415</v>
      </c>
      <c r="F15" vm="1967">
        <f ca="1"/>
        <v>2942882</v>
      </c>
    </row>
    <row r="16" spans="1:6" x14ac:dyDescent="0.25">
      <c r="A16" vm="55">
        <f ca="1"/>
        <v>45681</v>
      </c>
      <c r="B16" vm="1957">
        <f ca="1"/>
        <v>1.57</v>
      </c>
      <c r="C16" vm="1503">
        <f ca="1"/>
        <v>1.58</v>
      </c>
      <c r="D16" vm="1727">
        <f ca="1"/>
        <v>1.66</v>
      </c>
      <c r="E16" vm="1725">
        <f ca="1"/>
        <v>1.52</v>
      </c>
      <c r="F16" vm="1968">
        <f ca="1"/>
        <v>2686295</v>
      </c>
    </row>
    <row r="17" spans="1:6" x14ac:dyDescent="0.25">
      <c r="A17" vm="59">
        <f ca="1"/>
        <v>45684</v>
      </c>
      <c r="B17" vm="1590">
        <f ca="1"/>
        <v>1.45</v>
      </c>
      <c r="C17" vm="1738">
        <f ca="1"/>
        <v>1.53</v>
      </c>
      <c r="D17" vm="1969">
        <f ca="1"/>
        <v>1.54</v>
      </c>
      <c r="E17" vm="1726">
        <f ca="1"/>
        <v>1.42</v>
      </c>
      <c r="F17" vm="1970">
        <f ca="1"/>
        <v>1886184</v>
      </c>
    </row>
    <row r="18" spans="1:6" x14ac:dyDescent="0.25">
      <c r="A18" vm="63">
        <f ca="1"/>
        <v>45685</v>
      </c>
      <c r="B18" vm="1735">
        <f ca="1"/>
        <v>1.55</v>
      </c>
      <c r="C18" vm="1725">
        <f ca="1"/>
        <v>1.52</v>
      </c>
      <c r="D18" vm="1577">
        <f ca="1"/>
        <v>1.61</v>
      </c>
      <c r="E18" vm="1971">
        <f ca="1"/>
        <v>1.4450000000000001</v>
      </c>
      <c r="F18" vm="1972">
        <f ca="1"/>
        <v>1775529</v>
      </c>
    </row>
    <row r="19" spans="1:6" x14ac:dyDescent="0.25">
      <c r="A19" vm="67">
        <f ca="1"/>
        <v>45686</v>
      </c>
      <c r="B19" vm="1731">
        <f ca="1"/>
        <v>1.48</v>
      </c>
      <c r="C19" vm="1957">
        <f ca="1"/>
        <v>1.57</v>
      </c>
      <c r="D19" vm="1973">
        <f ca="1"/>
        <v>1.5779000000000001</v>
      </c>
      <c r="E19" vm="1974">
        <f ca="1"/>
        <v>1.44</v>
      </c>
      <c r="F19" vm="1975">
        <f ca="1"/>
        <v>1504950</v>
      </c>
    </row>
    <row r="20" spans="1:6" x14ac:dyDescent="0.25">
      <c r="A20" vm="71">
        <f ca="1"/>
        <v>45687</v>
      </c>
      <c r="B20" vm="1585">
        <f ca="1"/>
        <v>1.65</v>
      </c>
      <c r="C20" vm="1732">
        <f ca="1"/>
        <v>1.51</v>
      </c>
      <c r="D20" vm="1498">
        <f ca="1"/>
        <v>1.7</v>
      </c>
      <c r="E20" vm="1724">
        <f ca="1"/>
        <v>1.47</v>
      </c>
      <c r="F20" vm="1976">
        <f ca="1"/>
        <v>2384540</v>
      </c>
    </row>
    <row r="21" spans="1:6" x14ac:dyDescent="0.25">
      <c r="A21" vm="75">
        <f ca="1"/>
        <v>45688</v>
      </c>
      <c r="B21" vm="1962">
        <f ca="1"/>
        <v>1.63</v>
      </c>
      <c r="C21" vm="1727">
        <f ca="1"/>
        <v>1.66</v>
      </c>
      <c r="D21" vm="1576">
        <f ca="1"/>
        <v>1.72</v>
      </c>
      <c r="E21" vm="1577">
        <f ca="1"/>
        <v>1.61</v>
      </c>
      <c r="F21" vm="1977">
        <f ca="1"/>
        <v>1920745</v>
      </c>
    </row>
    <row r="22" spans="1:6" x14ac:dyDescent="0.25">
      <c r="A22" vm="78">
        <f ca="1"/>
        <v>45691</v>
      </c>
      <c r="B22" vm="1517">
        <f ca="1"/>
        <v>1.78</v>
      </c>
      <c r="C22" vm="1503">
        <f ca="1"/>
        <v>1.58</v>
      </c>
      <c r="D22" vm="1978">
        <f ca="1"/>
        <v>1.8299000000000001</v>
      </c>
      <c r="E22" vm="1735">
        <f ca="1"/>
        <v>1.55</v>
      </c>
      <c r="F22" vm="1979">
        <f ca="1"/>
        <v>4313738</v>
      </c>
    </row>
    <row r="23" spans="1:6" x14ac:dyDescent="0.25">
      <c r="A23" vm="82">
        <f ca="1"/>
        <v>45692</v>
      </c>
      <c r="B23" vm="1980">
        <f ca="1"/>
        <v>1.73</v>
      </c>
      <c r="C23" vm="1567">
        <f ca="1"/>
        <v>1.81</v>
      </c>
      <c r="D23" vm="1445">
        <f ca="1"/>
        <v>1.94</v>
      </c>
      <c r="E23" vm="1511">
        <f ca="1"/>
        <v>1.71</v>
      </c>
      <c r="F23" vm="1981">
        <f ca="1"/>
        <v>5689668</v>
      </c>
    </row>
    <row r="24" spans="1:6" x14ac:dyDescent="0.25">
      <c r="A24" vm="85">
        <f ca="1"/>
        <v>45693</v>
      </c>
      <c r="B24" vm="1509">
        <f ca="1"/>
        <v>1.8</v>
      </c>
      <c r="C24" vm="1446">
        <f ca="1"/>
        <v>1.75</v>
      </c>
      <c r="D24" vm="1729">
        <f ca="1"/>
        <v>1.87</v>
      </c>
      <c r="E24" vm="1572">
        <f ca="1"/>
        <v>1.665</v>
      </c>
      <c r="F24" vm="1982">
        <f ca="1"/>
        <v>2460574</v>
      </c>
    </row>
    <row r="25" spans="1:6" x14ac:dyDescent="0.25">
      <c r="A25" vm="88">
        <f ca="1"/>
        <v>45694</v>
      </c>
      <c r="B25" vm="1500">
        <f ca="1"/>
        <v>1.82</v>
      </c>
      <c r="C25" vm="1567">
        <f ca="1"/>
        <v>1.81</v>
      </c>
      <c r="D25" vm="1729">
        <f ca="1"/>
        <v>1.87</v>
      </c>
      <c r="E25" vm="1983">
        <f ca="1"/>
        <v>1.7649999999999999</v>
      </c>
      <c r="F25" vm="1984">
        <f ca="1"/>
        <v>2570729</v>
      </c>
    </row>
    <row r="26" spans="1:6" x14ac:dyDescent="0.25">
      <c r="A26" vm="92">
        <f ca="1"/>
        <v>45695</v>
      </c>
      <c r="B26" vm="1567">
        <f ca="1"/>
        <v>1.81</v>
      </c>
      <c r="C26" vm="1452">
        <f ca="1"/>
        <v>1.83</v>
      </c>
      <c r="D26" vm="1985">
        <f ca="1"/>
        <v>1.89</v>
      </c>
      <c r="E26" vm="1569">
        <f ca="1"/>
        <v>1.77</v>
      </c>
      <c r="F26" vm="1986">
        <f ca="1"/>
        <v>1986131</v>
      </c>
    </row>
    <row r="27" spans="1:6" x14ac:dyDescent="0.25">
      <c r="A27" vm="95">
        <f ca="1"/>
        <v>45698</v>
      </c>
      <c r="B27" vm="1987">
        <f ca="1"/>
        <v>1.86</v>
      </c>
      <c r="C27" vm="1583">
        <f ca="1"/>
        <v>1.84</v>
      </c>
      <c r="D27" vm="1985">
        <f ca="1"/>
        <v>1.89</v>
      </c>
      <c r="E27" vm="1567">
        <f ca="1"/>
        <v>1.81</v>
      </c>
      <c r="F27" vm="1988">
        <f ca="1"/>
        <v>2353404</v>
      </c>
    </row>
    <row r="28" spans="1:6" x14ac:dyDescent="0.25">
      <c r="A28" vm="98">
        <f ca="1"/>
        <v>45699</v>
      </c>
      <c r="B28" vm="1728">
        <f ca="1"/>
        <v>1.79</v>
      </c>
      <c r="C28" vm="1553">
        <f ca="1"/>
        <v>1.88</v>
      </c>
      <c r="D28" vm="1553">
        <f ca="1"/>
        <v>1.88</v>
      </c>
      <c r="E28" vm="1989">
        <f ca="1"/>
        <v>1.7749999999999999</v>
      </c>
      <c r="F28" vm="1990">
        <f ca="1"/>
        <v>1600092</v>
      </c>
    </row>
    <row r="29" spans="1:6" x14ac:dyDescent="0.25">
      <c r="A29" vm="101">
        <f ca="1"/>
        <v>45700</v>
      </c>
      <c r="B29" vm="1578">
        <f ca="1"/>
        <v>1.76</v>
      </c>
      <c r="C29" vm="1446">
        <f ca="1"/>
        <v>1.75</v>
      </c>
      <c r="D29" vm="1553">
        <f ca="1"/>
        <v>1.88</v>
      </c>
      <c r="E29" vm="1511">
        <f ca="1"/>
        <v>1.71</v>
      </c>
      <c r="F29" vm="1991">
        <f ca="1"/>
        <v>2131359</v>
      </c>
    </row>
    <row r="30" spans="1:6" x14ac:dyDescent="0.25">
      <c r="A30" vm="105">
        <f ca="1"/>
        <v>45701</v>
      </c>
      <c r="B30" vm="1987">
        <f ca="1"/>
        <v>1.86</v>
      </c>
      <c r="C30" vm="1509">
        <f ca="1"/>
        <v>1.8</v>
      </c>
      <c r="D30" vm="1992">
        <f ca="1"/>
        <v>1.8697999999999999</v>
      </c>
      <c r="E30" vm="1517">
        <f ca="1"/>
        <v>1.78</v>
      </c>
      <c r="F30" vm="1993">
        <f ca="1"/>
        <v>1734190</v>
      </c>
    </row>
    <row r="31" spans="1:6" x14ac:dyDescent="0.25">
      <c r="A31" vm="109">
        <f ca="1"/>
        <v>45702</v>
      </c>
      <c r="B31" vm="1553">
        <f ca="1"/>
        <v>1.88</v>
      </c>
      <c r="C31" vm="1583">
        <f ca="1"/>
        <v>1.84</v>
      </c>
      <c r="D31" vm="1553">
        <f ca="1"/>
        <v>1.88</v>
      </c>
      <c r="E31" vm="1743">
        <f ca="1"/>
        <v>1.825</v>
      </c>
      <c r="F31" vm="1994">
        <f ca="1"/>
        <v>1318644</v>
      </c>
    </row>
    <row r="32" spans="1:6" x14ac:dyDescent="0.25">
      <c r="A32" vm="111">
        <f ca="1"/>
        <v>45706</v>
      </c>
      <c r="B32" vm="1440">
        <f ca="1"/>
        <v>2.0699999999999998</v>
      </c>
      <c r="C32" vm="1553">
        <f ca="1"/>
        <v>1.88</v>
      </c>
      <c r="D32" vm="1995">
        <f ca="1"/>
        <v>2.08</v>
      </c>
      <c r="E32" vm="1571">
        <f ca="1"/>
        <v>1.835</v>
      </c>
      <c r="F32" vm="1996">
        <f ca="1"/>
        <v>4284689</v>
      </c>
    </row>
    <row r="33" spans="1:6" x14ac:dyDescent="0.25">
      <c r="A33" vm="115">
        <f ca="1"/>
        <v>45707</v>
      </c>
      <c r="B33" vm="1562">
        <f ca="1"/>
        <v>2.37</v>
      </c>
      <c r="C33" vm="1518">
        <f ca="1"/>
        <v>2.25</v>
      </c>
      <c r="D33" vm="1141">
        <f ca="1"/>
        <v>2.5499999999999998</v>
      </c>
      <c r="E33" vm="1516">
        <f ca="1"/>
        <v>2.2000000000000002</v>
      </c>
      <c r="F33" vm="1997">
        <f ca="1"/>
        <v>10624521</v>
      </c>
    </row>
    <row r="34" spans="1:6" x14ac:dyDescent="0.25">
      <c r="A34" vm="119">
        <f ca="1"/>
        <v>45708</v>
      </c>
      <c r="B34" vm="1752">
        <f ca="1"/>
        <v>2.2200000000000002</v>
      </c>
      <c r="C34" vm="1508">
        <f ca="1"/>
        <v>2.29</v>
      </c>
      <c r="D34" vm="1998">
        <f ca="1"/>
        <v>2.39</v>
      </c>
      <c r="E34" vm="1580">
        <f ca="1"/>
        <v>2.14</v>
      </c>
      <c r="F34" vm="1999">
        <f ca="1"/>
        <v>3553202</v>
      </c>
    </row>
    <row r="35" spans="1:6" x14ac:dyDescent="0.25">
      <c r="A35" vm="123">
        <f ca="1"/>
        <v>45709</v>
      </c>
      <c r="B35" vm="1739">
        <f ca="1"/>
        <v>1.96</v>
      </c>
      <c r="C35" vm="1554">
        <f ca="1"/>
        <v>2.19</v>
      </c>
      <c r="D35" vm="2000">
        <f ca="1"/>
        <v>2.2349999999999999</v>
      </c>
      <c r="E35" vm="1450">
        <f ca="1"/>
        <v>1.92</v>
      </c>
      <c r="F35" vm="2001">
        <f ca="1"/>
        <v>3712877</v>
      </c>
    </row>
    <row r="36" spans="1:6" x14ac:dyDescent="0.25">
      <c r="A36" vm="127">
        <f ca="1"/>
        <v>45712</v>
      </c>
      <c r="B36" vm="1742">
        <f ca="1"/>
        <v>1.97</v>
      </c>
      <c r="C36" vm="2002">
        <f ca="1"/>
        <v>2.0750000000000002</v>
      </c>
      <c r="D36" vm="2003">
        <f ca="1"/>
        <v>2.16</v>
      </c>
      <c r="E36" vm="1450">
        <f ca="1"/>
        <v>1.92</v>
      </c>
      <c r="F36" vm="2004">
        <f ca="1"/>
        <v>2698484</v>
      </c>
    </row>
    <row r="37" spans="1:6" x14ac:dyDescent="0.25">
      <c r="A37" vm="131">
        <f ca="1"/>
        <v>45713</v>
      </c>
      <c r="B37" vm="1507">
        <f ca="1"/>
        <v>1.85</v>
      </c>
      <c r="C37" vm="1742">
        <f ca="1"/>
        <v>1.97</v>
      </c>
      <c r="D37" vm="1742">
        <f ca="1"/>
        <v>1.97</v>
      </c>
      <c r="E37" vm="1980">
        <f ca="1"/>
        <v>1.73</v>
      </c>
      <c r="F37" vm="2005">
        <f ca="1"/>
        <v>2542928</v>
      </c>
    </row>
    <row r="38" spans="1:6" x14ac:dyDescent="0.25">
      <c r="A38" vm="135">
        <f ca="1"/>
        <v>45714</v>
      </c>
      <c r="B38" vm="1987">
        <f ca="1"/>
        <v>1.86</v>
      </c>
      <c r="C38" vm="1507">
        <f ca="1"/>
        <v>1.85</v>
      </c>
      <c r="D38" vm="1450">
        <f ca="1"/>
        <v>1.92</v>
      </c>
      <c r="E38" vm="1583">
        <f ca="1"/>
        <v>1.84</v>
      </c>
      <c r="F38" vm="2006">
        <f ca="1"/>
        <v>891357</v>
      </c>
    </row>
    <row r="39" spans="1:6" x14ac:dyDescent="0.25">
      <c r="A39" vm="139">
        <f ca="1"/>
        <v>45715</v>
      </c>
      <c r="B39" vm="1498">
        <f ca="1"/>
        <v>1.7</v>
      </c>
      <c r="C39" vm="1504">
        <f ca="1"/>
        <v>1.9</v>
      </c>
      <c r="D39" vm="1566">
        <f ca="1"/>
        <v>1.98</v>
      </c>
      <c r="E39" vm="1730">
        <f ca="1"/>
        <v>1.67</v>
      </c>
      <c r="F39" vm="2007">
        <f ca="1"/>
        <v>2194487</v>
      </c>
    </row>
    <row r="40" spans="1:6" x14ac:dyDescent="0.25">
      <c r="A40" vm="143">
        <f ca="1"/>
        <v>45716</v>
      </c>
      <c r="B40" vm="1511">
        <f ca="1"/>
        <v>1.71</v>
      </c>
      <c r="C40" vm="1730">
        <f ca="1"/>
        <v>1.67</v>
      </c>
      <c r="D40" vm="1728">
        <f ca="1"/>
        <v>1.79</v>
      </c>
      <c r="E40" vm="2008">
        <f ca="1"/>
        <v>1.625</v>
      </c>
      <c r="F40" vm="2009">
        <f ca="1"/>
        <v>1886166</v>
      </c>
    </row>
    <row r="41" spans="1:6" x14ac:dyDescent="0.25">
      <c r="A41" vm="147">
        <f ca="1"/>
        <v>45719</v>
      </c>
      <c r="B41" vm="1568">
        <f ca="1"/>
        <v>1.69</v>
      </c>
      <c r="C41" vm="2010">
        <f ca="1"/>
        <v>1.74</v>
      </c>
      <c r="D41" vm="1728">
        <f ca="1"/>
        <v>1.79</v>
      </c>
      <c r="E41" vm="1585">
        <f ca="1"/>
        <v>1.65</v>
      </c>
      <c r="F41" vm="2011">
        <f ca="1"/>
        <v>1345165</v>
      </c>
    </row>
    <row r="42" spans="1:6" x14ac:dyDescent="0.25">
      <c r="A42" vm="151">
        <f ca="1"/>
        <v>45720</v>
      </c>
      <c r="B42" vm="1570">
        <f ca="1"/>
        <v>1.68</v>
      </c>
      <c r="C42" vm="1585">
        <f ca="1"/>
        <v>1.65</v>
      </c>
      <c r="D42" vm="1980">
        <f ca="1"/>
        <v>1.73</v>
      </c>
      <c r="E42" vm="1577">
        <f ca="1"/>
        <v>1.61</v>
      </c>
      <c r="F42" vm="2012">
        <f ca="1"/>
        <v>1784230</v>
      </c>
    </row>
    <row r="43" spans="1:6" x14ac:dyDescent="0.25">
      <c r="A43" vm="155">
        <f ca="1"/>
        <v>45721</v>
      </c>
      <c r="B43" vm="1553">
        <f ca="1"/>
        <v>1.88</v>
      </c>
      <c r="C43" vm="1576">
        <f ca="1"/>
        <v>1.72</v>
      </c>
      <c r="D43" vm="1985">
        <f ca="1"/>
        <v>1.89</v>
      </c>
      <c r="E43" vm="1498">
        <f ca="1"/>
        <v>1.7</v>
      </c>
      <c r="F43" vm="2013">
        <f ca="1"/>
        <v>2621956</v>
      </c>
    </row>
    <row r="44" spans="1:6" x14ac:dyDescent="0.25">
      <c r="A44" vm="159">
        <f ca="1"/>
        <v>45722</v>
      </c>
      <c r="B44" vm="1449">
        <f ca="1"/>
        <v>1.91</v>
      </c>
      <c r="C44" vm="1507">
        <f ca="1"/>
        <v>1.85</v>
      </c>
      <c r="D44" vm="1515">
        <f ca="1"/>
        <v>2.02</v>
      </c>
      <c r="E44" vm="2014">
        <f ca="1"/>
        <v>1.8105</v>
      </c>
      <c r="F44" vm="2015">
        <f ca="1"/>
        <v>3182482</v>
      </c>
    </row>
    <row r="45" spans="1:6" x14ac:dyDescent="0.25">
      <c r="A45" vm="162">
        <f ca="1"/>
        <v>45723</v>
      </c>
      <c r="B45" vm="1500">
        <f ca="1"/>
        <v>1.82</v>
      </c>
      <c r="C45" vm="1581">
        <f ca="1"/>
        <v>1.93</v>
      </c>
      <c r="D45" vm="2016">
        <f ca="1"/>
        <v>1.9474</v>
      </c>
      <c r="E45" vm="2017">
        <f ca="1"/>
        <v>1.794</v>
      </c>
      <c r="F45" vm="2018">
        <f ca="1"/>
        <v>1495222</v>
      </c>
    </row>
    <row r="46" spans="1:6" x14ac:dyDescent="0.25">
      <c r="A46" vm="165">
        <f ca="1"/>
        <v>45726</v>
      </c>
      <c r="B46" vm="2010">
        <f ca="1"/>
        <v>1.74</v>
      </c>
      <c r="C46" vm="1728">
        <f ca="1"/>
        <v>1.79</v>
      </c>
      <c r="D46" vm="1583">
        <f ca="1"/>
        <v>1.84</v>
      </c>
      <c r="E46" vm="2019">
        <f ca="1"/>
        <v>1.7050000000000001</v>
      </c>
      <c r="F46" vm="2020">
        <f ca="1"/>
        <v>1702953</v>
      </c>
    </row>
    <row r="47" spans="1:6" x14ac:dyDescent="0.25">
      <c r="A47" vm="169">
        <f ca="1"/>
        <v>45727</v>
      </c>
      <c r="B47" vm="1446">
        <f ca="1"/>
        <v>1.75</v>
      </c>
      <c r="C47" vm="1576">
        <f ca="1"/>
        <v>1.72</v>
      </c>
      <c r="D47" vm="1517">
        <f ca="1"/>
        <v>1.78</v>
      </c>
      <c r="E47" vm="1727">
        <f ca="1"/>
        <v>1.66</v>
      </c>
      <c r="F47" vm="2021">
        <f ca="1"/>
        <v>1286017</v>
      </c>
    </row>
    <row r="48" spans="1:6" x14ac:dyDescent="0.25">
      <c r="A48" vm="172">
        <f ca="1"/>
        <v>45728</v>
      </c>
      <c r="B48" vm="1517">
        <f ca="1"/>
        <v>1.78</v>
      </c>
      <c r="C48" vm="1517">
        <f ca="1"/>
        <v>1.78</v>
      </c>
      <c r="D48" vm="1500">
        <f ca="1"/>
        <v>1.82</v>
      </c>
      <c r="E48" vm="1576">
        <f ca="1"/>
        <v>1.72</v>
      </c>
      <c r="F48" vm="2022">
        <f ca="1"/>
        <v>803587</v>
      </c>
    </row>
    <row r="49" spans="1:6" x14ac:dyDescent="0.25">
      <c r="A49" vm="176">
        <f ca="1"/>
        <v>45729</v>
      </c>
      <c r="B49" vm="1980">
        <f ca="1"/>
        <v>1.73</v>
      </c>
      <c r="C49" vm="1517">
        <f ca="1"/>
        <v>1.78</v>
      </c>
      <c r="D49" vm="1454">
        <f ca="1"/>
        <v>1.8049999999999999</v>
      </c>
      <c r="E49" vm="1498">
        <f ca="1"/>
        <v>1.7</v>
      </c>
      <c r="F49" vm="2023">
        <f ca="1"/>
        <v>972294</v>
      </c>
    </row>
    <row r="50" spans="1:6" x14ac:dyDescent="0.25">
      <c r="A50" vm="178">
        <f ca="1"/>
        <v>45730</v>
      </c>
      <c r="B50" vm="1507">
        <f ca="1"/>
        <v>1.85</v>
      </c>
      <c r="C50" vm="2010">
        <f ca="1"/>
        <v>1.74</v>
      </c>
      <c r="D50" vm="1507">
        <f ca="1"/>
        <v>1.85</v>
      </c>
      <c r="E50" vm="2010">
        <f ca="1"/>
        <v>1.74</v>
      </c>
      <c r="F50" vm="2024">
        <f ca="1"/>
        <v>774169</v>
      </c>
    </row>
    <row r="51" spans="1:6" x14ac:dyDescent="0.25">
      <c r="A51" vm="182">
        <f ca="1"/>
        <v>45733</v>
      </c>
      <c r="B51" vm="1567">
        <f ca="1"/>
        <v>1.81</v>
      </c>
      <c r="C51" vm="1507">
        <f ca="1"/>
        <v>1.85</v>
      </c>
      <c r="D51" vm="1985">
        <f ca="1"/>
        <v>1.89</v>
      </c>
      <c r="E51" vm="1509">
        <f ca="1"/>
        <v>1.8</v>
      </c>
      <c r="F51" vm="2025">
        <f ca="1"/>
        <v>1252246</v>
      </c>
    </row>
    <row r="52" spans="1:6" x14ac:dyDescent="0.25">
      <c r="A52" vm="185">
        <f ca="1"/>
        <v>45734</v>
      </c>
      <c r="B52" vm="1985">
        <f ca="1"/>
        <v>1.89</v>
      </c>
      <c r="C52" vm="1567">
        <f ca="1"/>
        <v>1.81</v>
      </c>
      <c r="D52" vm="1985">
        <f ca="1"/>
        <v>1.89</v>
      </c>
      <c r="E52" vm="1517">
        <f ca="1"/>
        <v>1.78</v>
      </c>
      <c r="F52" vm="2026">
        <f ca="1"/>
        <v>1072712</v>
      </c>
    </row>
    <row r="53" spans="1:6" x14ac:dyDescent="0.25">
      <c r="A53" vm="189">
        <f ca="1"/>
        <v>45735</v>
      </c>
      <c r="B53" vm="1729">
        <f ca="1"/>
        <v>1.87</v>
      </c>
      <c r="C53" vm="1504">
        <f ca="1"/>
        <v>1.9</v>
      </c>
      <c r="D53" vm="2027">
        <f ca="1"/>
        <v>1.915</v>
      </c>
      <c r="E53" vm="1987">
        <f ca="1"/>
        <v>1.86</v>
      </c>
      <c r="F53" vm="2028">
        <f ca="1"/>
        <v>1044477</v>
      </c>
    </row>
    <row r="54" spans="1:6" x14ac:dyDescent="0.25">
      <c r="A54" vm="193">
        <f ca="1"/>
        <v>45736</v>
      </c>
      <c r="B54" vm="1569">
        <f ca="1"/>
        <v>1.77</v>
      </c>
      <c r="C54" vm="1987">
        <f ca="1"/>
        <v>1.86</v>
      </c>
      <c r="D54" vm="2029">
        <f ca="1"/>
        <v>1.865</v>
      </c>
      <c r="E54" vm="1578">
        <f ca="1"/>
        <v>1.76</v>
      </c>
      <c r="F54" vm="2030">
        <f ca="1"/>
        <v>920632</v>
      </c>
    </row>
    <row r="55" spans="1:6" x14ac:dyDescent="0.25">
      <c r="A55" vm="197">
        <f ca="1"/>
        <v>45737</v>
      </c>
      <c r="B55" vm="1500">
        <f ca="1"/>
        <v>1.82</v>
      </c>
      <c r="C55" vm="1517">
        <f ca="1"/>
        <v>1.78</v>
      </c>
      <c r="D55" vm="1500">
        <f ca="1"/>
        <v>1.82</v>
      </c>
      <c r="E55" vm="1569">
        <f ca="1"/>
        <v>1.77</v>
      </c>
      <c r="F55" vm="2031">
        <f ca="1"/>
        <v>1903139</v>
      </c>
    </row>
    <row r="56" spans="1:6" x14ac:dyDescent="0.25">
      <c r="A56" vm="199">
        <f ca="1"/>
        <v>45740</v>
      </c>
      <c r="B56" vm="1517">
        <f ca="1"/>
        <v>1.78</v>
      </c>
      <c r="C56" vm="1583">
        <f ca="1"/>
        <v>1.84</v>
      </c>
      <c r="D56" vm="1729">
        <f ca="1"/>
        <v>1.87</v>
      </c>
      <c r="E56" vm="2032">
        <f ca="1"/>
        <v>1.7549999999999999</v>
      </c>
      <c r="F56" vm="2033">
        <f ca="1"/>
        <v>1298689</v>
      </c>
    </row>
    <row r="57" spans="1:6" x14ac:dyDescent="0.25">
      <c r="A57" vm="203">
        <f ca="1"/>
        <v>45741</v>
      </c>
      <c r="B57" vm="1728">
        <f ca="1"/>
        <v>1.79</v>
      </c>
      <c r="C57" vm="1509">
        <f ca="1"/>
        <v>1.8</v>
      </c>
      <c r="D57" vm="2034">
        <f ca="1"/>
        <v>1.8154999999999999</v>
      </c>
      <c r="E57" vm="2035">
        <f ca="1"/>
        <v>1.7448999999999999</v>
      </c>
      <c r="F57" vm="2036">
        <f ca="1"/>
        <v>910547</v>
      </c>
    </row>
    <row r="58" spans="1:6" x14ac:dyDescent="0.25">
      <c r="A58" vm="207">
        <f ca="1"/>
        <v>45742</v>
      </c>
      <c r="B58" vm="1727">
        <f ca="1"/>
        <v>1.66</v>
      </c>
      <c r="C58" vm="1728">
        <f ca="1"/>
        <v>1.79</v>
      </c>
      <c r="D58" vm="1728">
        <f ca="1"/>
        <v>1.79</v>
      </c>
      <c r="E58" vm="1585">
        <f ca="1"/>
        <v>1.65</v>
      </c>
      <c r="F58" vm="2037">
        <f ca="1"/>
        <v>1890880</v>
      </c>
    </row>
    <row r="59" spans="1:6" x14ac:dyDescent="0.25">
      <c r="A59" vm="209">
        <f ca="1"/>
        <v>45743</v>
      </c>
      <c r="B59" vm="1498">
        <f ca="1"/>
        <v>1.7</v>
      </c>
      <c r="C59" vm="1568">
        <f ca="1"/>
        <v>1.69</v>
      </c>
      <c r="D59" vm="2010">
        <f ca="1"/>
        <v>1.74</v>
      </c>
      <c r="E59" vm="1585">
        <f ca="1"/>
        <v>1.65</v>
      </c>
      <c r="F59" vm="2038">
        <f ca="1"/>
        <v>1550093</v>
      </c>
    </row>
    <row r="60" spans="1:6" x14ac:dyDescent="0.25">
      <c r="A60" vm="212">
        <f ca="1"/>
        <v>45744</v>
      </c>
      <c r="B60" vm="1576">
        <f ca="1"/>
        <v>1.72</v>
      </c>
      <c r="C60" vm="1566">
        <f ca="1"/>
        <v>1.98</v>
      </c>
      <c r="D60" vm="1565">
        <f ca="1"/>
        <v>2.1</v>
      </c>
      <c r="E60" vm="1568">
        <f ca="1"/>
        <v>1.69</v>
      </c>
      <c r="F60" vm="2039">
        <f ca="1"/>
        <v>9627535</v>
      </c>
    </row>
    <row r="61" spans="1:6" x14ac:dyDescent="0.25">
      <c r="A61" vm="216">
        <f ca="1"/>
        <v>45747</v>
      </c>
      <c r="B61" vm="1576">
        <f ca="1"/>
        <v>1.72</v>
      </c>
      <c r="C61" vm="1568">
        <f ca="1"/>
        <v>1.69</v>
      </c>
      <c r="D61" vm="2040">
        <f ca="1"/>
        <v>2.17</v>
      </c>
      <c r="E61" vm="1957">
        <f ca="1"/>
        <v>1.57</v>
      </c>
      <c r="F61" vm="2041">
        <f ca="1"/>
        <v>13344857</v>
      </c>
    </row>
    <row r="62" spans="1:6" x14ac:dyDescent="0.25">
      <c r="A62" vm="220">
        <f ca="1"/>
        <v>45748</v>
      </c>
      <c r="B62" vm="1727">
        <f ca="1"/>
        <v>1.66</v>
      </c>
      <c r="C62" vm="1728">
        <f ca="1"/>
        <v>1.79</v>
      </c>
      <c r="D62" vm="1500">
        <f ca="1"/>
        <v>1.82</v>
      </c>
      <c r="E62" vm="1577">
        <f ca="1"/>
        <v>1.61</v>
      </c>
      <c r="F62" vm="2042">
        <f ca="1"/>
        <v>7306110</v>
      </c>
    </row>
    <row r="63" spans="1:6" x14ac:dyDescent="0.25">
      <c r="A63" vm="223">
        <f ca="1"/>
        <v>45749</v>
      </c>
      <c r="B63" vm="1445">
        <f ca="1"/>
        <v>1.94</v>
      </c>
      <c r="C63" vm="1448">
        <f ca="1"/>
        <v>1.64</v>
      </c>
      <c r="D63" vm="1740">
        <f ca="1"/>
        <v>1.95</v>
      </c>
      <c r="E63" vm="1577">
        <f ca="1"/>
        <v>1.61</v>
      </c>
      <c r="F63" vm="2043">
        <f ca="1"/>
        <v>4811843</v>
      </c>
    </row>
    <row r="64" spans="1:6" x14ac:dyDescent="0.25">
      <c r="A64" vm="224">
        <f ca="1"/>
        <v>45750</v>
      </c>
      <c r="B64" vm="1740">
        <f ca="1"/>
        <v>1.95</v>
      </c>
      <c r="C64" vm="1517">
        <f ca="1"/>
        <v>1.78</v>
      </c>
      <c r="D64" vm="1566">
        <f ca="1"/>
        <v>1.98</v>
      </c>
      <c r="E64" vm="1569">
        <f ca="1"/>
        <v>1.77</v>
      </c>
      <c r="F64" vm="2044">
        <f ca="1"/>
        <v>3888720</v>
      </c>
    </row>
    <row r="65" spans="1:6" x14ac:dyDescent="0.25">
      <c r="A65" vm="227">
        <f ca="1"/>
        <v>45751</v>
      </c>
      <c r="B65" vm="1452">
        <f ca="1"/>
        <v>1.83</v>
      </c>
      <c r="C65" vm="1985">
        <f ca="1"/>
        <v>1.89</v>
      </c>
      <c r="D65" vm="1504">
        <f ca="1"/>
        <v>1.9</v>
      </c>
      <c r="E65" vm="1446">
        <f ca="1"/>
        <v>1.75</v>
      </c>
      <c r="F65" vm="2045">
        <f ca="1"/>
        <v>3012836</v>
      </c>
    </row>
    <row r="66" spans="1:6" x14ac:dyDescent="0.25">
      <c r="A66" vm="231">
        <f ca="1"/>
        <v>45754</v>
      </c>
      <c r="B66" vm="1578">
        <f ca="1"/>
        <v>1.76</v>
      </c>
      <c r="C66" vm="1585">
        <f ca="1"/>
        <v>1.65</v>
      </c>
      <c r="D66" vm="2046">
        <f ca="1"/>
        <v>1.8998999999999999</v>
      </c>
      <c r="E66" vm="1585">
        <f ca="1"/>
        <v>1.65</v>
      </c>
      <c r="F66" vm="2047">
        <f ca="1"/>
        <v>3025602</v>
      </c>
    </row>
    <row r="67" spans="1:6" x14ac:dyDescent="0.25">
      <c r="A67" vm="235">
        <f ca="1"/>
        <v>45755</v>
      </c>
      <c r="B67" vm="1575">
        <f ca="1"/>
        <v>1.62</v>
      </c>
      <c r="C67" vm="1583">
        <f ca="1"/>
        <v>1.84</v>
      </c>
      <c r="D67" vm="1583">
        <f ca="1"/>
        <v>1.84</v>
      </c>
      <c r="E67" vm="1573">
        <f ca="1"/>
        <v>1.6</v>
      </c>
      <c r="F67" vm="2048">
        <f ca="1"/>
        <v>4067528</v>
      </c>
    </row>
    <row r="68" spans="1:6" x14ac:dyDescent="0.25">
      <c r="A68" vm="239">
        <f ca="1"/>
        <v>45756</v>
      </c>
      <c r="B68" vm="1728">
        <f ca="1"/>
        <v>1.79</v>
      </c>
      <c r="C68" vm="1575">
        <f ca="1"/>
        <v>1.62</v>
      </c>
      <c r="D68" vm="1567">
        <f ca="1"/>
        <v>1.81</v>
      </c>
      <c r="E68" vm="1573">
        <f ca="1"/>
        <v>1.6</v>
      </c>
      <c r="F68" vm="2049">
        <f ca="1"/>
        <v>2461576</v>
      </c>
    </row>
    <row r="69" spans="1:6" x14ac:dyDescent="0.25">
      <c r="A69" vm="243">
        <f ca="1"/>
        <v>45757</v>
      </c>
      <c r="B69" vm="1987">
        <f ca="1"/>
        <v>1.86</v>
      </c>
      <c r="C69" vm="2010">
        <f ca="1"/>
        <v>1.74</v>
      </c>
      <c r="D69" vm="1445">
        <f ca="1"/>
        <v>1.94</v>
      </c>
      <c r="E69" vm="2050">
        <f ca="1"/>
        <v>1.7108000000000001</v>
      </c>
      <c r="F69" vm="2051">
        <f ca="1"/>
        <v>3443549</v>
      </c>
    </row>
    <row r="70" spans="1:6" x14ac:dyDescent="0.25">
      <c r="A70" vm="247">
        <f ca="1"/>
        <v>45758</v>
      </c>
      <c r="B70" vm="1740">
        <f ca="1"/>
        <v>1.95</v>
      </c>
      <c r="C70" vm="1729">
        <f ca="1"/>
        <v>1.87</v>
      </c>
      <c r="D70" vm="1742">
        <f ca="1"/>
        <v>1.97</v>
      </c>
      <c r="E70" vm="1583">
        <f ca="1"/>
        <v>1.84</v>
      </c>
      <c r="F70" vm="2052">
        <f ca="1"/>
        <v>2134063</v>
      </c>
    </row>
    <row r="71" spans="1:6" x14ac:dyDescent="0.25">
      <c r="A71" vm="251">
        <f ca="1"/>
        <v>45761</v>
      </c>
      <c r="B71" vm="2053">
        <f ca="1"/>
        <v>2.83</v>
      </c>
      <c r="C71" vm="1551">
        <f ca="1"/>
        <v>2.4</v>
      </c>
      <c r="D71" vm="1084">
        <f ca="1"/>
        <v>2.87</v>
      </c>
      <c r="E71" vm="2054">
        <f ca="1"/>
        <v>2.15</v>
      </c>
      <c r="F71" vm="2055">
        <f ca="1"/>
        <v>29891681</v>
      </c>
    </row>
    <row r="72" spans="1:6" x14ac:dyDescent="0.25">
      <c r="A72" vm="255">
        <f ca="1"/>
        <v>45762</v>
      </c>
      <c r="B72" vm="1084">
        <f ca="1"/>
        <v>2.87</v>
      </c>
      <c r="C72" vm="1212">
        <f ca="1"/>
        <v>3.5649999999999999</v>
      </c>
      <c r="D72" vm="1118">
        <f ca="1"/>
        <v>3.57</v>
      </c>
      <c r="E72" vm="1545">
        <f ca="1"/>
        <v>2.63</v>
      </c>
      <c r="F72" vm="2056">
        <f ca="1"/>
        <v>40977152</v>
      </c>
    </row>
    <row r="73" spans="1:6" x14ac:dyDescent="0.25">
      <c r="A73" vm="259">
        <f ca="1"/>
        <v>45763</v>
      </c>
      <c r="B73" vm="1546">
        <f ca="1"/>
        <v>2.79</v>
      </c>
      <c r="C73" vm="1108">
        <f ca="1"/>
        <v>2.88</v>
      </c>
      <c r="D73" vm="1116">
        <f ca="1"/>
        <v>3.09</v>
      </c>
      <c r="E73" vm="1754">
        <f ca="1"/>
        <v>2.67</v>
      </c>
      <c r="F73" vm="2057">
        <f ca="1"/>
        <v>16223548</v>
      </c>
    </row>
    <row r="74" spans="1:6" x14ac:dyDescent="0.25">
      <c r="A74" vm="263">
        <f ca="1"/>
        <v>45764</v>
      </c>
      <c r="B74" vm="2058">
        <f ca="1"/>
        <v>2.96</v>
      </c>
      <c r="C74" vm="2059">
        <f ca="1"/>
        <v>2.78</v>
      </c>
      <c r="D74" vm="1077">
        <f ca="1"/>
        <v>3.15</v>
      </c>
      <c r="E74" vm="2060">
        <f ca="1"/>
        <v>2.72</v>
      </c>
      <c r="F74" vm="2061">
        <f ca="1"/>
        <v>13155765</v>
      </c>
    </row>
    <row r="75" spans="1:6" x14ac:dyDescent="0.25">
      <c r="A75" vm="267">
        <f ca="1"/>
        <v>45768</v>
      </c>
      <c r="B75" vm="1748">
        <f ca="1"/>
        <v>2.44</v>
      </c>
      <c r="C75" vm="1113">
        <f ca="1"/>
        <v>2.94</v>
      </c>
      <c r="D75" vm="1109">
        <f ca="1"/>
        <v>2.97</v>
      </c>
      <c r="E75" vm="1752">
        <f ca="1"/>
        <v>2.2200000000000002</v>
      </c>
      <c r="F75" vm="2062">
        <f ca="1"/>
        <v>12240575</v>
      </c>
    </row>
    <row r="76" spans="1:6" x14ac:dyDescent="0.25">
      <c r="A76" vm="271">
        <f ca="1"/>
        <v>45769</v>
      </c>
      <c r="B76" vm="2063">
        <f ca="1"/>
        <v>2.36</v>
      </c>
      <c r="C76" vm="1748">
        <f ca="1"/>
        <v>2.44</v>
      </c>
      <c r="D76" vm="1444">
        <f ca="1"/>
        <v>2.46</v>
      </c>
      <c r="E76" vm="1147">
        <f ca="1"/>
        <v>2.2599999999999998</v>
      </c>
      <c r="F76" vm="2064">
        <f ca="1"/>
        <v>4174226</v>
      </c>
    </row>
    <row r="77" spans="1:6" x14ac:dyDescent="0.25">
      <c r="A77" vm="274">
        <f ca="1"/>
        <v>45770</v>
      </c>
      <c r="B77" vm="1141">
        <f ca="1"/>
        <v>2.5499999999999998</v>
      </c>
      <c r="C77" vm="1562">
        <f ca="1"/>
        <v>2.37</v>
      </c>
      <c r="D77" vm="1154">
        <f ca="1"/>
        <v>2.6</v>
      </c>
      <c r="E77" vm="2065">
        <f ca="1"/>
        <v>2.3193999999999999</v>
      </c>
      <c r="F77" vm="2066">
        <f ca="1"/>
        <v>6193965</v>
      </c>
    </row>
    <row r="78" spans="1:6" x14ac:dyDescent="0.25">
      <c r="A78" vm="278">
        <f ca="1"/>
        <v>45771</v>
      </c>
      <c r="B78" vm="2067">
        <f ca="1"/>
        <v>3.69</v>
      </c>
      <c r="C78" vm="1142">
        <f ca="1"/>
        <v>2.58</v>
      </c>
      <c r="D78" vm="1217">
        <f ca="1"/>
        <v>3.8</v>
      </c>
      <c r="E78" vm="2068">
        <f ca="1"/>
        <v>2.5750000000000002</v>
      </c>
      <c r="F78" vm="2069">
        <f ca="1"/>
        <v>65605673</v>
      </c>
    </row>
    <row r="79" spans="1:6" x14ac:dyDescent="0.25">
      <c r="A79" vm="282">
        <f ca="1"/>
        <v>45772</v>
      </c>
      <c r="B79" vm="1156">
        <f ca="1"/>
        <v>3.05</v>
      </c>
      <c r="C79" vm="1124">
        <f ca="1"/>
        <v>3.5</v>
      </c>
      <c r="D79" vm="2070">
        <f ca="1"/>
        <v>3.5150000000000001</v>
      </c>
      <c r="E79" vm="2071">
        <f ca="1"/>
        <v>2.915</v>
      </c>
      <c r="F79" vm="2072">
        <f ca="1"/>
        <v>21902277</v>
      </c>
    </row>
    <row r="80" spans="1:6" x14ac:dyDescent="0.25">
      <c r="A80" vm="286">
        <f ca="1"/>
        <v>45775</v>
      </c>
      <c r="B80" vm="1067">
        <f ca="1"/>
        <v>3.31</v>
      </c>
      <c r="C80" vm="1070">
        <f ca="1"/>
        <v>3.28</v>
      </c>
      <c r="D80" vm="2067">
        <f ca="1"/>
        <v>3.69</v>
      </c>
      <c r="E80" vm="1074">
        <f ca="1"/>
        <v>3.2650000000000001</v>
      </c>
      <c r="F80" vm="2073">
        <f ca="1"/>
        <v>15387781</v>
      </c>
    </row>
    <row r="81" spans="1:6" x14ac:dyDescent="0.25">
      <c r="A81" vm="290">
        <f ca="1"/>
        <v>45776</v>
      </c>
      <c r="B81" vm="1070">
        <f ca="1"/>
        <v>3.28</v>
      </c>
      <c r="C81" vm="1119">
        <f ca="1"/>
        <v>3.6</v>
      </c>
      <c r="D81" vm="1119">
        <f ca="1"/>
        <v>3.6</v>
      </c>
      <c r="E81" vm="1131">
        <f ca="1"/>
        <v>3.11</v>
      </c>
      <c r="F81" vm="2074">
        <f ca="1"/>
        <v>14185313</v>
      </c>
    </row>
    <row r="82" spans="1:6" x14ac:dyDescent="0.25">
      <c r="A82" vm="292">
        <f ca="1"/>
        <v>45777</v>
      </c>
      <c r="B82" vm="1098">
        <f ca="1"/>
        <v>3.14</v>
      </c>
      <c r="C82" vm="2075">
        <f ca="1"/>
        <v>3.125</v>
      </c>
      <c r="D82" vm="1098">
        <f ca="1"/>
        <v>3.14</v>
      </c>
      <c r="E82" vm="1110">
        <f ca="1"/>
        <v>2.92</v>
      </c>
      <c r="F82" vm="2076">
        <f ca="1"/>
        <v>6421673</v>
      </c>
    </row>
    <row r="83" spans="1:6" x14ac:dyDescent="0.25">
      <c r="A83" vm="295">
        <f ca="1"/>
        <v>45778</v>
      </c>
      <c r="B83" vm="1079">
        <f ca="1"/>
        <v>3.1</v>
      </c>
      <c r="C83" vm="1087">
        <f ca="1"/>
        <v>3.08</v>
      </c>
      <c r="D83" vm="1098">
        <f ca="1"/>
        <v>3.14</v>
      </c>
      <c r="E83" vm="2071">
        <f ca="1"/>
        <v>2.915</v>
      </c>
      <c r="F83" vm="2077">
        <f ca="1"/>
        <v>6190844</v>
      </c>
    </row>
    <row r="84" spans="1:6" x14ac:dyDescent="0.25">
      <c r="A84" vm="298">
        <f ca="1"/>
        <v>45779</v>
      </c>
      <c r="B84" vm="1086">
        <f ca="1"/>
        <v>2.98</v>
      </c>
      <c r="C84" vm="1077">
        <f ca="1"/>
        <v>3.15</v>
      </c>
      <c r="D84" vm="1051">
        <f ca="1"/>
        <v>3.34</v>
      </c>
      <c r="E84" vm="2078">
        <f ca="1"/>
        <v>2.9550000000000001</v>
      </c>
      <c r="F84" vm="2079">
        <f ca="1"/>
        <v>8583164</v>
      </c>
    </row>
    <row r="85" spans="1:6" x14ac:dyDescent="0.25">
      <c r="A85" vm="302">
        <f ca="1"/>
        <v>45782</v>
      </c>
      <c r="B85" vm="1101">
        <f ca="1"/>
        <v>3.12</v>
      </c>
      <c r="C85" vm="1132">
        <f ca="1"/>
        <v>3.0350000000000001</v>
      </c>
      <c r="D85" vm="1101">
        <f ca="1"/>
        <v>3.12</v>
      </c>
      <c r="E85" vm="1113">
        <f ca="1"/>
        <v>2.94</v>
      </c>
      <c r="F85" vm="2080">
        <f ca="1"/>
        <v>5554109</v>
      </c>
    </row>
    <row r="86" spans="1:6" x14ac:dyDescent="0.25">
      <c r="A86" vm="304">
        <f ca="1"/>
        <v>45783</v>
      </c>
      <c r="B86" vm="1116">
        <f ca="1"/>
        <v>3.09</v>
      </c>
      <c r="C86" vm="1085">
        <f ca="1"/>
        <v>3.06</v>
      </c>
      <c r="D86" vm="1055">
        <f ca="1"/>
        <v>3.3</v>
      </c>
      <c r="E86" vm="1080">
        <f ca="1"/>
        <v>3</v>
      </c>
      <c r="F86" vm="2081">
        <f ca="1"/>
        <v>7052955</v>
      </c>
    </row>
    <row r="87" spans="1:6" x14ac:dyDescent="0.25">
      <c r="A87" vm="307">
        <f ca="1"/>
        <v>45784</v>
      </c>
      <c r="B87" vm="1115">
        <f ca="1"/>
        <v>2.91</v>
      </c>
      <c r="C87" vm="1111">
        <f ca="1"/>
        <v>3.03</v>
      </c>
      <c r="D87" vm="1156">
        <f ca="1"/>
        <v>3.05</v>
      </c>
      <c r="E87" vm="2082">
        <f ca="1"/>
        <v>2.8113999999999999</v>
      </c>
      <c r="F87" vm="2083">
        <f ca="1"/>
        <v>6272791</v>
      </c>
    </row>
    <row r="88" spans="1:6" x14ac:dyDescent="0.25">
      <c r="A88" vm="310">
        <f ca="1"/>
        <v>45785</v>
      </c>
      <c r="B88" vm="1105">
        <f ca="1"/>
        <v>3.04</v>
      </c>
      <c r="C88" vm="2084">
        <f ca="1"/>
        <v>2.9750000000000001</v>
      </c>
      <c r="D88" vm="1093">
        <f ca="1"/>
        <v>3.07</v>
      </c>
      <c r="E88" vm="2085">
        <f ca="1"/>
        <v>2.86</v>
      </c>
      <c r="F88" vm="2086">
        <f ca="1"/>
        <v>3992129</v>
      </c>
    </row>
    <row r="89" spans="1:6" x14ac:dyDescent="0.25">
      <c r="A89" vm="314">
        <f ca="1"/>
        <v>45786</v>
      </c>
      <c r="B89" vm="1131">
        <f ca="1"/>
        <v>3.11</v>
      </c>
      <c r="C89" vm="1111">
        <f ca="1"/>
        <v>3.03</v>
      </c>
      <c r="D89" vm="1090">
        <f ca="1"/>
        <v>3.13</v>
      </c>
      <c r="E89" vm="1086">
        <f ca="1"/>
        <v>2.98</v>
      </c>
      <c r="F89" vm="2087">
        <f ca="1"/>
        <v>4122261</v>
      </c>
    </row>
    <row r="90" spans="1:6" x14ac:dyDescent="0.25">
      <c r="A90" vm="316">
        <f ca="1"/>
        <v>45789</v>
      </c>
      <c r="B90" vm="1098">
        <f ca="1"/>
        <v>3.14</v>
      </c>
      <c r="C90" vm="1096">
        <f ca="1"/>
        <v>3.17</v>
      </c>
      <c r="D90" vm="1129">
        <f ca="1"/>
        <v>3.39</v>
      </c>
      <c r="E90" vm="2088">
        <f ca="1"/>
        <v>3.105</v>
      </c>
      <c r="F90" vm="2089">
        <f ca="1"/>
        <v>9292268</v>
      </c>
    </row>
    <row r="91" spans="1:6" x14ac:dyDescent="0.25">
      <c r="A91" vm="320">
        <f ca="1"/>
        <v>45790</v>
      </c>
      <c r="B91" vm="1109">
        <f ca="1"/>
        <v>2.97</v>
      </c>
      <c r="C91" vm="1066">
        <f ca="1"/>
        <v>3.19</v>
      </c>
      <c r="D91" vm="1075">
        <f ca="1"/>
        <v>3.22</v>
      </c>
      <c r="E91" vm="2090">
        <f ca="1"/>
        <v>2.93</v>
      </c>
      <c r="F91" vm="2091">
        <f ca="1"/>
        <v>5861433</v>
      </c>
    </row>
    <row r="92" spans="1:6" x14ac:dyDescent="0.25">
      <c r="A92" vm="324">
        <f ca="1"/>
        <v>45791</v>
      </c>
      <c r="B92" vm="1106">
        <f ca="1"/>
        <v>2.99</v>
      </c>
      <c r="C92" vm="1110">
        <f ca="1"/>
        <v>2.92</v>
      </c>
      <c r="D92" vm="2092">
        <f ca="1"/>
        <v>3.0750000000000002</v>
      </c>
      <c r="E92" vm="2053">
        <f ca="1"/>
        <v>2.83</v>
      </c>
      <c r="F92" vm="2093">
        <f ca="1"/>
        <v>7603880</v>
      </c>
    </row>
    <row r="93" spans="1:6" x14ac:dyDescent="0.25">
      <c r="A93" vm="328">
        <f ca="1"/>
        <v>45792</v>
      </c>
      <c r="B93" vm="1055">
        <f ca="1"/>
        <v>3.3</v>
      </c>
      <c r="C93" vm="1080">
        <f ca="1"/>
        <v>3</v>
      </c>
      <c r="D93" vm="1194">
        <f ca="1"/>
        <v>3.46</v>
      </c>
      <c r="E93" vm="1080">
        <f ca="1"/>
        <v>3</v>
      </c>
      <c r="F93" vm="2094">
        <f ca="1"/>
        <v>11650827</v>
      </c>
    </row>
    <row r="94" spans="1:6" x14ac:dyDescent="0.25">
      <c r="A94" vm="332">
        <f ca="1"/>
        <v>45793</v>
      </c>
      <c r="B94" vm="1200">
        <f ca="1"/>
        <v>3.64</v>
      </c>
      <c r="C94" vm="2095">
        <f ca="1"/>
        <v>3.4350000000000001</v>
      </c>
      <c r="D94" vm="2096">
        <f ca="1"/>
        <v>3.67</v>
      </c>
      <c r="E94" vm="1067">
        <f ca="1"/>
        <v>3.31</v>
      </c>
      <c r="F94" vm="2097">
        <f ca="1"/>
        <v>9806617</v>
      </c>
    </row>
    <row r="95" spans="1:6" x14ac:dyDescent="0.25">
      <c r="A95" vm="336">
        <f ca="1"/>
        <v>45796</v>
      </c>
      <c r="B95" vm="1232">
        <f ca="1"/>
        <v>4.45</v>
      </c>
      <c r="C95" vm="1199">
        <f ca="1"/>
        <v>3.63</v>
      </c>
      <c r="D95" vm="1230">
        <f ca="1"/>
        <v>4.5599999999999996</v>
      </c>
      <c r="E95" vm="1120">
        <f ca="1"/>
        <v>3.54</v>
      </c>
      <c r="F95" vm="2098">
        <f ca="1"/>
        <v>24111766</v>
      </c>
    </row>
    <row r="96" spans="1:6" x14ac:dyDescent="0.25">
      <c r="A96" vm="340">
        <f ca="1"/>
        <v>45797</v>
      </c>
      <c r="B96" vm="2099">
        <f ca="1"/>
        <v>4.47</v>
      </c>
      <c r="C96" vm="2100">
        <f ca="1"/>
        <v>4.54</v>
      </c>
      <c r="D96" vm="2101">
        <f ca="1"/>
        <v>4.6349999999999998</v>
      </c>
      <c r="E96" vm="2102">
        <f ca="1"/>
        <v>4.3216000000000001</v>
      </c>
      <c r="F96" vm="2103">
        <f ca="1"/>
        <v>11757769</v>
      </c>
    </row>
    <row r="97" spans="1:6" x14ac:dyDescent="0.25">
      <c r="A97" vm="344">
        <f ca="1"/>
        <v>45798</v>
      </c>
      <c r="B97" vm="1238">
        <f ca="1"/>
        <v>4.3899999999999997</v>
      </c>
      <c r="C97" vm="2104">
        <f ca="1"/>
        <v>4.4779999999999998</v>
      </c>
      <c r="D97" vm="1269">
        <f ca="1"/>
        <v>4.84</v>
      </c>
      <c r="E97" vm="2105">
        <f ca="1"/>
        <v>4.2050000000000001</v>
      </c>
      <c r="F97" vm="2106">
        <f ca="1"/>
        <v>11646238</v>
      </c>
    </row>
    <row r="98" spans="1:6" x14ac:dyDescent="0.25">
      <c r="A98" vm="346">
        <f ca="1"/>
        <v>45799</v>
      </c>
      <c r="B98" vm="1177">
        <f ca="1"/>
        <v>4.3</v>
      </c>
      <c r="C98" vm="1240">
        <f ca="1"/>
        <v>4.3600000000000003</v>
      </c>
      <c r="D98" vm="2107">
        <f ca="1"/>
        <v>4.4195000000000002</v>
      </c>
      <c r="E98" vm="2108">
        <f ca="1"/>
        <v>4.26</v>
      </c>
      <c r="F98" vm="2109">
        <f ca="1"/>
        <v>4915522</v>
      </c>
    </row>
    <row r="99" spans="1:6" x14ac:dyDescent="0.25">
      <c r="A99" vm="349">
        <f ca="1"/>
        <v>45800</v>
      </c>
      <c r="B99" vm="2110">
        <f ca="1"/>
        <v>4.62</v>
      </c>
      <c r="C99" vm="2111">
        <f ca="1"/>
        <v>4.28</v>
      </c>
      <c r="D99" vm="2112">
        <f ca="1"/>
        <v>4.75</v>
      </c>
      <c r="E99" vm="1182">
        <f ca="1"/>
        <v>4.12</v>
      </c>
      <c r="F99" vm="2113">
        <f ca="1"/>
        <v>11417859</v>
      </c>
    </row>
    <row r="100" spans="1:6" x14ac:dyDescent="0.25">
      <c r="A100" vm="353">
        <f ca="1"/>
        <v>45804</v>
      </c>
      <c r="B100" vm="1220">
        <f ca="1"/>
        <v>4.6900000000000004</v>
      </c>
      <c r="C100" vm="1262">
        <f ca="1"/>
        <v>4.8</v>
      </c>
      <c r="D100" vm="2114">
        <f ca="1"/>
        <v>5.16</v>
      </c>
      <c r="E100" vm="1233">
        <f ca="1"/>
        <v>4.34</v>
      </c>
      <c r="F100" vm="2115">
        <f ca="1"/>
        <v>22676511</v>
      </c>
    </row>
    <row r="101" spans="1:6" x14ac:dyDescent="0.25">
      <c r="A101" vm="357">
        <f ca="1"/>
        <v>45805</v>
      </c>
      <c r="B101" vm="1260">
        <f ca="1"/>
        <v>4.72</v>
      </c>
      <c r="C101" vm="1260">
        <f ca="1"/>
        <v>4.72</v>
      </c>
      <c r="D101" vm="2116">
        <f ca="1"/>
        <v>5.09</v>
      </c>
      <c r="E101" vm="1226">
        <f ca="1"/>
        <v>4.46</v>
      </c>
      <c r="F101" vm="2117">
        <f ca="1"/>
        <v>9995710</v>
      </c>
    </row>
    <row r="102" spans="1:6" x14ac:dyDescent="0.25">
      <c r="A102" vm="361">
        <f ca="1"/>
        <v>45806</v>
      </c>
      <c r="B102" vm="1158">
        <f ca="1"/>
        <v>4.3499999999999996</v>
      </c>
      <c r="C102" vm="1262">
        <f ca="1"/>
        <v>4.8</v>
      </c>
      <c r="D102" vm="1875">
        <f ca="1"/>
        <v>5.0199999999999996</v>
      </c>
      <c r="E102" vm="2118">
        <f ca="1"/>
        <v>4.3049999999999997</v>
      </c>
      <c r="F102" vm="2119">
        <f ca="1"/>
        <v>8757407</v>
      </c>
    </row>
    <row r="103" spans="1:6" x14ac:dyDescent="0.25">
      <c r="A103" vm="365">
        <f ca="1"/>
        <v>45807</v>
      </c>
      <c r="B103" vm="2099">
        <f ca="1"/>
        <v>4.47</v>
      </c>
      <c r="C103" vm="1158">
        <f ca="1"/>
        <v>4.3499999999999996</v>
      </c>
      <c r="D103" vm="2120">
        <f ca="1"/>
        <v>4.5</v>
      </c>
      <c r="E103" vm="2121">
        <f ca="1"/>
        <v>4.17</v>
      </c>
      <c r="F103" vm="2122">
        <f ca="1"/>
        <v>8799696</v>
      </c>
    </row>
    <row r="104" spans="1:6" x14ac:dyDescent="0.25">
      <c r="A104" vm="369">
        <f ca="1"/>
        <v>45810</v>
      </c>
      <c r="B104" vm="2123">
        <f ca="1"/>
        <v>3.98</v>
      </c>
      <c r="C104" vm="2124">
        <f ca="1"/>
        <v>4.5549999999999997</v>
      </c>
      <c r="D104" vm="1257">
        <f ca="1"/>
        <v>4.59</v>
      </c>
      <c r="E104" vm="1760">
        <f ca="1"/>
        <v>3.93</v>
      </c>
      <c r="F104" vm="2125">
        <f ca="1"/>
        <v>9150959</v>
      </c>
    </row>
    <row r="105" spans="1:6" x14ac:dyDescent="0.25">
      <c r="A105" vm="372">
        <f ca="1"/>
        <v>45811</v>
      </c>
      <c r="B105" vm="1183">
        <f ca="1"/>
        <v>4.21</v>
      </c>
      <c r="C105" vm="2126">
        <f ca="1"/>
        <v>4</v>
      </c>
      <c r="D105" vm="2108">
        <f ca="1"/>
        <v>4.26</v>
      </c>
      <c r="E105" vm="2127">
        <f ca="1"/>
        <v>3.94</v>
      </c>
      <c r="F105" vm="2128">
        <f ca="1"/>
        <v>4822264</v>
      </c>
    </row>
    <row r="106" spans="1:6" x14ac:dyDescent="0.25">
      <c r="A106" vm="375">
        <f ca="1"/>
        <v>45812</v>
      </c>
      <c r="B106" vm="2129">
        <f ca="1"/>
        <v>4.24</v>
      </c>
      <c r="C106" vm="2130">
        <f ca="1"/>
        <v>4.2149999999999999</v>
      </c>
      <c r="D106" vm="1233">
        <f ca="1"/>
        <v>4.34</v>
      </c>
      <c r="E106" vm="2131">
        <f ca="1"/>
        <v>4.1550000000000002</v>
      </c>
      <c r="F106" vm="2132">
        <f ca="1"/>
        <v>4839744</v>
      </c>
    </row>
    <row r="107" spans="1:6" x14ac:dyDescent="0.25">
      <c r="A107" vm="378">
        <f ca="1"/>
        <v>45813</v>
      </c>
      <c r="B107" vm="1175">
        <f ca="1"/>
        <v>4.08</v>
      </c>
      <c r="C107" vm="1173">
        <f ca="1"/>
        <v>4.2300000000000004</v>
      </c>
      <c r="D107" vm="2133">
        <f ca="1"/>
        <v>4.25</v>
      </c>
      <c r="E107" vm="2123">
        <f ca="1"/>
        <v>3.98</v>
      </c>
      <c r="F107" vm="2134">
        <f ca="1"/>
        <v>5138828</v>
      </c>
    </row>
    <row r="108" spans="1:6" x14ac:dyDescent="0.25">
      <c r="A108" vm="382">
        <f ca="1"/>
        <v>45814</v>
      </c>
      <c r="B108" vm="1184">
        <f ca="1"/>
        <v>4.0999999999999996</v>
      </c>
      <c r="C108" vm="1227">
        <f ca="1"/>
        <v>4.1399999999999997</v>
      </c>
      <c r="D108" vm="1173">
        <f ca="1"/>
        <v>4.2300000000000004</v>
      </c>
      <c r="E108" vm="2135">
        <f ca="1"/>
        <v>4.0599999999999996</v>
      </c>
      <c r="F108" vm="2136">
        <f ca="1"/>
        <v>2691386</v>
      </c>
    </row>
    <row r="109" spans="1:6" x14ac:dyDescent="0.25">
      <c r="A109" vm="386">
        <f ca="1"/>
        <v>45817</v>
      </c>
      <c r="B109" vm="1259">
        <f ca="1"/>
        <v>4.37</v>
      </c>
      <c r="C109" vm="1227">
        <f ca="1"/>
        <v>4.1399999999999997</v>
      </c>
      <c r="D109" vm="2137">
        <f ca="1"/>
        <v>4.42</v>
      </c>
      <c r="E109" vm="2138">
        <f ca="1"/>
        <v>4.0002000000000004</v>
      </c>
      <c r="F109" vm="2139">
        <f ca="1"/>
        <v>5899053</v>
      </c>
    </row>
    <row r="110" spans="1:6" x14ac:dyDescent="0.25">
      <c r="A110" vm="389">
        <f ca="1"/>
        <v>45818</v>
      </c>
      <c r="B110" vm="2129">
        <f ca="1"/>
        <v>4.24</v>
      </c>
      <c r="C110" vm="1171">
        <f ca="1"/>
        <v>4.38</v>
      </c>
      <c r="D110" vm="1171">
        <f ca="1"/>
        <v>4.38</v>
      </c>
      <c r="E110" vm="1184">
        <f ca="1"/>
        <v>4.0999999999999996</v>
      </c>
      <c r="F110" vm="2140">
        <f ca="1"/>
        <v>4224190</v>
      </c>
    </row>
    <row r="111" spans="1:6" x14ac:dyDescent="0.25">
      <c r="A111" vm="391">
        <f ca="1"/>
        <v>45819</v>
      </c>
      <c r="B111" vm="1233">
        <f ca="1"/>
        <v>4.34</v>
      </c>
      <c r="C111" vm="1228">
        <f ca="1"/>
        <v>4.2</v>
      </c>
      <c r="D111" vm="1223">
        <f ca="1"/>
        <v>4.41</v>
      </c>
      <c r="E111" vm="1249">
        <f ca="1"/>
        <v>3.95</v>
      </c>
      <c r="F111" vm="2141">
        <f ca="1"/>
        <v>6405276</v>
      </c>
    </row>
    <row r="112" spans="1:6" x14ac:dyDescent="0.25">
      <c r="A112" vm="395">
        <f ca="1"/>
        <v>45820</v>
      </c>
      <c r="B112" vm="1262">
        <f ca="1"/>
        <v>4.8</v>
      </c>
      <c r="C112" vm="1177">
        <f ca="1"/>
        <v>4.3</v>
      </c>
      <c r="D112" vm="2142">
        <f ca="1"/>
        <v>4.9349999999999996</v>
      </c>
      <c r="E112" vm="2108">
        <f ca="1"/>
        <v>4.26</v>
      </c>
      <c r="F112" vm="2143">
        <f ca="1"/>
        <v>12152227</v>
      </c>
    </row>
    <row r="113" spans="1:6" x14ac:dyDescent="0.25">
      <c r="A113" vm="399">
        <f ca="1"/>
        <v>45821</v>
      </c>
      <c r="B113" vm="1233">
        <f ca="1"/>
        <v>4.34</v>
      </c>
      <c r="C113" vm="1256">
        <f ca="1"/>
        <v>4.55</v>
      </c>
      <c r="D113" vm="1874">
        <f ca="1"/>
        <v>4.74</v>
      </c>
      <c r="E113" vm="1170">
        <f ca="1"/>
        <v>4.33</v>
      </c>
      <c r="F113" vm="2144">
        <f ca="1"/>
        <v>6791297</v>
      </c>
    </row>
    <row r="114" spans="1:6" x14ac:dyDescent="0.25">
      <c r="A114" vm="403">
        <f ca="1"/>
        <v>45824</v>
      </c>
      <c r="B114" vm="1306">
        <f ca="1"/>
        <v>5.59</v>
      </c>
      <c r="C114" vm="2145">
        <f ca="1"/>
        <v>4.63</v>
      </c>
      <c r="D114" vm="1316">
        <f ca="1"/>
        <v>5.66</v>
      </c>
      <c r="E114" vm="2146">
        <f ca="1"/>
        <v>4.585</v>
      </c>
      <c r="F114" vm="2147">
        <f ca="1"/>
        <v>23778430</v>
      </c>
    </row>
    <row r="115" spans="1:6" x14ac:dyDescent="0.25">
      <c r="A115" vm="407">
        <f ca="1"/>
        <v>45825</v>
      </c>
      <c r="B115" vm="1879">
        <f ca="1"/>
        <v>5.44</v>
      </c>
      <c r="C115" vm="1844">
        <f ca="1"/>
        <v>5.5</v>
      </c>
      <c r="D115" vm="1308">
        <f ca="1"/>
        <v>5.81</v>
      </c>
      <c r="E115" vm="1278">
        <f ca="1"/>
        <v>5.3</v>
      </c>
      <c r="F115" vm="2148">
        <f ca="1"/>
        <v>13568984</v>
      </c>
    </row>
    <row r="116" spans="1:6" x14ac:dyDescent="0.25">
      <c r="A116" vm="410">
        <f ca="1"/>
        <v>45826</v>
      </c>
      <c r="B116" vm="1355">
        <f ca="1"/>
        <v>6.75</v>
      </c>
      <c r="C116" vm="2149">
        <f ca="1"/>
        <v>6.0650000000000004</v>
      </c>
      <c r="D116" vm="1369">
        <f ca="1"/>
        <v>7.3</v>
      </c>
      <c r="E116" vm="1280">
        <f ca="1"/>
        <v>5.91</v>
      </c>
      <c r="F116" vm="2150">
        <f ca="1"/>
        <v>47177221</v>
      </c>
    </row>
    <row r="117" spans="1:6" x14ac:dyDescent="0.25">
      <c r="A117" vm="412">
        <f ca="1"/>
        <v>45828</v>
      </c>
      <c r="B117" vm="1338">
        <f ca="1"/>
        <v>6.56</v>
      </c>
      <c r="C117" vm="1375">
        <f ca="1"/>
        <v>7.25</v>
      </c>
      <c r="D117" vm="2151">
        <f ca="1"/>
        <v>7.4</v>
      </c>
      <c r="E117" vm="1886">
        <f ca="1"/>
        <v>6.48</v>
      </c>
      <c r="F117" vm="2152">
        <f ca="1"/>
        <v>20893440</v>
      </c>
    </row>
    <row r="118" spans="1:6" x14ac:dyDescent="0.25">
      <c r="A118" vm="414">
        <f ca="1"/>
        <v>45831</v>
      </c>
      <c r="B118" vm="1338">
        <f ca="1"/>
        <v>6.56</v>
      </c>
      <c r="C118" vm="1787">
        <f ca="1"/>
        <v>6.6</v>
      </c>
      <c r="D118" vm="1362">
        <f ca="1"/>
        <v>6.74</v>
      </c>
      <c r="E118" vm="1784">
        <f ca="1"/>
        <v>6.25</v>
      </c>
      <c r="F118" vm="2153">
        <f ca="1"/>
        <v>8766006</v>
      </c>
    </row>
    <row r="119" spans="1:6" x14ac:dyDescent="0.25">
      <c r="A119" vm="417">
        <f ca="1"/>
        <v>45832</v>
      </c>
      <c r="B119" vm="1365">
        <f ca="1"/>
        <v>6.61</v>
      </c>
      <c r="C119" vm="2154">
        <f ca="1"/>
        <v>6.7450000000000001</v>
      </c>
      <c r="D119" vm="1914">
        <f ca="1"/>
        <v>6.88</v>
      </c>
      <c r="E119" vm="1830">
        <f ca="1"/>
        <v>6.31</v>
      </c>
      <c r="F119" vm="2155">
        <f ca="1"/>
        <v>8655809</v>
      </c>
    </row>
    <row r="120" spans="1:6" x14ac:dyDescent="0.25">
      <c r="A120" vm="421">
        <f ca="1"/>
        <v>45833</v>
      </c>
      <c r="B120" vm="1897">
        <f ca="1"/>
        <v>7.49</v>
      </c>
      <c r="C120" vm="1371">
        <f ca="1"/>
        <v>7.31</v>
      </c>
      <c r="D120" vm="2156">
        <f ca="1"/>
        <v>8.1150000000000002</v>
      </c>
      <c r="E120" vm="2157">
        <f ca="1"/>
        <v>7.24</v>
      </c>
      <c r="F120" vm="2158">
        <f ca="1"/>
        <v>28380661</v>
      </c>
    </row>
    <row r="121" spans="1:6" x14ac:dyDescent="0.25">
      <c r="A121" vm="422">
        <f ca="1"/>
        <v>45834</v>
      </c>
      <c r="B121" vm="1530">
        <f ca="1"/>
        <v>7.18</v>
      </c>
      <c r="C121" vm="2159">
        <f ca="1"/>
        <v>7.875</v>
      </c>
      <c r="D121" vm="2160">
        <f ca="1"/>
        <v>7.9093999999999998</v>
      </c>
      <c r="E121" vm="2161">
        <f ca="1"/>
        <v>7.15</v>
      </c>
      <c r="F121" vm="2162">
        <f ca="1"/>
        <v>15489520</v>
      </c>
    </row>
    <row r="122" spans="1:6" x14ac:dyDescent="0.25">
      <c r="A122" vm="423">
        <f ca="1"/>
        <v>45835</v>
      </c>
      <c r="B122" vm="1913">
        <f ca="1"/>
        <v>6.81</v>
      </c>
      <c r="C122" vm="2163">
        <f ca="1"/>
        <v>7</v>
      </c>
      <c r="D122" vm="2164">
        <f ca="1"/>
        <v>7.1475999999999997</v>
      </c>
      <c r="E122" vm="1912">
        <f ca="1"/>
        <v>6.71</v>
      </c>
      <c r="F122" vm="2165">
        <f ca="1"/>
        <v>9439325</v>
      </c>
    </row>
    <row r="123" spans="1:6" x14ac:dyDescent="0.25">
      <c r="A123" vm="425">
        <f ca="1"/>
        <v>45838</v>
      </c>
      <c r="B123" vm="1787">
        <f ca="1"/>
        <v>6.6</v>
      </c>
      <c r="C123" vm="1915">
        <f ca="1"/>
        <v>6.89</v>
      </c>
      <c r="D123" vm="1377">
        <f ca="1"/>
        <v>6.9</v>
      </c>
      <c r="E123" vm="1925">
        <f ca="1"/>
        <v>6.45</v>
      </c>
      <c r="F123" vm="2166">
        <f ca="1"/>
        <v>8932927</v>
      </c>
    </row>
    <row r="124" spans="1:6" x14ac:dyDescent="0.25">
      <c r="A124" vm="427">
        <f ca="1"/>
        <v>45839</v>
      </c>
      <c r="B124" vm="2167">
        <f ca="1"/>
        <v>5.94</v>
      </c>
      <c r="C124" vm="1777">
        <f ca="1"/>
        <v>6.5</v>
      </c>
      <c r="D124" vm="2168">
        <f ca="1"/>
        <v>6.5350000000000001</v>
      </c>
      <c r="E124" vm="1279">
        <f ca="1"/>
        <v>5.85</v>
      </c>
      <c r="F124" vm="2169">
        <f ca="1"/>
        <v>12028098</v>
      </c>
    </row>
    <row r="125" spans="1:6" x14ac:dyDescent="0.25">
      <c r="A125" vm="430">
        <f ca="1"/>
        <v>45840</v>
      </c>
      <c r="B125" vm="1783">
        <f ca="1"/>
        <v>6.38</v>
      </c>
      <c r="C125" vm="1540">
        <f ca="1"/>
        <v>5.93</v>
      </c>
      <c r="D125" vm="1925">
        <f ca="1"/>
        <v>6.45</v>
      </c>
      <c r="E125" vm="1314">
        <f ca="1"/>
        <v>5.83</v>
      </c>
      <c r="F125" vm="2170">
        <f ca="1"/>
        <v>13645960</v>
      </c>
    </row>
    <row r="126" spans="1:6" x14ac:dyDescent="0.25">
      <c r="A126" vm="432">
        <f ca="1"/>
        <v>45841</v>
      </c>
      <c r="B126" vm="1934">
        <f ca="1"/>
        <v>7.11</v>
      </c>
      <c r="C126" vm="1814">
        <f ca="1"/>
        <v>6.66</v>
      </c>
      <c r="D126" vm="1789">
        <f ca="1"/>
        <v>7.35</v>
      </c>
      <c r="E126" vm="2168">
        <f ca="1"/>
        <v>6.5350000000000001</v>
      </c>
      <c r="F126" vm="2171">
        <f ca="1"/>
        <v>19253357</v>
      </c>
    </row>
    <row r="127" spans="1:6" x14ac:dyDescent="0.25">
      <c r="A127" vm="434">
        <f ca="1"/>
        <v>45845</v>
      </c>
      <c r="B127" vm="1811">
        <f ca="1"/>
        <v>6.65</v>
      </c>
      <c r="C127" vm="1368">
        <f ca="1"/>
        <v>6.92</v>
      </c>
      <c r="D127" vm="2172">
        <f ca="1"/>
        <v>6.9999000000000002</v>
      </c>
      <c r="E127" vm="2168">
        <f ca="1"/>
        <v>6.5350000000000001</v>
      </c>
      <c r="F127" vm="2173">
        <f ca="1"/>
        <v>10204685</v>
      </c>
    </row>
    <row r="128" spans="1:6" x14ac:dyDescent="0.25">
      <c r="A128" vm="437">
        <f ca="1"/>
        <v>45846</v>
      </c>
      <c r="B128" vm="1338">
        <f ca="1"/>
        <v>6.56</v>
      </c>
      <c r="C128" vm="1814">
        <f ca="1"/>
        <v>6.66</v>
      </c>
      <c r="D128" vm="2174">
        <f ca="1"/>
        <v>6.7599</v>
      </c>
      <c r="E128" vm="1816">
        <f ca="1"/>
        <v>6.29</v>
      </c>
      <c r="F128" vm="2175">
        <f ca="1"/>
        <v>8169929</v>
      </c>
    </row>
    <row r="129" spans="1:6" x14ac:dyDescent="0.25">
      <c r="A129" vm="441">
        <f ca="1"/>
        <v>45847</v>
      </c>
      <c r="B129" vm="1835">
        <f ca="1"/>
        <v>6.27</v>
      </c>
      <c r="C129" vm="2176">
        <f ca="1"/>
        <v>6.54</v>
      </c>
      <c r="D129" vm="1352">
        <f ca="1"/>
        <v>6.7</v>
      </c>
      <c r="E129" vm="1835">
        <f ca="1"/>
        <v>6.27</v>
      </c>
      <c r="F129" vm="2177">
        <f ca="1"/>
        <v>6840836</v>
      </c>
    </row>
    <row r="130" spans="1:6" x14ac:dyDescent="0.25">
      <c r="A130" vm="444">
        <f ca="1"/>
        <v>45848</v>
      </c>
      <c r="B130" vm="1353">
        <f ca="1"/>
        <v>6.85</v>
      </c>
      <c r="C130" vm="1355">
        <f ca="1"/>
        <v>6.75</v>
      </c>
      <c r="D130" vm="1375">
        <f ca="1"/>
        <v>7.25</v>
      </c>
      <c r="E130" vm="1787">
        <f ca="1"/>
        <v>6.6</v>
      </c>
      <c r="F130" vm="2178">
        <f ca="1"/>
        <v>17737333</v>
      </c>
    </row>
    <row r="131" spans="1:6" x14ac:dyDescent="0.25">
      <c r="A131" vm="446">
        <f ca="1"/>
        <v>45849</v>
      </c>
      <c r="B131" vm="1820">
        <f ca="1"/>
        <v>6.57</v>
      </c>
      <c r="C131" vm="1355">
        <f ca="1"/>
        <v>6.75</v>
      </c>
      <c r="D131" vm="1933">
        <f ca="1"/>
        <v>6.93</v>
      </c>
      <c r="E131" vm="1777">
        <f ca="1"/>
        <v>6.5</v>
      </c>
      <c r="F131" vm="2179">
        <f ca="1"/>
        <v>8048613</v>
      </c>
    </row>
    <row r="132" spans="1:6" x14ac:dyDescent="0.25">
      <c r="A132" vm="449">
        <f ca="1"/>
        <v>45852</v>
      </c>
      <c r="B132" vm="2180">
        <f ca="1"/>
        <v>7.28</v>
      </c>
      <c r="C132" vm="1815">
        <f ca="1"/>
        <v>6.52</v>
      </c>
      <c r="D132" vm="1369">
        <f ca="1"/>
        <v>7.3</v>
      </c>
      <c r="E132" vm="1924">
        <f ca="1"/>
        <v>6.33</v>
      </c>
      <c r="F132" vm="2181">
        <f ca="1"/>
        <v>13757613</v>
      </c>
    </row>
    <row r="133" spans="1:6" x14ac:dyDescent="0.25">
      <c r="A133" vm="452">
        <f ca="1"/>
        <v>45853</v>
      </c>
      <c r="B133" vm="1795">
        <f ca="1"/>
        <v>7.57</v>
      </c>
      <c r="C133" vm="2182">
        <f ca="1"/>
        <v>7.4550000000000001</v>
      </c>
      <c r="D133" vm="2183">
        <f ca="1"/>
        <v>7.85</v>
      </c>
      <c r="E133" vm="2184">
        <f ca="1"/>
        <v>7.12</v>
      </c>
      <c r="F133" vm="2185">
        <f ca="1"/>
        <v>17875305</v>
      </c>
    </row>
    <row r="134" spans="1:6" x14ac:dyDescent="0.25">
      <c r="A134" vm="454">
        <f ca="1"/>
        <v>45854</v>
      </c>
      <c r="B134" vm="254">
        <f ca="1"/>
        <v>7.68</v>
      </c>
      <c r="C134" vm="1386">
        <f ca="1"/>
        <v>7.6</v>
      </c>
      <c r="D134" vm="1908">
        <f ca="1"/>
        <v>7.69</v>
      </c>
      <c r="E134" vm="1807">
        <f ca="1"/>
        <v>7.19</v>
      </c>
      <c r="F134" vm="2186">
        <f ca="1"/>
        <v>10540373</v>
      </c>
    </row>
    <row r="135" spans="1:6" x14ac:dyDescent="0.25">
      <c r="A135" vm="457">
        <f ca="1"/>
        <v>45855</v>
      </c>
      <c r="B135" vm="1541">
        <f ca="1"/>
        <v>7.9</v>
      </c>
      <c r="C135" vm="2187">
        <f ca="1"/>
        <v>7.6150000000000002</v>
      </c>
      <c r="D135" vm="269">
        <f ca="1"/>
        <v>8.19</v>
      </c>
      <c r="E135" vm="1852">
        <f ca="1"/>
        <v>7.42</v>
      </c>
      <c r="F135" vm="2188">
        <f ca="1"/>
        <v>12946854</v>
      </c>
    </row>
    <row r="136" spans="1:6" x14ac:dyDescent="0.25">
      <c r="A136" vm="460">
        <f ca="1"/>
        <v>45856</v>
      </c>
      <c r="B136" vm="1381">
        <f ca="1"/>
        <v>7.64</v>
      </c>
      <c r="C136" vm="249">
        <f ca="1"/>
        <v>7.7949999999999999</v>
      </c>
      <c r="D136" vm="2189">
        <f ca="1"/>
        <v>7.8609999999999998</v>
      </c>
      <c r="E136" vm="1929">
        <f ca="1"/>
        <v>7.51</v>
      </c>
      <c r="F136" vm="2190">
        <f ca="1"/>
        <v>10138628</v>
      </c>
    </row>
    <row r="137" spans="1:6" x14ac:dyDescent="0.25">
      <c r="A137" vm="462">
        <f ca="1"/>
        <v>45859</v>
      </c>
      <c r="B137" vm="1810">
        <f ca="1"/>
        <v>7.06</v>
      </c>
      <c r="C137" vm="249">
        <f ca="1"/>
        <v>7.7949999999999999</v>
      </c>
      <c r="D137" vm="268">
        <f ca="1"/>
        <v>8.1</v>
      </c>
      <c r="E137" vm="2163">
        <f ca="1"/>
        <v>7</v>
      </c>
      <c r="F137" vm="2191">
        <f ca="1"/>
        <v>15144962</v>
      </c>
    </row>
    <row r="138" spans="1:6" x14ac:dyDescent="0.25">
      <c r="A138" vm="466">
        <f ca="1"/>
        <v>45860</v>
      </c>
      <c r="B138" vm="1788">
        <f ca="1"/>
        <v>7.23</v>
      </c>
      <c r="C138" vm="2192">
        <f ca="1"/>
        <v>7.01</v>
      </c>
      <c r="D138" vm="1543">
        <f ca="1"/>
        <v>7.32</v>
      </c>
      <c r="E138" vm="1360">
        <f ca="1"/>
        <v>6.73</v>
      </c>
      <c r="F138" vm="2193">
        <f ca="1"/>
        <v>7962696</v>
      </c>
    </row>
    <row r="139" spans="1:6" x14ac:dyDescent="0.25">
      <c r="A139" vm="469">
        <f ca="1"/>
        <v>45861</v>
      </c>
      <c r="B139" vm="2194">
        <f ca="1"/>
        <v>7.63</v>
      </c>
      <c r="C139" vm="1369">
        <f ca="1"/>
        <v>7.3</v>
      </c>
      <c r="D139" vm="254">
        <f ca="1"/>
        <v>7.68</v>
      </c>
      <c r="E139" vm="2195">
        <f ca="1"/>
        <v>7.21</v>
      </c>
      <c r="F139" vm="2196">
        <f ca="1"/>
        <v>8021374</v>
      </c>
    </row>
    <row r="140" spans="1:6" x14ac:dyDescent="0.25">
      <c r="A140" vm="473">
        <f ca="1"/>
        <v>45862</v>
      </c>
      <c r="B140" vm="268">
        <f ca="1"/>
        <v>8.1</v>
      </c>
      <c r="C140" vm="1387">
        <f ca="1"/>
        <v>7.61</v>
      </c>
      <c r="D140" vm="358">
        <f ca="1"/>
        <v>8.6300000000000008</v>
      </c>
      <c r="E140" vm="1909">
        <f ca="1"/>
        <v>7.59</v>
      </c>
      <c r="F140" vm="2197">
        <f ca="1"/>
        <v>16059648</v>
      </c>
    </row>
    <row r="141" spans="1:6" x14ac:dyDescent="0.25">
      <c r="A141" vm="477">
        <f ca="1"/>
        <v>45863</v>
      </c>
      <c r="B141" vm="2198">
        <f ca="1"/>
        <v>7.79</v>
      </c>
      <c r="C141" vm="1541">
        <f ca="1"/>
        <v>7.9</v>
      </c>
      <c r="D141" vm="602">
        <f ca="1"/>
        <v>7.99</v>
      </c>
      <c r="E141" vm="1384">
        <f ca="1"/>
        <v>7.67</v>
      </c>
      <c r="F141" vm="2199">
        <f ca="1"/>
        <v>7447091</v>
      </c>
    </row>
    <row r="142" spans="1:6" x14ac:dyDescent="0.25">
      <c r="A142" vm="481">
        <f ca="1"/>
        <v>45866</v>
      </c>
      <c r="B142" vm="1910">
        <f ca="1"/>
        <v>7.45</v>
      </c>
      <c r="C142" vm="1793">
        <f ca="1"/>
        <v>7.8</v>
      </c>
      <c r="D142" vm="1417">
        <f ca="1"/>
        <v>7.83</v>
      </c>
      <c r="E142" vm="2151">
        <f ca="1"/>
        <v>7.4</v>
      </c>
      <c r="F142" vm="2200">
        <f ca="1"/>
        <v>6559219</v>
      </c>
    </row>
    <row r="143" spans="1:6" x14ac:dyDescent="0.25">
      <c r="A143" vm="483">
        <f ca="1"/>
        <v>45867</v>
      </c>
      <c r="B143" vm="1365">
        <f ca="1"/>
        <v>6.61</v>
      </c>
      <c r="C143" vm="1852">
        <f ca="1"/>
        <v>7.42</v>
      </c>
      <c r="D143" vm="1852">
        <f ca="1"/>
        <v>7.42</v>
      </c>
      <c r="E143" vm="1529">
        <f ca="1"/>
        <v>6.58</v>
      </c>
      <c r="F143" vm="2201">
        <f ca="1"/>
        <v>11524770</v>
      </c>
    </row>
    <row r="144" spans="1:6" x14ac:dyDescent="0.25">
      <c r="A144" vm="486">
        <f ca="1"/>
        <v>45868</v>
      </c>
      <c r="B144" vm="1282">
        <f ca="1"/>
        <v>6.11</v>
      </c>
      <c r="C144" vm="1884">
        <f ca="1"/>
        <v>6.43</v>
      </c>
      <c r="D144" vm="1922">
        <f ca="1"/>
        <v>6.49</v>
      </c>
      <c r="E144" vm="1819">
        <f ca="1"/>
        <v>5.96</v>
      </c>
      <c r="F144" vm="2202">
        <f ca="1"/>
        <v>13143406</v>
      </c>
    </row>
    <row r="145" spans="1:6" x14ac:dyDescent="0.25">
      <c r="A145" vm="489">
        <f ca="1"/>
        <v>45869</v>
      </c>
      <c r="B145" vm="2167">
        <f ca="1"/>
        <v>5.94</v>
      </c>
      <c r="C145" vm="1335">
        <f ca="1"/>
        <v>6.15</v>
      </c>
      <c r="D145" vm="1335">
        <f ca="1"/>
        <v>6.15</v>
      </c>
      <c r="E145" vm="1316">
        <f ca="1"/>
        <v>5.66</v>
      </c>
      <c r="F145" vm="2203">
        <f ca="1"/>
        <v>12807860</v>
      </c>
    </row>
    <row r="146" spans="1:6" x14ac:dyDescent="0.25">
      <c r="A146" vm="490">
        <f ca="1"/>
        <v>45870</v>
      </c>
      <c r="B146" vm="2204">
        <f ca="1"/>
        <v>5.87</v>
      </c>
      <c r="C146" vm="1310">
        <f ca="1"/>
        <v>5.75</v>
      </c>
      <c r="D146" vm="1883">
        <f ca="1"/>
        <v>5.99</v>
      </c>
      <c r="E146" vm="1273">
        <f ca="1"/>
        <v>5.47</v>
      </c>
      <c r="F146" vm="2205">
        <f ca="1"/>
        <v>19265525</v>
      </c>
    </row>
    <row r="147" spans="1:6" x14ac:dyDescent="0.25">
      <c r="A147" vm="491">
        <f ca="1"/>
        <v>45873</v>
      </c>
      <c r="B147" vm="2206">
        <f ca="1"/>
        <v>5.6449999999999996</v>
      </c>
      <c r="C147" vm="2207">
        <f ca="1"/>
        <v>6.6849999999999996</v>
      </c>
      <c r="D147" vm="1349">
        <f ca="1"/>
        <v>6.69</v>
      </c>
      <c r="E147" vm="2208">
        <f ca="1"/>
        <v>5.28</v>
      </c>
      <c r="F147" vm="2209">
        <f ca="1"/>
        <v>33077789</v>
      </c>
    </row>
    <row r="148" spans="1:6" x14ac:dyDescent="0.25">
      <c r="A148" vm="492">
        <f ca="1"/>
        <v>45874</v>
      </c>
      <c r="B148" vm="2210">
        <f ca="1"/>
        <v>5.1849999999999996</v>
      </c>
      <c r="C148" vm="1776">
        <f ca="1"/>
        <v>5.68</v>
      </c>
      <c r="D148" vm="2211">
        <f ca="1"/>
        <v>5.73</v>
      </c>
      <c r="E148" vm="1842">
        <f ca="1"/>
        <v>5.18</v>
      </c>
      <c r="F148" vm="2212">
        <f ca="1"/>
        <v>14925078</v>
      </c>
    </row>
    <row r="149" spans="1:6" x14ac:dyDescent="0.25">
      <c r="A149" vm="495">
        <f ca="1"/>
        <v>45875</v>
      </c>
      <c r="B149" vm="1294">
        <f ca="1"/>
        <v>5.25</v>
      </c>
      <c r="C149" vm="1842">
        <f ca="1"/>
        <v>5.18</v>
      </c>
      <c r="D149" vm="1305">
        <f ca="1"/>
        <v>5.48</v>
      </c>
      <c r="E149" vm="2213">
        <f ca="1"/>
        <v>5.1100000000000003</v>
      </c>
      <c r="F149" vm="2214">
        <f ca="1"/>
        <v>8367969</v>
      </c>
    </row>
    <row r="150" spans="1:6" x14ac:dyDescent="0.25">
      <c r="A150" vm="499">
        <f ca="1"/>
        <v>45876</v>
      </c>
      <c r="B150" vm="1890">
        <f ca="1"/>
        <v>5.52</v>
      </c>
      <c r="C150" vm="1270">
        <f ca="1"/>
        <v>5.23</v>
      </c>
      <c r="D150" vm="2215">
        <f ca="1"/>
        <v>5.61</v>
      </c>
      <c r="E150" vm="2216">
        <f ca="1"/>
        <v>5.2206000000000001</v>
      </c>
      <c r="F150" vm="2217">
        <f ca="1"/>
        <v>7173546</v>
      </c>
    </row>
    <row r="151" spans="1:6" x14ac:dyDescent="0.25">
      <c r="A151" vm="501">
        <f ca="1"/>
        <v>45877</v>
      </c>
      <c r="B151" vm="2218">
        <f ca="1"/>
        <v>5.62</v>
      </c>
      <c r="C151" vm="1893">
        <f ca="1"/>
        <v>5.55</v>
      </c>
      <c r="D151" vm="2219">
        <f ca="1"/>
        <v>5.6881000000000004</v>
      </c>
      <c r="E151" vm="1273">
        <f ca="1"/>
        <v>5.47</v>
      </c>
      <c r="F151" vm="2220">
        <f ca="1"/>
        <v>5644165</v>
      </c>
    </row>
    <row r="152" spans="1:6" x14ac:dyDescent="0.25">
      <c r="A152" vm="504">
        <f ca="1"/>
        <v>45880</v>
      </c>
      <c r="B152" vm="1309">
        <f ca="1"/>
        <v>5.35</v>
      </c>
      <c r="C152" vm="1890">
        <f ca="1"/>
        <v>5.52</v>
      </c>
      <c r="D152" vm="2221">
        <f ca="1"/>
        <v>5.5552000000000001</v>
      </c>
      <c r="E152" vm="1270">
        <f ca="1"/>
        <v>5.23</v>
      </c>
      <c r="F152" vm="2222">
        <f ca="1"/>
        <v>7644053</v>
      </c>
    </row>
    <row r="153" spans="1:6" x14ac:dyDescent="0.25">
      <c r="A153" vm="505">
        <f ca="1"/>
        <v>45881</v>
      </c>
      <c r="B153" vm="1292">
        <f ca="1"/>
        <v>5.31</v>
      </c>
      <c r="C153" vm="1773">
        <f ca="1"/>
        <v>5.33</v>
      </c>
      <c r="D153" vm="2223">
        <f ca="1"/>
        <v>5.3875000000000002</v>
      </c>
      <c r="E153" vm="2224">
        <f ca="1"/>
        <v>5.2350000000000003</v>
      </c>
      <c r="F153" vm="2225">
        <f ca="1"/>
        <v>4678334</v>
      </c>
    </row>
    <row r="154" spans="1:6" x14ac:dyDescent="0.25">
      <c r="A154" vm="507">
        <f ca="1"/>
        <v>45882</v>
      </c>
      <c r="B154" vm="1879">
        <f ca="1"/>
        <v>5.44</v>
      </c>
      <c r="C154" vm="2226">
        <f ca="1"/>
        <v>5.37</v>
      </c>
      <c r="D154" vm="1523">
        <f ca="1"/>
        <v>5.63</v>
      </c>
      <c r="E154" vm="1294">
        <f ca="1"/>
        <v>5.25</v>
      </c>
      <c r="F154" vm="2227">
        <f ca="1"/>
        <v>6153939</v>
      </c>
    </row>
    <row r="155" spans="1:6" x14ac:dyDescent="0.25">
      <c r="A155" vm="509">
        <f ca="1"/>
        <v>45883</v>
      </c>
      <c r="B155" vm="1781">
        <f ca="1"/>
        <v>5.41</v>
      </c>
      <c r="C155" vm="2228">
        <f ca="1"/>
        <v>5.335</v>
      </c>
      <c r="D155" vm="1281">
        <f ca="1"/>
        <v>5.43</v>
      </c>
      <c r="E155" vm="1770">
        <f ca="1"/>
        <v>5.2</v>
      </c>
      <c r="F155" vm="2229">
        <f ca="1"/>
        <v>8758697</v>
      </c>
    </row>
    <row r="156" spans="1:6" x14ac:dyDescent="0.25">
      <c r="A156" vm="510">
        <f ca="1"/>
        <v>45884</v>
      </c>
      <c r="B156" vm="2230">
        <f ca="1"/>
        <v>4.92</v>
      </c>
      <c r="C156" vm="2231">
        <f ca="1"/>
        <v>5</v>
      </c>
      <c r="D156" vm="2232">
        <f ca="1"/>
        <v>5.0343999999999998</v>
      </c>
      <c r="E156" vm="2233">
        <f ca="1"/>
        <v>4.5934999999999997</v>
      </c>
      <c r="F156" vm="2234">
        <f ca="1"/>
        <v>17505048</v>
      </c>
    </row>
    <row r="157" spans="1:6" x14ac:dyDescent="0.25">
      <c r="A157" vm="514">
        <f ca="1"/>
        <v>45887</v>
      </c>
      <c r="B157" vm="2235">
        <f ca="1"/>
        <v>4.79</v>
      </c>
      <c r="C157" vm="1267">
        <f ca="1"/>
        <v>4.95</v>
      </c>
      <c r="D157" vm="2236">
        <f ca="1"/>
        <v>5.05</v>
      </c>
      <c r="E157" vm="1874">
        <f ca="1"/>
        <v>4.74</v>
      </c>
      <c r="F157" vm="2237">
        <f ca="1"/>
        <v>6680987</v>
      </c>
    </row>
    <row r="158" spans="1:6" x14ac:dyDescent="0.25">
      <c r="A158" vm="517">
        <f ca="1"/>
        <v>45888</v>
      </c>
      <c r="B158" vm="1260">
        <f ca="1"/>
        <v>4.72</v>
      </c>
      <c r="C158" vm="2112">
        <f ca="1"/>
        <v>4.75</v>
      </c>
      <c r="D158" vm="1221">
        <f ca="1"/>
        <v>4.7699999999999996</v>
      </c>
      <c r="E158" vm="1168">
        <f ca="1"/>
        <v>4.49</v>
      </c>
      <c r="F158" vm="2238">
        <f ca="1"/>
        <v>10622299</v>
      </c>
    </row>
    <row r="159" spans="1:6" x14ac:dyDescent="0.25">
      <c r="A159" vm="520">
        <f ca="1"/>
        <v>45889</v>
      </c>
      <c r="B159" vm="1160">
        <f ca="1"/>
        <v>4.67</v>
      </c>
      <c r="C159" vm="2239">
        <f ca="1"/>
        <v>4.6399999999999997</v>
      </c>
      <c r="D159" vm="1260">
        <f ca="1"/>
        <v>4.72</v>
      </c>
      <c r="E159" vm="2240">
        <f ca="1"/>
        <v>4.3715999999999999</v>
      </c>
      <c r="F159" vm="2241">
        <f ca="1"/>
        <v>6794273</v>
      </c>
    </row>
    <row r="160" spans="1:6" x14ac:dyDescent="0.25">
      <c r="A160" vm="522">
        <f ca="1"/>
        <v>45890</v>
      </c>
      <c r="B160" vm="1267">
        <f ca="1"/>
        <v>4.95</v>
      </c>
      <c r="C160" vm="2242">
        <f ca="1"/>
        <v>4.5999999999999996</v>
      </c>
      <c r="D160" vm="2243">
        <f ca="1"/>
        <v>5.0149999999999997</v>
      </c>
      <c r="E160" vm="1159">
        <f ca="1"/>
        <v>4.57</v>
      </c>
      <c r="F160" vm="2244">
        <f ca="1"/>
        <v>9552513</v>
      </c>
    </row>
    <row r="161" spans="1:6" x14ac:dyDescent="0.25">
      <c r="A161" vm="524">
        <f ca="1"/>
        <v>45891</v>
      </c>
      <c r="B161" vm="2245">
        <f ca="1"/>
        <v>4.8600000000000003</v>
      </c>
      <c r="C161" vm="2142">
        <f ca="1"/>
        <v>4.9349999999999996</v>
      </c>
      <c r="D161" vm="2246">
        <f ca="1"/>
        <v>5.0298999999999996</v>
      </c>
      <c r="E161" vm="2247">
        <f ca="1"/>
        <v>4.835</v>
      </c>
      <c r="F161" vm="2248">
        <f ca="1"/>
        <v>8080925</v>
      </c>
    </row>
    <row r="162" spans="1:6" x14ac:dyDescent="0.25">
      <c r="A162" vm="527">
        <f ca="1"/>
        <v>45894</v>
      </c>
      <c r="B162" vm="1164">
        <f ca="1"/>
        <v>5.0599999999999996</v>
      </c>
      <c r="C162" vm="1524">
        <f ca="1"/>
        <v>4.9000000000000004</v>
      </c>
      <c r="D162" vm="1877">
        <f ca="1"/>
        <v>5.29</v>
      </c>
      <c r="E162" vm="2249">
        <f ca="1"/>
        <v>4.88</v>
      </c>
      <c r="F162" vm="2250">
        <f ca="1"/>
        <v>12875327</v>
      </c>
    </row>
    <row r="163" spans="1:6" x14ac:dyDescent="0.25">
      <c r="A163" vm="529">
        <f ca="1"/>
        <v>45895</v>
      </c>
      <c r="B163" vm="2226">
        <f ca="1"/>
        <v>5.37</v>
      </c>
      <c r="C163" vm="2231">
        <f ca="1"/>
        <v>5</v>
      </c>
      <c r="D163" vm="1772">
        <f ca="1"/>
        <v>5.46</v>
      </c>
      <c r="E163" vm="1524">
        <f ca="1"/>
        <v>4.9000000000000004</v>
      </c>
      <c r="F163" vm="2251">
        <f ca="1"/>
        <v>9834787</v>
      </c>
    </row>
    <row r="164" spans="1:6" x14ac:dyDescent="0.25">
      <c r="A164" vm="531">
        <f ca="1"/>
        <v>45896</v>
      </c>
      <c r="B164" vm="1292">
        <f ca="1"/>
        <v>5.31</v>
      </c>
      <c r="C164" vm="1846">
        <f ca="1"/>
        <v>5.4</v>
      </c>
      <c r="D164" vm="1781">
        <f ca="1"/>
        <v>5.41</v>
      </c>
      <c r="E164" vm="2252">
        <f ca="1"/>
        <v>5.13</v>
      </c>
      <c r="F164" vm="2253">
        <f ca="1"/>
        <v>6931739</v>
      </c>
    </row>
    <row r="165" spans="1:6" x14ac:dyDescent="0.25">
      <c r="A165" vm="534">
        <f ca="1"/>
        <v>45897</v>
      </c>
      <c r="B165" vm="2254">
        <f ca="1"/>
        <v>5.26</v>
      </c>
      <c r="C165" vm="1292">
        <f ca="1"/>
        <v>5.31</v>
      </c>
      <c r="D165" vm="1281">
        <f ca="1"/>
        <v>5.43</v>
      </c>
      <c r="E165" vm="2255">
        <f ca="1"/>
        <v>5.24</v>
      </c>
      <c r="F165" vm="2256">
        <f ca="1"/>
        <v>4878954</v>
      </c>
    </row>
    <row r="166" spans="1:6" x14ac:dyDescent="0.25">
      <c r="A166" vm="536">
        <f ca="1"/>
        <v>45898</v>
      </c>
      <c r="B166" vm="1290">
        <f ca="1"/>
        <v>5.36</v>
      </c>
      <c r="C166" vm="2257">
        <f ca="1"/>
        <v>5.22</v>
      </c>
      <c r="D166" vm="1778">
        <f ca="1"/>
        <v>5.45</v>
      </c>
      <c r="E166" vm="1265">
        <f ca="1"/>
        <v>5.01</v>
      </c>
      <c r="F166" vm="2258">
        <f ca="1"/>
        <v>13342223</v>
      </c>
    </row>
    <row r="167" spans="1:6" x14ac:dyDescent="0.25">
      <c r="A167" vm="538">
        <f ca="1"/>
        <v>45902</v>
      </c>
      <c r="B167" vm="1879">
        <f ca="1"/>
        <v>5.44</v>
      </c>
      <c r="C167" vm="1846">
        <f ca="1"/>
        <v>5.4</v>
      </c>
      <c r="D167" vm="1306">
        <f ca="1"/>
        <v>5.59</v>
      </c>
      <c r="E167" vm="2114">
        <f ca="1"/>
        <v>5.16</v>
      </c>
      <c r="F167" vm="2259">
        <f ca="1"/>
        <v>9719656</v>
      </c>
    </row>
    <row r="168" spans="1:6" x14ac:dyDescent="0.25">
      <c r="A168" vm="541">
        <f ca="1"/>
        <v>45903</v>
      </c>
      <c r="B168" vm="1873">
        <f ca="1"/>
        <v>5.67</v>
      </c>
      <c r="C168" vm="1827">
        <f ca="1"/>
        <v>5.51</v>
      </c>
      <c r="D168" vm="2260">
        <f ca="1"/>
        <v>5.9021999999999997</v>
      </c>
      <c r="E168" vm="1772">
        <f ca="1"/>
        <v>5.46</v>
      </c>
      <c r="F168" vm="2261">
        <f ca="1"/>
        <v>11505504</v>
      </c>
    </row>
    <row r="169" spans="1:6" x14ac:dyDescent="0.25">
      <c r="A169" vm="543">
        <f ca="1"/>
        <v>45904</v>
      </c>
      <c r="B169" vm="1297">
        <f ca="1"/>
        <v>5.12</v>
      </c>
      <c r="C169" vm="1827">
        <f ca="1"/>
        <v>5.51</v>
      </c>
      <c r="D169" vm="1890">
        <f ca="1"/>
        <v>5.52</v>
      </c>
      <c r="E169" vm="1164">
        <f ca="1"/>
        <v>5.0599999999999996</v>
      </c>
      <c r="F169" vm="2262">
        <f ca="1"/>
        <v>9250759</v>
      </c>
    </row>
    <row r="170" spans="1:6" x14ac:dyDescent="0.25">
      <c r="A170" vm="545">
        <f ca="1"/>
        <v>45905</v>
      </c>
      <c r="B170" vm="1297">
        <f ca="1"/>
        <v>5.12</v>
      </c>
      <c r="C170" vm="1304">
        <f ca="1"/>
        <v>5.14</v>
      </c>
      <c r="D170" vm="1526">
        <f ca="1"/>
        <v>5.21</v>
      </c>
      <c r="E170" vm="2263">
        <f ca="1"/>
        <v>4.93</v>
      </c>
      <c r="F170" vm="2264">
        <f ca="1"/>
        <v>5672470</v>
      </c>
    </row>
    <row r="171" spans="1:6" x14ac:dyDescent="0.25">
      <c r="A171" vm="546">
        <f ca="1"/>
        <v>45908</v>
      </c>
      <c r="B171" vm="2257">
        <f ca="1"/>
        <v>5.22</v>
      </c>
      <c r="C171" vm="1297">
        <f ca="1"/>
        <v>5.12</v>
      </c>
      <c r="D171" vm="2265">
        <f ca="1"/>
        <v>5.32</v>
      </c>
      <c r="E171" vm="2266">
        <f ca="1"/>
        <v>5.0731999999999999</v>
      </c>
      <c r="F171" vm="2267">
        <f ca="1"/>
        <v>4980924</v>
      </c>
    </row>
    <row r="172" spans="1:6" x14ac:dyDescent="0.25">
      <c r="A172" vm="548">
        <f ca="1"/>
        <v>45909</v>
      </c>
      <c r="B172" vm="1770">
        <f ca="1"/>
        <v>5.2</v>
      </c>
      <c r="C172" vm="1296">
        <f ca="1"/>
        <v>5.17</v>
      </c>
      <c r="D172" vm="1877">
        <f ca="1"/>
        <v>5.29</v>
      </c>
      <c r="E172" vm="2236">
        <f ca="1"/>
        <v>5.05</v>
      </c>
      <c r="F172" vm="2268">
        <f ca="1"/>
        <v>3991834</v>
      </c>
    </row>
    <row r="173" spans="1:6" x14ac:dyDescent="0.25">
      <c r="A173" vm="550">
        <f ca="1"/>
        <v>45910</v>
      </c>
      <c r="B173" vm="1297">
        <f ca="1"/>
        <v>5.12</v>
      </c>
      <c r="C173" vm="2257">
        <f ca="1"/>
        <v>5.22</v>
      </c>
      <c r="D173" vm="2269">
        <f ca="1"/>
        <v>5.3650000000000002</v>
      </c>
      <c r="E173" vm="2270">
        <f ca="1"/>
        <v>5.04</v>
      </c>
      <c r="F173" vm="2271">
        <f ca="1"/>
        <v>4196497</v>
      </c>
    </row>
    <row r="174" spans="1:6" x14ac:dyDescent="0.25">
      <c r="A174" vm="551">
        <f ca="1"/>
        <v>45911</v>
      </c>
      <c r="B174" vm="1296">
        <f ca="1"/>
        <v>5.17</v>
      </c>
      <c r="C174" vm="2213">
        <f ca="1"/>
        <v>5.1100000000000003</v>
      </c>
      <c r="D174" vm="1877">
        <f ca="1"/>
        <v>5.29</v>
      </c>
      <c r="E174" vm="1164">
        <f ca="1"/>
        <v>5.0599999999999996</v>
      </c>
      <c r="F174" vm="2272">
        <f ca="1"/>
        <v>4657846</v>
      </c>
    </row>
    <row r="175" spans="1:6" x14ac:dyDescent="0.25">
      <c r="A175" vm="554">
        <f ca="1"/>
        <v>45912</v>
      </c>
      <c r="B175" vm="1890">
        <f ca="1"/>
        <v>5.52</v>
      </c>
      <c r="C175" vm="1842">
        <f ca="1"/>
        <v>5.18</v>
      </c>
      <c r="D175" vm="1847">
        <f ca="1"/>
        <v>5.64</v>
      </c>
      <c r="E175" vm="2252">
        <f ca="1"/>
        <v>5.13</v>
      </c>
      <c r="F175" vm="2273">
        <f ca="1"/>
        <v>7436145</v>
      </c>
    </row>
    <row r="176" spans="1:6" x14ac:dyDescent="0.25">
      <c r="A176" vm="555">
        <f ca="1"/>
        <v>45915</v>
      </c>
      <c r="B176" vm="1281">
        <f ca="1"/>
        <v>5.43</v>
      </c>
      <c r="C176" vm="1890">
        <f ca="1"/>
        <v>5.52</v>
      </c>
      <c r="D176" vm="1289">
        <f ca="1"/>
        <v>5.56</v>
      </c>
      <c r="E176" vm="2254">
        <f ca="1"/>
        <v>5.26</v>
      </c>
      <c r="F176" vm="2274">
        <f ca="1"/>
        <v>5056344</v>
      </c>
    </row>
    <row r="177" spans="1:6" x14ac:dyDescent="0.25">
      <c r="A177" vm="556">
        <f ca="1"/>
        <v>45916</v>
      </c>
      <c r="B177" vm="1873">
        <f ca="1"/>
        <v>5.67</v>
      </c>
      <c r="C177" vm="2275">
        <f ca="1"/>
        <v>5.7750000000000004</v>
      </c>
      <c r="D177" vm="1833">
        <f ca="1"/>
        <v>5.98</v>
      </c>
      <c r="E177" vm="2276">
        <f ca="1"/>
        <v>5.5350000000000001</v>
      </c>
      <c r="F177" vm="2277">
        <f ca="1"/>
        <v>7882987</v>
      </c>
    </row>
    <row r="178" spans="1:6" x14ac:dyDescent="0.25">
      <c r="A178" vm="559">
        <f ca="1"/>
        <v>45917</v>
      </c>
      <c r="B178" vm="1274">
        <f ca="1"/>
        <v>5.49</v>
      </c>
      <c r="C178" vm="2278">
        <f ca="1"/>
        <v>5.58</v>
      </c>
      <c r="D178" vm="2279">
        <f ca="1"/>
        <v>5.69</v>
      </c>
      <c r="E178" vm="1309">
        <f ca="1"/>
        <v>5.35</v>
      </c>
      <c r="F178" vm="2280">
        <f ca="1"/>
        <v>5324307</v>
      </c>
    </row>
    <row r="179" spans="1:6" x14ac:dyDescent="0.25">
      <c r="A179" vm="560">
        <f ca="1"/>
        <v>45918</v>
      </c>
      <c r="B179" vm="1873">
        <f ca="1"/>
        <v>5.67</v>
      </c>
      <c r="C179" vm="1890">
        <f ca="1"/>
        <v>5.52</v>
      </c>
      <c r="D179" vm="1288">
        <f ca="1"/>
        <v>5.79</v>
      </c>
      <c r="E179" vm="1889">
        <f ca="1"/>
        <v>5.34</v>
      </c>
      <c r="F179" vm="2281">
        <f ca="1"/>
        <v>5467481</v>
      </c>
    </row>
    <row r="180" spans="1:6" x14ac:dyDescent="0.25">
      <c r="A180" vm="561">
        <f ca="1"/>
        <v>45919</v>
      </c>
      <c r="B180" vm="1288">
        <f ca="1"/>
        <v>5.79</v>
      </c>
      <c r="C180" vm="2282">
        <f ca="1"/>
        <v>5.65</v>
      </c>
      <c r="D180" vm="1887">
        <f ca="1"/>
        <v>5.9850000000000003</v>
      </c>
      <c r="E180" vm="2283">
        <f ca="1"/>
        <v>5.6483999999999996</v>
      </c>
      <c r="F180" vm="2284">
        <f ca="1"/>
        <v>7321049</v>
      </c>
    </row>
    <row r="181" spans="1:6" x14ac:dyDescent="0.25">
      <c r="A181" vm="562">
        <f ca="1"/>
        <v>45922</v>
      </c>
      <c r="B181" vm="1821">
        <f ca="1"/>
        <v>5.77</v>
      </c>
      <c r="C181" vm="1308">
        <f ca="1"/>
        <v>5.81</v>
      </c>
      <c r="D181" vm="2285">
        <f ca="1"/>
        <v>6.14</v>
      </c>
      <c r="E181" vm="1776">
        <f ca="1"/>
        <v>5.68</v>
      </c>
      <c r="F181" vm="2286">
        <f ca="1"/>
        <v>10762091</v>
      </c>
    </row>
    <row r="182" spans="1:6" x14ac:dyDescent="0.25">
      <c r="A182" vm="563">
        <f ca="1"/>
        <v>45923</v>
      </c>
      <c r="B182" vm="1927">
        <f ca="1"/>
        <v>6.32</v>
      </c>
      <c r="C182" vm="1308">
        <f ca="1"/>
        <v>5.81</v>
      </c>
      <c r="D182" vm="1537">
        <f ca="1"/>
        <v>6.44</v>
      </c>
      <c r="E182" vm="1311">
        <f ca="1"/>
        <v>5.8</v>
      </c>
      <c r="F182" vm="2287">
        <f ca="1"/>
        <v>12092408</v>
      </c>
    </row>
    <row r="183" spans="1:6" x14ac:dyDescent="0.25">
      <c r="A183" vm="564">
        <f ca="1"/>
        <v>45924</v>
      </c>
      <c r="B183" vm="1283">
        <f ca="1"/>
        <v>6.16</v>
      </c>
      <c r="C183" vm="1922">
        <f ca="1"/>
        <v>6.49</v>
      </c>
      <c r="D183" vm="1529">
        <f ca="1"/>
        <v>6.58</v>
      </c>
      <c r="E183" vm="2288">
        <f ca="1"/>
        <v>6.13</v>
      </c>
      <c r="F183" vm="2289">
        <f ca="1"/>
        <v>8889022</v>
      </c>
    </row>
    <row r="184" spans="1:6" x14ac:dyDescent="0.25">
      <c r="A184" vm="566">
        <f ca="1"/>
        <v>45925</v>
      </c>
      <c r="B184" vm="1338">
        <f ca="1"/>
        <v>6.56</v>
      </c>
      <c r="C184" vm="1327">
        <f ca="1"/>
        <v>6.01</v>
      </c>
      <c r="D184" vm="1353">
        <f ca="1"/>
        <v>6.85</v>
      </c>
      <c r="E184" vm="1311">
        <f ca="1"/>
        <v>5.8</v>
      </c>
      <c r="F184" vm="2290">
        <f ca="1"/>
        <v>16032852</v>
      </c>
    </row>
    <row r="185" spans="1:6" x14ac:dyDescent="0.25">
      <c r="A185" vm="568">
        <f ca="1"/>
        <v>45926</v>
      </c>
      <c r="B185" vm="1849">
        <f ca="1"/>
        <v>6.36</v>
      </c>
      <c r="C185" vm="1811">
        <f ca="1"/>
        <v>6.65</v>
      </c>
      <c r="D185" vm="1359">
        <f ca="1"/>
        <v>6.67</v>
      </c>
      <c r="E185" vm="1848">
        <f ca="1"/>
        <v>6.3</v>
      </c>
      <c r="F185" vm="2291">
        <f ca="1"/>
        <v>6696970</v>
      </c>
    </row>
    <row r="186" spans="1:6" x14ac:dyDescent="0.25">
      <c r="A186" vm="571">
        <f ca="1"/>
        <v>45929</v>
      </c>
      <c r="B186" vm="1348">
        <f ca="1"/>
        <v>6.47</v>
      </c>
      <c r="C186" vm="1343">
        <f ca="1"/>
        <v>6.46</v>
      </c>
      <c r="D186" vm="1787">
        <f ca="1"/>
        <v>6.6</v>
      </c>
      <c r="E186" vm="2292">
        <f ca="1"/>
        <v>6.2329999999999997</v>
      </c>
      <c r="F186" vm="2293">
        <f ca="1"/>
        <v>5044270</v>
      </c>
    </row>
    <row r="187" spans="1:6" x14ac:dyDescent="0.25">
      <c r="A187" vm="573">
        <f ca="1"/>
        <v>45930</v>
      </c>
      <c r="B187" vm="1926">
        <f ca="1"/>
        <v>6.37</v>
      </c>
      <c r="C187" vm="1825">
        <f ca="1"/>
        <v>6.39</v>
      </c>
      <c r="D187" vm="1529">
        <f ca="1"/>
        <v>6.58</v>
      </c>
      <c r="E187" vm="1784">
        <f ca="1"/>
        <v>6.25</v>
      </c>
      <c r="F187" vm="2294">
        <f ca="1"/>
        <v>4216258</v>
      </c>
    </row>
    <row r="188" spans="1:6" x14ac:dyDescent="0.25">
      <c r="A188" vm="575">
        <f ca="1"/>
        <v>45931</v>
      </c>
      <c r="B188" vm="2295">
        <f ca="1"/>
        <v>6.94</v>
      </c>
      <c r="C188" vm="1785">
        <f ca="1"/>
        <v>6.35</v>
      </c>
      <c r="D188" vm="1850">
        <f ca="1"/>
        <v>6.99</v>
      </c>
      <c r="E188" vm="1848">
        <f ca="1"/>
        <v>6.3</v>
      </c>
      <c r="F188" vm="2296">
        <f ca="1"/>
        <v>9077249</v>
      </c>
    </row>
    <row r="189" spans="1:6" x14ac:dyDescent="0.25">
      <c r="A189" vm="576">
        <f ca="1"/>
        <v>45932</v>
      </c>
      <c r="B189" vm="2184">
        <f ca="1"/>
        <v>7.12</v>
      </c>
      <c r="C189" vm="2297">
        <f ca="1"/>
        <v>7.07</v>
      </c>
      <c r="D189" vm="1855">
        <f ca="1"/>
        <v>7.22</v>
      </c>
      <c r="E189" vm="1347">
        <f ca="1"/>
        <v>6.9349999999999996</v>
      </c>
      <c r="F189" vm="2298">
        <f ca="1"/>
        <v>7024420</v>
      </c>
    </row>
    <row r="190" spans="1:6" x14ac:dyDescent="0.25">
      <c r="A190" vm="578">
        <f ca="1"/>
        <v>45933</v>
      </c>
      <c r="B190" vm="1936">
        <f ca="1"/>
        <v>7.41</v>
      </c>
      <c r="C190" vm="1375">
        <f ca="1"/>
        <v>7.25</v>
      </c>
      <c r="D190" vm="1908">
        <f ca="1"/>
        <v>7.69</v>
      </c>
      <c r="E190" vm="1934">
        <f ca="1"/>
        <v>7.11</v>
      </c>
      <c r="F190" vm="2299">
        <f ca="1"/>
        <v>10655414</v>
      </c>
    </row>
    <row r="191" spans="1:6" x14ac:dyDescent="0.25">
      <c r="A191" vm="580">
        <f ca="1"/>
        <v>45936</v>
      </c>
      <c r="B191" vm="1794">
        <f ca="1"/>
        <v>7.72</v>
      </c>
      <c r="C191" vm="2194">
        <f ca="1"/>
        <v>7.63</v>
      </c>
      <c r="D191" vm="2300">
        <f ca="1"/>
        <v>7.9050000000000002</v>
      </c>
      <c r="E191" vm="2301">
        <f ca="1"/>
        <v>7.3212000000000002</v>
      </c>
      <c r="F191" vm="2302">
        <f ca="1"/>
        <v>11383287</v>
      </c>
    </row>
    <row r="192" spans="1:6" x14ac:dyDescent="0.25">
      <c r="A192" vm="582">
        <f ca="1"/>
        <v>45937</v>
      </c>
      <c r="B192" vm="474">
        <f ca="1"/>
        <v>9.2799999999999994</v>
      </c>
      <c r="C192" vm="2303">
        <f ca="1"/>
        <v>8.0250000000000004</v>
      </c>
      <c r="D192" vm="738">
        <f ca="1"/>
        <v>9.5500000000000007</v>
      </c>
      <c r="E192" vm="1416">
        <f ca="1"/>
        <v>7.96</v>
      </c>
      <c r="F192" vm="2304">
        <f ca="1"/>
        <v>33987747</v>
      </c>
    </row>
    <row r="193" spans="1:6" x14ac:dyDescent="0.25">
      <c r="A193" vm="584">
        <f ca="1"/>
        <v>45938</v>
      </c>
      <c r="B193" vm="323">
        <f ca="1"/>
        <v>9.1199999999999992</v>
      </c>
      <c r="C193" vm="341">
        <f ca="1"/>
        <v>9.0399999999999991</v>
      </c>
      <c r="D193" vm="333">
        <f ca="1"/>
        <v>9.1300000000000008</v>
      </c>
      <c r="E193" vm="2305">
        <f ca="1"/>
        <v>8.5101999999999993</v>
      </c>
      <c r="F193" vm="2306">
        <f ca="1"/>
        <v>16003195</v>
      </c>
    </row>
    <row r="194" spans="1:6" x14ac:dyDescent="0.25">
      <c r="A194" vm="585">
        <f ca="1"/>
        <v>45939</v>
      </c>
      <c r="B194" vm="438">
        <f ca="1"/>
        <v>9.3800000000000008</v>
      </c>
      <c r="C194" vm="535">
        <f ca="1"/>
        <v>9.6199999999999992</v>
      </c>
      <c r="D194" vm="2307">
        <f ca="1"/>
        <v>9.8699999999999992</v>
      </c>
      <c r="E194" vm="572">
        <f ca="1"/>
        <v>9.06</v>
      </c>
      <c r="F194" vm="2308">
        <f ca="1"/>
        <v>16173166</v>
      </c>
    </row>
    <row r="195" spans="1:6" x14ac:dyDescent="0.25">
      <c r="A195" vm="587">
        <f ca="1"/>
        <v>45940</v>
      </c>
      <c r="B195" vm="424">
        <f ca="1"/>
        <v>8.8849999999999998</v>
      </c>
      <c r="C195" vm="321">
        <f ca="1"/>
        <v>9.5</v>
      </c>
      <c r="D195" vm="1397">
        <f ca="1"/>
        <v>10.07</v>
      </c>
      <c r="E195" vm="2309">
        <f ca="1"/>
        <v>8.8049999999999997</v>
      </c>
      <c r="F195" vm="2310">
        <f ca="1"/>
        <v>19925965</v>
      </c>
    </row>
    <row r="196" spans="1:6" x14ac:dyDescent="0.25">
      <c r="A196" vm="590">
        <f ca="1"/>
        <v>45943</v>
      </c>
      <c r="B196" vm="2311">
        <f ca="1"/>
        <v>10.69</v>
      </c>
      <c r="C196" vm="225">
        <f ca="1"/>
        <v>9.26</v>
      </c>
      <c r="D196" vm="863">
        <f ca="1"/>
        <v>11.35</v>
      </c>
      <c r="E196" vm="518">
        <f ca="1"/>
        <v>9.2200000000000006</v>
      </c>
      <c r="F196" vm="2312">
        <f ca="1"/>
        <v>28349972</v>
      </c>
    </row>
    <row r="197" spans="1:6" x14ac:dyDescent="0.25">
      <c r="A197" vm="592">
        <f ca="1"/>
        <v>45944</v>
      </c>
      <c r="B197" vm="2311">
        <f ca="1"/>
        <v>10.69</v>
      </c>
      <c r="C197" vm="2313">
        <f ca="1"/>
        <v>10.744999999999999</v>
      </c>
      <c r="D197" vm="219">
        <f ca="1"/>
        <v>10.87</v>
      </c>
      <c r="E197" vm="1398">
        <f ca="1"/>
        <v>9.75</v>
      </c>
      <c r="F197" vm="2314">
        <f ca="1"/>
        <v>21740533</v>
      </c>
    </row>
    <row r="198" spans="1:6" x14ac:dyDescent="0.25">
      <c r="A198" vm="594">
        <f ca="1"/>
        <v>45945</v>
      </c>
      <c r="B198" vm="528">
        <f ca="1"/>
        <v>9.61</v>
      </c>
      <c r="C198" vm="2315">
        <f ca="1"/>
        <v>10.67</v>
      </c>
      <c r="D198" vm="2316">
        <f ca="1"/>
        <v>10.729900000000001</v>
      </c>
      <c r="E198" vm="567">
        <f ca="1"/>
        <v>9.31</v>
      </c>
      <c r="F198" vm="2317">
        <f ca="1"/>
        <v>16493130</v>
      </c>
    </row>
    <row r="199" spans="1:6" x14ac:dyDescent="0.25">
      <c r="A199" vm="596">
        <f ca="1"/>
        <v>45946</v>
      </c>
      <c r="B199" vm="287">
        <f ca="1"/>
        <v>8.69</v>
      </c>
      <c r="C199" vm="1433">
        <f ca="1"/>
        <v>9.84</v>
      </c>
      <c r="D199" vm="2307">
        <f ca="1"/>
        <v>9.8699999999999992</v>
      </c>
      <c r="E199" vm="607">
        <f ca="1"/>
        <v>8.5299999999999994</v>
      </c>
      <c r="F199" vm="2318">
        <f ca="1"/>
        <v>14080541</v>
      </c>
    </row>
    <row r="200" spans="1:6" x14ac:dyDescent="0.25">
      <c r="A200" vm="597">
        <f ca="1"/>
        <v>45947</v>
      </c>
      <c r="B200" vm="269">
        <f ca="1"/>
        <v>8.19</v>
      </c>
      <c r="C200" vm="1871">
        <f ca="1"/>
        <v>8.1199999999999992</v>
      </c>
      <c r="D200" vm="285">
        <f ca="1"/>
        <v>8.34</v>
      </c>
      <c r="E200" vm="1898">
        <f ca="1"/>
        <v>8.01</v>
      </c>
      <c r="F200" vm="2319">
        <f ca="1"/>
        <v>8962420</v>
      </c>
    </row>
    <row r="201" spans="1:6" x14ac:dyDescent="0.25">
      <c r="A201" vm="600">
        <f ca="1"/>
        <v>45950</v>
      </c>
      <c r="B201" vm="264">
        <f ca="1"/>
        <v>8.3800000000000008</v>
      </c>
      <c r="C201" vm="465">
        <f ca="1"/>
        <v>8.42</v>
      </c>
      <c r="D201" vm="265">
        <f ca="1"/>
        <v>8.59</v>
      </c>
      <c r="E201" vm="1806">
        <f ca="1"/>
        <v>7.92</v>
      </c>
      <c r="F201" vm="2320">
        <f ca="1"/>
        <v>6698854</v>
      </c>
    </row>
    <row r="202" spans="1:6" x14ac:dyDescent="0.25">
      <c r="A202" vm="601">
        <f ca="1"/>
        <v>45951</v>
      </c>
      <c r="B202" vm="1382">
        <f ca="1"/>
        <v>7.81</v>
      </c>
      <c r="C202" vm="617">
        <f ca="1"/>
        <v>8</v>
      </c>
      <c r="D202" vm="619">
        <f ca="1"/>
        <v>8.15</v>
      </c>
      <c r="E202" vm="258">
        <f ca="1"/>
        <v>7.73</v>
      </c>
      <c r="F202" vm="2321">
        <f ca="1"/>
        <v>7096584</v>
      </c>
    </row>
    <row r="203" spans="1:6" x14ac:dyDescent="0.25">
      <c r="A203" vm="604">
        <f ca="1"/>
        <v>45952</v>
      </c>
      <c r="B203" vm="1380">
        <f ca="1"/>
        <v>7.26</v>
      </c>
      <c r="C203" vm="1852">
        <f ca="1"/>
        <v>7.42</v>
      </c>
      <c r="D203" vm="1793">
        <f ca="1"/>
        <v>7.8</v>
      </c>
      <c r="E203" vm="2322">
        <f ca="1"/>
        <v>6.9749999999999996</v>
      </c>
      <c r="F203" vm="2323">
        <f ca="1"/>
        <v>13034521</v>
      </c>
    </row>
    <row r="204" spans="1:6" x14ac:dyDescent="0.25">
      <c r="A204" vm="606">
        <f ca="1"/>
        <v>45953</v>
      </c>
      <c r="B204" vm="2161">
        <f ca="1"/>
        <v>7.15</v>
      </c>
      <c r="C204" vm="2324">
        <f ca="1"/>
        <v>7.3250000000000002</v>
      </c>
      <c r="D204" vm="2325">
        <f ca="1"/>
        <v>7.39</v>
      </c>
      <c r="E204" vm="2326">
        <f ca="1"/>
        <v>7.125</v>
      </c>
      <c r="F204" vm="2327">
        <f ca="1"/>
        <v>4560245</v>
      </c>
    </row>
    <row r="205" spans="1:6" x14ac:dyDescent="0.25">
      <c r="A205" vm="608">
        <f ca="1"/>
        <v>45954</v>
      </c>
      <c r="B205" vm="238">
        <f ca="1"/>
        <v>7.13</v>
      </c>
      <c r="C205" vm="1789">
        <f ca="1"/>
        <v>7.35</v>
      </c>
      <c r="D205" vm="1856">
        <f ca="1"/>
        <v>7.54</v>
      </c>
      <c r="E205" vm="1934">
        <f ca="1"/>
        <v>7.11</v>
      </c>
      <c r="F205" vm="2328">
        <f ca="1"/>
        <v>5267178</v>
      </c>
    </row>
    <row r="206" spans="1:6" x14ac:dyDescent="0.25">
      <c r="A206" vm="610">
        <f ca="1"/>
        <v>45957</v>
      </c>
      <c r="B206" vm="1914">
        <f ca="1"/>
        <v>6.88</v>
      </c>
      <c r="C206" vm="2329">
        <f ca="1"/>
        <v>6.806</v>
      </c>
      <c r="D206" vm="2330">
        <f ca="1"/>
        <v>7.0460000000000003</v>
      </c>
      <c r="E206" vm="1364">
        <f ca="1"/>
        <v>6.64</v>
      </c>
      <c r="F206" vm="2331">
        <f ca="1"/>
        <v>8620708</v>
      </c>
    </row>
    <row r="207" spans="1:6" x14ac:dyDescent="0.25">
      <c r="A207" vm="611">
        <f ca="1"/>
        <v>45958</v>
      </c>
      <c r="B207" vm="1850">
        <f ca="1"/>
        <v>6.99</v>
      </c>
      <c r="C207" vm="1353">
        <f ca="1"/>
        <v>6.85</v>
      </c>
      <c r="D207" vm="2332">
        <f ca="1"/>
        <v>7.02</v>
      </c>
      <c r="E207" vm="1912">
        <f ca="1"/>
        <v>6.71</v>
      </c>
      <c r="F207" vm="2333">
        <f ca="1"/>
        <v>5964886</v>
      </c>
    </row>
    <row r="208" spans="1:6" x14ac:dyDescent="0.25">
      <c r="A208" vm="614">
        <f ca="1"/>
        <v>45959</v>
      </c>
      <c r="B208" vm="1914">
        <f ca="1"/>
        <v>6.88</v>
      </c>
      <c r="C208" vm="246">
        <f ca="1"/>
        <v>7.2</v>
      </c>
      <c r="D208" vm="1855">
        <f ca="1"/>
        <v>7.22</v>
      </c>
      <c r="E208" vm="1356">
        <f ca="1"/>
        <v>6.78</v>
      </c>
      <c r="F208" vm="2334">
        <f ca="1"/>
        <v>5523057</v>
      </c>
    </row>
    <row r="209" spans="1:6" x14ac:dyDescent="0.25">
      <c r="A209" vm="618">
        <f ca="1"/>
        <v>45960</v>
      </c>
      <c r="B209" vm="2184">
        <f ca="1"/>
        <v>7.12</v>
      </c>
      <c r="C209" vm="1367">
        <f ca="1"/>
        <v>7.05</v>
      </c>
      <c r="D209" vm="2335">
        <f ca="1"/>
        <v>7.2949999999999999</v>
      </c>
      <c r="E209" vm="1792">
        <f ca="1"/>
        <v>6.79</v>
      </c>
      <c r="F209" vm="2336">
        <f ca="1"/>
        <v>7029331</v>
      </c>
    </row>
    <row r="210" spans="1:6" x14ac:dyDescent="0.25">
      <c r="A210" vm="621">
        <f ca="1"/>
        <v>45961</v>
      </c>
      <c r="B210" vm="2297">
        <f ca="1"/>
        <v>7.07</v>
      </c>
      <c r="C210" vm="2337">
        <f ca="1"/>
        <v>7.16</v>
      </c>
      <c r="D210" vm="2195">
        <f ca="1"/>
        <v>7.21</v>
      </c>
      <c r="E210" vm="1881">
        <f ca="1"/>
        <v>6.96</v>
      </c>
      <c r="F210" vm="2338">
        <f ca="1"/>
        <v>4869539</v>
      </c>
    </row>
    <row r="211" spans="1:6" x14ac:dyDescent="0.25">
      <c r="A211" vm="622">
        <f ca="1"/>
        <v>45964</v>
      </c>
      <c r="B211" vm="2339">
        <f ca="1"/>
        <v>6.3949999999999996</v>
      </c>
      <c r="C211" vm="1367">
        <f ca="1"/>
        <v>7.05</v>
      </c>
      <c r="D211" vm="1367">
        <f ca="1"/>
        <v>7.05</v>
      </c>
      <c r="E211" vm="1919">
        <f ca="1"/>
        <v>6.26</v>
      </c>
      <c r="F211" vm="2340">
        <f ca="1"/>
        <v>8004884</v>
      </c>
    </row>
    <row r="212" spans="1:6" x14ac:dyDescent="0.25">
      <c r="A212" vm="623">
        <f ca="1"/>
        <v>45965</v>
      </c>
      <c r="B212" vm="1883">
        <f ca="1"/>
        <v>5.99</v>
      </c>
      <c r="C212" vm="1891">
        <f ca="1"/>
        <v>6.03</v>
      </c>
      <c r="D212" vm="2341">
        <f ca="1"/>
        <v>6.2649999999999997</v>
      </c>
      <c r="E212" vm="2342">
        <f ca="1"/>
        <v>5.9225000000000003</v>
      </c>
      <c r="F212" vm="2343">
        <f ca="1"/>
        <v>5894454</v>
      </c>
    </row>
    <row r="213" spans="1:6" x14ac:dyDescent="0.25">
      <c r="A213" vm="626">
        <f ca="1"/>
        <v>45966</v>
      </c>
      <c r="B213" vm="1322">
        <f ca="1"/>
        <v>6</v>
      </c>
      <c r="C213" vm="1892">
        <f ca="1"/>
        <v>6.02</v>
      </c>
      <c r="D213" vm="2344">
        <f ca="1"/>
        <v>6.1105999999999998</v>
      </c>
      <c r="E213" vm="2345">
        <f ca="1"/>
        <v>5.8849999999999998</v>
      </c>
      <c r="F213" vm="2346">
        <f ca="1"/>
        <v>5285564</v>
      </c>
    </row>
    <row r="214" spans="1:6" x14ac:dyDescent="0.25">
      <c r="A214" vm="627">
        <f ca="1"/>
        <v>45967</v>
      </c>
      <c r="B214" vm="1319">
        <f ca="1"/>
        <v>5.53</v>
      </c>
      <c r="C214" vm="1282">
        <f ca="1"/>
        <v>6.11</v>
      </c>
      <c r="D214" vm="1329">
        <f ca="1"/>
        <v>6.12</v>
      </c>
      <c r="E214" vm="1844">
        <f ca="1"/>
        <v>5.5</v>
      </c>
      <c r="F214" vm="2347">
        <f ca="1"/>
        <v>8908625</v>
      </c>
    </row>
    <row r="215" spans="1:6" x14ac:dyDescent="0.25">
      <c r="A215" vm="629">
        <f ca="1"/>
        <v>45968</v>
      </c>
      <c r="B215" vm="2211">
        <f ca="1"/>
        <v>5.73</v>
      </c>
      <c r="C215" vm="1292">
        <f ca="1"/>
        <v>5.31</v>
      </c>
      <c r="D215" vm="2348">
        <f ca="1"/>
        <v>5.7549999999999999</v>
      </c>
      <c r="E215" vm="1877">
        <f ca="1"/>
        <v>5.29</v>
      </c>
      <c r="F215" vm="2349">
        <f ca="1"/>
        <v>8499583</v>
      </c>
    </row>
    <row r="216" spans="1:6" x14ac:dyDescent="0.25">
      <c r="A216" vm="631">
        <f ca="1"/>
        <v>45971</v>
      </c>
      <c r="B216" vm="1280">
        <f ca="1"/>
        <v>5.91</v>
      </c>
      <c r="C216" vm="1325">
        <f ca="1"/>
        <v>6.05</v>
      </c>
      <c r="D216" vm="2350">
        <f ca="1"/>
        <v>6.1349999999999998</v>
      </c>
      <c r="E216" vm="1872">
        <f ca="1"/>
        <v>5.9</v>
      </c>
      <c r="F216" vm="2351">
        <f ca="1"/>
        <v>5322408</v>
      </c>
    </row>
    <row r="217" spans="1:6" x14ac:dyDescent="0.25">
      <c r="A217" vm="632">
        <f ca="1"/>
        <v>45972</v>
      </c>
      <c r="B217" vm="1314">
        <f ca="1"/>
        <v>5.83</v>
      </c>
      <c r="C217" vm="1284">
        <f ca="1"/>
        <v>5.82</v>
      </c>
      <c r="D217" vm="2352">
        <f ca="1"/>
        <v>5.8857999999999997</v>
      </c>
      <c r="E217" vm="2353">
        <f ca="1"/>
        <v>5.6050000000000004</v>
      </c>
      <c r="F217" vm="2354">
        <f ca="1"/>
        <v>4969265</v>
      </c>
    </row>
    <row r="218" spans="1:6" x14ac:dyDescent="0.25">
      <c r="A218" vm="634">
        <f ca="1"/>
        <v>45973</v>
      </c>
      <c r="B218" vm="1847">
        <f ca="1"/>
        <v>5.64</v>
      </c>
      <c r="C218" vm="1520">
        <f ca="1"/>
        <v>5.86</v>
      </c>
      <c r="D218" vm="1824">
        <f ca="1"/>
        <v>5.88</v>
      </c>
      <c r="E218" vm="1274">
        <f ca="1"/>
        <v>5.49</v>
      </c>
      <c r="F218" vm="2355">
        <f ca="1"/>
        <v>4284777</v>
      </c>
    </row>
    <row r="219" spans="1:6" x14ac:dyDescent="0.25">
      <c r="A219" vm="636">
        <f ca="1"/>
        <v>45974</v>
      </c>
      <c r="B219" vm="1296">
        <f ca="1"/>
        <v>5.17</v>
      </c>
      <c r="C219" vm="2282">
        <f ca="1"/>
        <v>5.65</v>
      </c>
      <c r="D219" vm="1873">
        <f ca="1"/>
        <v>5.67</v>
      </c>
      <c r="E219" vm="1304">
        <f ca="1"/>
        <v>5.14</v>
      </c>
      <c r="F219" vm="2356">
        <f ca="1"/>
        <v>7080003</v>
      </c>
    </row>
    <row r="220" spans="1:6" x14ac:dyDescent="0.25">
      <c r="A220" vm="637">
        <f ca="1"/>
        <v>45975</v>
      </c>
      <c r="B220" vm="1845">
        <f ca="1"/>
        <v>5.08</v>
      </c>
      <c r="C220" vm="2357">
        <f ca="1"/>
        <v>4.96</v>
      </c>
      <c r="D220" vm="1297">
        <f ca="1"/>
        <v>5.12</v>
      </c>
      <c r="E220" vm="1262">
        <f ca="1"/>
        <v>4.8</v>
      </c>
      <c r="F220" vm="2358">
        <f ca="1"/>
        <v>9796592</v>
      </c>
    </row>
    <row r="221" spans="1:6" x14ac:dyDescent="0.25">
      <c r="A221" vm="639">
        <f ca="1"/>
        <v>45978</v>
      </c>
      <c r="B221" vm="2359">
        <f ca="1"/>
        <v>4.8849999999999998</v>
      </c>
      <c r="C221" vm="2360">
        <f ca="1"/>
        <v>5.0650000000000004</v>
      </c>
      <c r="D221" vm="2361">
        <f ca="1"/>
        <v>5.0682</v>
      </c>
      <c r="E221" vm="2112">
        <f ca="1"/>
        <v>4.75</v>
      </c>
      <c r="F221" vm="2362">
        <f ca="1"/>
        <v>5825015</v>
      </c>
    </row>
    <row r="222" spans="1:6" x14ac:dyDescent="0.25">
      <c r="A222" vm="643">
        <f ca="1"/>
        <v>45979</v>
      </c>
      <c r="B222" vm="1878">
        <f ca="1"/>
        <v>5.42</v>
      </c>
      <c r="C222" vm="1224">
        <f ca="1"/>
        <v>4.8499999999999996</v>
      </c>
      <c r="D222" vm="1778">
        <f ca="1"/>
        <v>5.45</v>
      </c>
      <c r="E222" vm="2235">
        <f ca="1"/>
        <v>4.79</v>
      </c>
      <c r="F222" vm="2363">
        <f ca="1"/>
        <v>11619425</v>
      </c>
    </row>
    <row r="223" spans="1:6" x14ac:dyDescent="0.25">
      <c r="A223" vm="644">
        <f ca="1"/>
        <v>45980</v>
      </c>
      <c r="B223" vm="1309">
        <f ca="1"/>
        <v>5.35</v>
      </c>
      <c r="C223" vm="1286">
        <f ca="1"/>
        <v>5.76</v>
      </c>
      <c r="D223" vm="2204">
        <f ca="1"/>
        <v>5.87</v>
      </c>
      <c r="E223" vm="1889">
        <f ca="1"/>
        <v>5.34</v>
      </c>
      <c r="F223" vm="2364">
        <f ca="1"/>
        <v>14352595</v>
      </c>
    </row>
    <row r="224" spans="1:6" x14ac:dyDescent="0.25">
      <c r="A224" vm="647">
        <f ca="1"/>
        <v>45981</v>
      </c>
      <c r="B224" vm="1526">
        <f ca="1"/>
        <v>5.21</v>
      </c>
      <c r="C224" vm="1274">
        <f ca="1"/>
        <v>5.49</v>
      </c>
      <c r="D224" vm="1883">
        <f ca="1"/>
        <v>5.99</v>
      </c>
      <c r="E224" vm="1770">
        <f ca="1"/>
        <v>5.2</v>
      </c>
      <c r="F224" vm="2365">
        <f ca="1"/>
        <v>9546498</v>
      </c>
    </row>
    <row r="225" spans="1:6" x14ac:dyDescent="0.25">
      <c r="A225" vm="648">
        <f ca="1"/>
        <v>45982</v>
      </c>
      <c r="B225" vm="1296">
        <f ca="1"/>
        <v>5.17</v>
      </c>
      <c r="C225" vm="1842">
        <f ca="1"/>
        <v>5.18</v>
      </c>
      <c r="D225" vm="2257">
        <f ca="1"/>
        <v>5.22</v>
      </c>
      <c r="E225" vm="1876">
        <f ca="1"/>
        <v>4.87</v>
      </c>
      <c r="F225" vm="2366">
        <f ca="1"/>
        <v>5792363</v>
      </c>
    </row>
    <row r="226" spans="1:6" x14ac:dyDescent="0.25">
      <c r="A226" vm="650">
        <f ca="1"/>
        <v>45985</v>
      </c>
      <c r="B226" vm="1889">
        <f ca="1"/>
        <v>5.34</v>
      </c>
      <c r="C226" vm="1270">
        <f ca="1"/>
        <v>5.23</v>
      </c>
      <c r="D226" vm="2367">
        <f ca="1"/>
        <v>5.3799000000000001</v>
      </c>
      <c r="E226" vm="1293">
        <f ca="1"/>
        <v>5.15</v>
      </c>
      <c r="F226" vm="2368">
        <f ca="1"/>
        <v>4197811</v>
      </c>
    </row>
    <row r="227" spans="1:6" x14ac:dyDescent="0.25">
      <c r="A227" vm="651">
        <f ca="1"/>
        <v>45986</v>
      </c>
      <c r="B227" vm="1281">
        <f ca="1"/>
        <v>5.43</v>
      </c>
      <c r="C227" vm="2265">
        <f ca="1"/>
        <v>5.32</v>
      </c>
      <c r="D227" vm="1879">
        <f ca="1"/>
        <v>5.44</v>
      </c>
      <c r="E227" vm="1774">
        <f ca="1"/>
        <v>5.03</v>
      </c>
      <c r="F227" vm="2369">
        <f ca="1"/>
        <v>4461081</v>
      </c>
    </row>
    <row r="228" spans="1:6" x14ac:dyDescent="0.25">
      <c r="A228" vm="653">
        <f ca="1"/>
        <v>45987</v>
      </c>
      <c r="B228" vm="1314">
        <f ca="1"/>
        <v>5.83</v>
      </c>
      <c r="C228" vm="1319">
        <f ca="1"/>
        <v>5.53</v>
      </c>
      <c r="D228" vm="2370">
        <f ca="1"/>
        <v>5.9749999999999996</v>
      </c>
      <c r="E228" vm="1273">
        <f ca="1"/>
        <v>5.47</v>
      </c>
      <c r="F228" vm="2371">
        <f ca="1"/>
        <v>16260282</v>
      </c>
    </row>
    <row r="229" spans="1:6" x14ac:dyDescent="0.25">
      <c r="A229" vm="655">
        <f ca="1"/>
        <v>45989</v>
      </c>
      <c r="B229" vm="1881">
        <f ca="1"/>
        <v>6.96</v>
      </c>
      <c r="C229" vm="1338">
        <f ca="1"/>
        <v>6.56</v>
      </c>
      <c r="D229" vm="2297">
        <f ca="1"/>
        <v>7.07</v>
      </c>
      <c r="E229" vm="2372">
        <f ca="1"/>
        <v>6.2786</v>
      </c>
      <c r="F229" vm="2373">
        <f ca="1"/>
        <v>17733538</v>
      </c>
    </row>
    <row r="230" spans="1:6" x14ac:dyDescent="0.25">
      <c r="A230" vm="656">
        <f ca="1"/>
        <v>45992</v>
      </c>
      <c r="B230" vm="2374">
        <f ca="1"/>
        <v>6.2850000000000001</v>
      </c>
      <c r="C230" vm="1365">
        <f ca="1"/>
        <v>6.61</v>
      </c>
      <c r="D230" vm="1814">
        <f ca="1"/>
        <v>6.66</v>
      </c>
      <c r="E230" vm="1919">
        <f ca="1"/>
        <v>6.26</v>
      </c>
      <c r="F230" vm="2375">
        <f ca="1"/>
        <v>11619603</v>
      </c>
    </row>
    <row r="231" spans="1:6" x14ac:dyDescent="0.25">
      <c r="A231" vm="659">
        <f ca="1"/>
        <v>45993</v>
      </c>
      <c r="B231" vm="2151">
        <f ca="1"/>
        <v>7.4</v>
      </c>
      <c r="C231" vm="1851">
        <f ca="1"/>
        <v>6.77</v>
      </c>
      <c r="D231" vm="1381">
        <f ca="1"/>
        <v>7.64</v>
      </c>
      <c r="E231" vm="1525">
        <f ca="1"/>
        <v>6.72</v>
      </c>
      <c r="F231" vm="2376">
        <f ca="1"/>
        <v>23049762</v>
      </c>
    </row>
    <row r="232" spans="1:6" x14ac:dyDescent="0.25">
      <c r="A232" vm="660">
        <f ca="1"/>
        <v>45994</v>
      </c>
      <c r="B232" vm="1794">
        <f ca="1"/>
        <v>7.72</v>
      </c>
      <c r="C232" vm="1788">
        <f ca="1"/>
        <v>7.23</v>
      </c>
      <c r="D232" vm="1791">
        <f ca="1"/>
        <v>7.75</v>
      </c>
      <c r="E232" vm="2377">
        <f ca="1"/>
        <v>7.0145</v>
      </c>
      <c r="F232" vm="2378">
        <f ca="1"/>
        <v>11020068</v>
      </c>
    </row>
    <row r="233" spans="1:6" x14ac:dyDescent="0.25">
      <c r="A233" vm="662">
        <f ca="1"/>
        <v>45995</v>
      </c>
      <c r="B233" vm="1793">
        <f ca="1"/>
        <v>7.8</v>
      </c>
      <c r="C233" vm="244">
        <f ca="1"/>
        <v>7.43</v>
      </c>
      <c r="D233" vm="588">
        <f ca="1"/>
        <v>8.08</v>
      </c>
      <c r="E233" vm="1369">
        <f ca="1"/>
        <v>7.3</v>
      </c>
      <c r="F233" vm="2379">
        <f ca="1"/>
        <v>10816788</v>
      </c>
    </row>
    <row r="234" spans="1:6" x14ac:dyDescent="0.25">
      <c r="A234" vm="665">
        <f ca="1"/>
        <v>45996</v>
      </c>
      <c r="B234" vm="1909">
        <f ca="1"/>
        <v>7.59</v>
      </c>
      <c r="C234" vm="1907">
        <f ca="1"/>
        <v>7.74</v>
      </c>
      <c r="D234" vm="252">
        <f ca="1"/>
        <v>7.89</v>
      </c>
      <c r="E234" vm="1795">
        <f ca="1"/>
        <v>7.57</v>
      </c>
      <c r="F234" vm="2380">
        <f ca="1"/>
        <v>6135868</v>
      </c>
    </row>
    <row r="235" spans="1:6" x14ac:dyDescent="0.25">
      <c r="A235" vm="668">
        <f ca="1"/>
        <v>45999</v>
      </c>
      <c r="B235" vm="1793">
        <f ca="1"/>
        <v>7.8</v>
      </c>
      <c r="C235" vm="1387">
        <f ca="1"/>
        <v>7.61</v>
      </c>
      <c r="D235" vm="615">
        <f ca="1"/>
        <v>8.14</v>
      </c>
      <c r="E235" vm="1909">
        <f ca="1"/>
        <v>7.59</v>
      </c>
      <c r="F235" vm="2381">
        <f ca="1"/>
        <v>9863591</v>
      </c>
    </row>
    <row r="236" spans="1:6" x14ac:dyDescent="0.25">
      <c r="A236" vm="671">
        <f ca="1"/>
        <v>46000</v>
      </c>
      <c r="B236" vm="1907">
        <f ca="1"/>
        <v>7.74</v>
      </c>
      <c r="C236" vm="1386">
        <f ca="1"/>
        <v>7.6</v>
      </c>
      <c r="D236" vm="1385">
        <f ca="1"/>
        <v>7.86</v>
      </c>
      <c r="E236" vm="1789">
        <f ca="1"/>
        <v>7.35</v>
      </c>
      <c r="F236" vm="2382">
        <f ca="1"/>
        <v>5847717</v>
      </c>
    </row>
    <row r="237" spans="1:6" x14ac:dyDescent="0.25">
      <c r="A237" vm="675">
        <f ca="1"/>
        <v>46001</v>
      </c>
      <c r="B237" vm="2383">
        <f ca="1"/>
        <v>200.78</v>
      </c>
      <c r="C237" vm="2384">
        <f ca="1"/>
        <v>198.79</v>
      </c>
      <c r="D237" vm="2385">
        <f ca="1"/>
        <v>200.9</v>
      </c>
      <c r="E237" vm="2384">
        <f ca="1"/>
        <v>198.79</v>
      </c>
      <c r="F237" vm="2386">
        <f ca="1"/>
        <v>245881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37"/>
  <sheetViews>
    <sheetView workbookViewId="0">
      <selection activeCell="B1" activeCellId="1" sqref="A1:A1048576 B1:B1048576"/>
    </sheetView>
  </sheetViews>
  <sheetFormatPr defaultRowHeight="15" x14ac:dyDescent="0.25"/>
  <cols>
    <col min="1" max="1" width="9.42578125" bestFit="1" customWidth="1"/>
  </cols>
  <sheetData>
    <row r="1" spans="1:6" x14ac:dyDescent="0.25">
      <c r="A1" t="str" cm="1">
        <f t="array" aca="1" ref="A1:F237" ca="1">_xlfn.STOCKHISTORY("FOLD", DATE(YEAR(TODAY()),1,1), TODAY(), 0, 1, 0,1,2,3,4, 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5">
      <c r="A2" vm="1">
        <f ca="1"/>
        <v>45659</v>
      </c>
      <c r="B2" vm="567">
        <f ca="1"/>
        <v>9.31</v>
      </c>
      <c r="C2" vm="519">
        <f ca="1"/>
        <v>9.48</v>
      </c>
      <c r="D2" vm="500">
        <f ca="1"/>
        <v>9.57</v>
      </c>
      <c r="E2" vm="334">
        <f ca="1"/>
        <v>9.2899999999999991</v>
      </c>
      <c r="F2" vm="2387">
        <f ca="1"/>
        <v>2349968</v>
      </c>
    </row>
    <row r="3" spans="1:6" x14ac:dyDescent="0.25">
      <c r="A3" vm="5">
        <f ca="1"/>
        <v>45660</v>
      </c>
      <c r="B3" vm="318">
        <f ca="1"/>
        <v>9.41</v>
      </c>
      <c r="C3" vm="330">
        <f ca="1"/>
        <v>9.32</v>
      </c>
      <c r="D3" vm="396">
        <f ca="1"/>
        <v>9.52</v>
      </c>
      <c r="E3" vm="377">
        <f ca="1"/>
        <v>9.27</v>
      </c>
      <c r="F3" vm="2388">
        <f ca="1"/>
        <v>1692753</v>
      </c>
    </row>
    <row r="4" spans="1:6" x14ac:dyDescent="0.25">
      <c r="A4" vm="9">
        <f ca="1"/>
        <v>45663</v>
      </c>
      <c r="B4" vm="482">
        <f ca="1"/>
        <v>9.3000000000000007</v>
      </c>
      <c r="C4" vm="318">
        <f ca="1"/>
        <v>9.41</v>
      </c>
      <c r="D4" vm="544">
        <f ca="1"/>
        <v>9.49</v>
      </c>
      <c r="E4" vm="474">
        <f ca="1"/>
        <v>9.2799999999999994</v>
      </c>
      <c r="F4" vm="2389">
        <f ca="1"/>
        <v>1636312</v>
      </c>
    </row>
    <row r="5" spans="1:6" x14ac:dyDescent="0.25">
      <c r="A5" vm="13">
        <f ca="1"/>
        <v>45664</v>
      </c>
      <c r="B5" vm="493">
        <f ca="1"/>
        <v>9.36</v>
      </c>
      <c r="C5" vm="475">
        <f ca="1"/>
        <v>9.33</v>
      </c>
      <c r="D5" vm="326">
        <f ca="1"/>
        <v>9.5399999999999991</v>
      </c>
      <c r="E5" vm="334">
        <f ca="1"/>
        <v>9.2899999999999991</v>
      </c>
      <c r="F5" vm="2390">
        <f ca="1"/>
        <v>1600118</v>
      </c>
    </row>
    <row r="6" spans="1:6" x14ac:dyDescent="0.25">
      <c r="A6" vm="15">
        <f ca="1"/>
        <v>45665</v>
      </c>
      <c r="B6" vm="392">
        <f ca="1"/>
        <v>9.4600000000000009</v>
      </c>
      <c r="C6" vm="506">
        <f ca="1"/>
        <v>9.3699999999999992</v>
      </c>
      <c r="D6" vm="326">
        <f ca="1"/>
        <v>9.5399999999999991</v>
      </c>
      <c r="E6" vm="384">
        <f ca="1"/>
        <v>9.15</v>
      </c>
      <c r="F6" vm="2391">
        <f ca="1"/>
        <v>2820828</v>
      </c>
    </row>
    <row r="7" spans="1:6" x14ac:dyDescent="0.25">
      <c r="A7" vm="19">
        <f ca="1"/>
        <v>45667</v>
      </c>
      <c r="B7" vm="530">
        <f ca="1"/>
        <v>9.02</v>
      </c>
      <c r="C7" vm="327">
        <f ca="1"/>
        <v>9.34</v>
      </c>
      <c r="D7" vm="327">
        <f ca="1"/>
        <v>9.34</v>
      </c>
      <c r="E7" vm="288">
        <f ca="1"/>
        <v>8.8450000000000006</v>
      </c>
      <c r="F7" vm="2392">
        <f ca="1"/>
        <v>3244248</v>
      </c>
    </row>
    <row r="8" spans="1:6" x14ac:dyDescent="0.25">
      <c r="A8" vm="23">
        <f ca="1"/>
        <v>45670</v>
      </c>
      <c r="B8" vm="496">
        <f ca="1"/>
        <v>9.23</v>
      </c>
      <c r="C8" vm="638">
        <f ca="1"/>
        <v>9.44</v>
      </c>
      <c r="D8" vm="638">
        <f ca="1"/>
        <v>9.44</v>
      </c>
      <c r="E8" vm="2393">
        <f ca="1"/>
        <v>8.7850000000000001</v>
      </c>
      <c r="F8" vm="2394">
        <f ca="1"/>
        <v>3587088</v>
      </c>
    </row>
    <row r="9" spans="1:6" x14ac:dyDescent="0.25">
      <c r="A9" vm="27">
        <f ca="1"/>
        <v>45671</v>
      </c>
      <c r="B9" vm="226">
        <f ca="1"/>
        <v>9.2100000000000009</v>
      </c>
      <c r="C9" vm="478">
        <f ca="1"/>
        <v>9.1999999999999993</v>
      </c>
      <c r="D9" vm="521">
        <f ca="1"/>
        <v>9.39</v>
      </c>
      <c r="E9" vm="317">
        <f ca="1"/>
        <v>9.1</v>
      </c>
      <c r="F9" vm="2395">
        <f ca="1"/>
        <v>4134129</v>
      </c>
    </row>
    <row r="10" spans="1:6" x14ac:dyDescent="0.25">
      <c r="A10" vm="31">
        <f ca="1"/>
        <v>45672</v>
      </c>
      <c r="B10" vm="377">
        <f ca="1"/>
        <v>9.27</v>
      </c>
      <c r="C10" vm="657">
        <f ca="1"/>
        <v>9.35</v>
      </c>
      <c r="D10" vm="318">
        <f ca="1"/>
        <v>9.41</v>
      </c>
      <c r="E10" vm="1841">
        <f ca="1"/>
        <v>9.1150000000000002</v>
      </c>
      <c r="F10" vm="2396">
        <f ca="1"/>
        <v>2504613</v>
      </c>
    </row>
    <row r="11" spans="1:6" x14ac:dyDescent="0.25">
      <c r="A11" vm="35">
        <f ca="1"/>
        <v>45673</v>
      </c>
      <c r="B11" vm="493">
        <f ca="1"/>
        <v>9.36</v>
      </c>
      <c r="C11" vm="225">
        <f ca="1"/>
        <v>9.26</v>
      </c>
      <c r="D11" vm="2397">
        <f ca="1"/>
        <v>9.4649999999999999</v>
      </c>
      <c r="E11" vm="329">
        <f ca="1"/>
        <v>9.19</v>
      </c>
      <c r="F11" vm="2398">
        <f ca="1"/>
        <v>2265083</v>
      </c>
    </row>
    <row r="12" spans="1:6" x14ac:dyDescent="0.25">
      <c r="A12" vm="39">
        <f ca="1"/>
        <v>45674</v>
      </c>
      <c r="B12" vm="318">
        <f ca="1"/>
        <v>9.41</v>
      </c>
      <c r="C12" vm="392">
        <f ca="1"/>
        <v>9.4600000000000009</v>
      </c>
      <c r="D12" vm="392">
        <f ca="1"/>
        <v>9.4600000000000009</v>
      </c>
      <c r="E12" vm="226">
        <f ca="1"/>
        <v>9.2100000000000009</v>
      </c>
      <c r="F12" vm="2399">
        <f ca="1"/>
        <v>1610164</v>
      </c>
    </row>
    <row r="13" spans="1:6" x14ac:dyDescent="0.25">
      <c r="A13" vm="43">
        <f ca="1"/>
        <v>45678</v>
      </c>
      <c r="B13" vm="1435">
        <f ca="1"/>
        <v>9.51</v>
      </c>
      <c r="C13" vm="321">
        <f ca="1"/>
        <v>9.5</v>
      </c>
      <c r="D13" vm="658">
        <f ca="1"/>
        <v>9.6300000000000008</v>
      </c>
      <c r="E13" vm="413">
        <f ca="1"/>
        <v>9.3949999999999996</v>
      </c>
      <c r="F13" vm="2400">
        <f ca="1"/>
        <v>1774523</v>
      </c>
    </row>
    <row r="14" spans="1:6" x14ac:dyDescent="0.25">
      <c r="A14" vm="47">
        <f ca="1"/>
        <v>45679</v>
      </c>
      <c r="B14" vm="326">
        <f ca="1"/>
        <v>9.5399999999999991</v>
      </c>
      <c r="C14" vm="321">
        <f ca="1"/>
        <v>9.5</v>
      </c>
      <c r="D14" vm="528">
        <f ca="1"/>
        <v>9.61</v>
      </c>
      <c r="E14" vm="325">
        <f ca="1"/>
        <v>9.4700000000000006</v>
      </c>
      <c r="F14" vm="2401">
        <f ca="1"/>
        <v>1635456</v>
      </c>
    </row>
    <row r="15" spans="1:6" x14ac:dyDescent="0.25">
      <c r="A15" vm="51">
        <f ca="1"/>
        <v>45680</v>
      </c>
      <c r="B15" vm="484">
        <f ca="1"/>
        <v>9.65</v>
      </c>
      <c r="C15" vm="442">
        <f ca="1"/>
        <v>9.4499999999999993</v>
      </c>
      <c r="D15" vm="751">
        <f ca="1"/>
        <v>9.73</v>
      </c>
      <c r="E15" vm="318">
        <f ca="1"/>
        <v>9.41</v>
      </c>
      <c r="F15" vm="2402">
        <f ca="1"/>
        <v>1864692</v>
      </c>
    </row>
    <row r="16" spans="1:6" x14ac:dyDescent="0.25">
      <c r="A16" vm="55">
        <f ca="1"/>
        <v>45681</v>
      </c>
      <c r="B16" vm="528">
        <f ca="1"/>
        <v>9.61</v>
      </c>
      <c r="C16" vm="393">
        <f ca="1"/>
        <v>9.6</v>
      </c>
      <c r="D16" vm="1434">
        <f ca="1"/>
        <v>9.74</v>
      </c>
      <c r="E16" vm="542">
        <f ca="1"/>
        <v>9.43</v>
      </c>
      <c r="F16" vm="2403">
        <f ca="1"/>
        <v>1887373</v>
      </c>
    </row>
    <row r="17" spans="1:6" x14ac:dyDescent="0.25">
      <c r="A17" vm="59">
        <f ca="1"/>
        <v>45684</v>
      </c>
      <c r="B17" vm="2404">
        <f ca="1"/>
        <v>9.68</v>
      </c>
      <c r="C17" vm="528">
        <f ca="1"/>
        <v>9.61</v>
      </c>
      <c r="D17" vm="1395">
        <f ca="1"/>
        <v>9.83</v>
      </c>
      <c r="E17" vm="508">
        <f ca="1"/>
        <v>9.5749999999999993</v>
      </c>
      <c r="F17" vm="2405">
        <f ca="1"/>
        <v>1831330</v>
      </c>
    </row>
    <row r="18" spans="1:6" x14ac:dyDescent="0.25">
      <c r="A18" vm="63">
        <f ca="1"/>
        <v>45685</v>
      </c>
      <c r="B18" vm="487">
        <f ca="1"/>
        <v>9.66</v>
      </c>
      <c r="C18" vm="487">
        <f ca="1"/>
        <v>9.66</v>
      </c>
      <c r="D18" vm="670">
        <f ca="1"/>
        <v>9.81</v>
      </c>
      <c r="E18" vm="393">
        <f ca="1"/>
        <v>9.6</v>
      </c>
      <c r="F18" vm="2406">
        <f ca="1"/>
        <v>1964198</v>
      </c>
    </row>
    <row r="19" spans="1:6" x14ac:dyDescent="0.25">
      <c r="A19" vm="67">
        <f ca="1"/>
        <v>45686</v>
      </c>
      <c r="B19" vm="748">
        <f ca="1"/>
        <v>9.59</v>
      </c>
      <c r="C19" vm="393">
        <f ca="1"/>
        <v>9.6</v>
      </c>
      <c r="D19" vm="768">
        <f ca="1"/>
        <v>9.7200000000000006</v>
      </c>
      <c r="E19" vm="2397">
        <f ca="1"/>
        <v>9.4649999999999999</v>
      </c>
      <c r="F19" vm="2407">
        <f ca="1"/>
        <v>1683979</v>
      </c>
    </row>
    <row r="20" spans="1:6" x14ac:dyDescent="0.25">
      <c r="A20" vm="71">
        <f ca="1"/>
        <v>45687</v>
      </c>
      <c r="B20" vm="322">
        <f ca="1"/>
        <v>9.64</v>
      </c>
      <c r="C20" vm="658">
        <f ca="1"/>
        <v>9.6300000000000008</v>
      </c>
      <c r="D20" vm="661">
        <f ca="1"/>
        <v>9.8000000000000007</v>
      </c>
      <c r="E20" vm="402">
        <f ca="1"/>
        <v>9.5299999999999994</v>
      </c>
      <c r="F20" vm="2408">
        <f ca="1"/>
        <v>1627045</v>
      </c>
    </row>
    <row r="21" spans="1:6" x14ac:dyDescent="0.25">
      <c r="A21" vm="75">
        <f ca="1"/>
        <v>45688</v>
      </c>
      <c r="B21" vm="408">
        <f ca="1"/>
        <v>9.58</v>
      </c>
      <c r="C21" vm="535">
        <f ca="1"/>
        <v>9.6199999999999992</v>
      </c>
      <c r="D21" vm="751">
        <f ca="1"/>
        <v>9.73</v>
      </c>
      <c r="E21" vm="439">
        <f ca="1"/>
        <v>9.5549999999999997</v>
      </c>
      <c r="F21" vm="2409">
        <f ca="1"/>
        <v>1743009</v>
      </c>
    </row>
    <row r="22" spans="1:6" x14ac:dyDescent="0.25">
      <c r="A22" vm="78">
        <f ca="1"/>
        <v>45691</v>
      </c>
      <c r="B22" vm="322">
        <f ca="1"/>
        <v>9.64</v>
      </c>
      <c r="C22" vm="638">
        <f ca="1"/>
        <v>9.44</v>
      </c>
      <c r="D22" vm="2404">
        <f ca="1"/>
        <v>9.68</v>
      </c>
      <c r="E22" vm="521">
        <f ca="1"/>
        <v>9.39</v>
      </c>
      <c r="F22" vm="2410">
        <f ca="1"/>
        <v>1503915</v>
      </c>
    </row>
    <row r="23" spans="1:6" x14ac:dyDescent="0.25">
      <c r="A23" vm="82">
        <f ca="1"/>
        <v>45692</v>
      </c>
      <c r="B23" vm="497">
        <f ca="1"/>
        <v>9.76</v>
      </c>
      <c r="C23" vm="535">
        <f ca="1"/>
        <v>9.6199999999999992</v>
      </c>
      <c r="D23" vm="1870">
        <f ca="1"/>
        <v>9.85</v>
      </c>
      <c r="E23" vm="528">
        <f ca="1"/>
        <v>9.61</v>
      </c>
      <c r="F23" vm="2411">
        <f ca="1"/>
        <v>1311567</v>
      </c>
    </row>
    <row r="24" spans="1:6" x14ac:dyDescent="0.25">
      <c r="A24" vm="85">
        <f ca="1"/>
        <v>45693</v>
      </c>
      <c r="B24" vm="400">
        <f ca="1"/>
        <v>9.7799999999999994</v>
      </c>
      <c r="C24" vm="661">
        <f ca="1"/>
        <v>9.8000000000000007</v>
      </c>
      <c r="D24" vm="755">
        <f ca="1"/>
        <v>9.9499999999999993</v>
      </c>
      <c r="E24" vm="2412">
        <f ca="1"/>
        <v>9.6649999999999991</v>
      </c>
      <c r="F24" vm="2413">
        <f ca="1"/>
        <v>1843664</v>
      </c>
    </row>
    <row r="25" spans="1:6" x14ac:dyDescent="0.25">
      <c r="A25" vm="88">
        <f ca="1"/>
        <v>45694</v>
      </c>
      <c r="B25" vm="1395">
        <f ca="1"/>
        <v>9.83</v>
      </c>
      <c r="C25" vm="400">
        <f ca="1"/>
        <v>9.7799999999999994</v>
      </c>
      <c r="D25" vm="540">
        <f ca="1"/>
        <v>9.91</v>
      </c>
      <c r="E25" vm="2404">
        <f ca="1"/>
        <v>9.68</v>
      </c>
      <c r="F25" vm="2414">
        <f ca="1"/>
        <v>2385274</v>
      </c>
    </row>
    <row r="26" spans="1:6" x14ac:dyDescent="0.25">
      <c r="A26" vm="92">
        <f ca="1"/>
        <v>45695</v>
      </c>
      <c r="B26" vm="484">
        <f ca="1"/>
        <v>9.65</v>
      </c>
      <c r="C26" vm="1433">
        <f ca="1"/>
        <v>9.84</v>
      </c>
      <c r="D26" vm="1433">
        <f ca="1"/>
        <v>9.84</v>
      </c>
      <c r="E26" vm="321">
        <f ca="1"/>
        <v>9.5</v>
      </c>
      <c r="F26" vm="2415">
        <f ca="1"/>
        <v>2826031</v>
      </c>
    </row>
    <row r="27" spans="1:6" x14ac:dyDescent="0.25">
      <c r="A27" vm="95">
        <f ca="1"/>
        <v>45698</v>
      </c>
      <c r="B27" vm="322">
        <f ca="1"/>
        <v>9.64</v>
      </c>
      <c r="C27" vm="485">
        <f ca="1"/>
        <v>9.69</v>
      </c>
      <c r="D27" vm="2416">
        <f ca="1"/>
        <v>9.7249999999999996</v>
      </c>
      <c r="E27" vm="325">
        <f ca="1"/>
        <v>9.4700000000000006</v>
      </c>
      <c r="F27" vm="2417">
        <f ca="1"/>
        <v>2110970</v>
      </c>
    </row>
    <row r="28" spans="1:6" x14ac:dyDescent="0.25">
      <c r="A28" vm="98">
        <f ca="1"/>
        <v>45699</v>
      </c>
      <c r="B28" vm="500">
        <f ca="1"/>
        <v>9.57</v>
      </c>
      <c r="C28" vm="326">
        <f ca="1"/>
        <v>9.5399999999999991</v>
      </c>
      <c r="D28" vm="484">
        <f ca="1"/>
        <v>9.65</v>
      </c>
      <c r="E28" vm="2418">
        <f ca="1"/>
        <v>9.3149999999999995</v>
      </c>
      <c r="F28" vm="2419">
        <f ca="1"/>
        <v>2918602</v>
      </c>
    </row>
    <row r="29" spans="1:6" x14ac:dyDescent="0.25">
      <c r="A29" vm="101">
        <f ca="1"/>
        <v>45700</v>
      </c>
      <c r="B29" vm="738">
        <f ca="1"/>
        <v>9.5500000000000007</v>
      </c>
      <c r="C29" vm="438">
        <f ca="1"/>
        <v>9.3800000000000008</v>
      </c>
      <c r="D29" vm="748">
        <f ca="1"/>
        <v>9.59</v>
      </c>
      <c r="E29" vm="2420">
        <f ca="1"/>
        <v>9.3539999999999992</v>
      </c>
      <c r="F29" vm="2421">
        <f ca="1"/>
        <v>2927962</v>
      </c>
    </row>
    <row r="30" spans="1:6" x14ac:dyDescent="0.25">
      <c r="A30" vm="105">
        <f ca="1"/>
        <v>45701</v>
      </c>
      <c r="B30" vm="322">
        <f ca="1"/>
        <v>9.64</v>
      </c>
      <c r="C30" vm="658">
        <f ca="1"/>
        <v>9.6300000000000008</v>
      </c>
      <c r="D30" vm="768">
        <f ca="1"/>
        <v>9.7200000000000006</v>
      </c>
      <c r="E30" vm="411">
        <f ca="1"/>
        <v>9.4849999999999994</v>
      </c>
      <c r="F30" vm="2422">
        <f ca="1"/>
        <v>1782509</v>
      </c>
    </row>
    <row r="31" spans="1:6" x14ac:dyDescent="0.25">
      <c r="A31" vm="109">
        <f ca="1"/>
        <v>45702</v>
      </c>
      <c r="B31" vm="569">
        <f ca="1"/>
        <v>9.77</v>
      </c>
      <c r="C31" vm="2404">
        <f ca="1"/>
        <v>9.68</v>
      </c>
      <c r="D31" vm="676">
        <f ca="1"/>
        <v>9.82</v>
      </c>
      <c r="E31" vm="484">
        <f ca="1"/>
        <v>9.65</v>
      </c>
      <c r="F31" vm="2423">
        <f ca="1"/>
        <v>1966321</v>
      </c>
    </row>
    <row r="32" spans="1:6" x14ac:dyDescent="0.25">
      <c r="A32" vm="111">
        <f ca="1"/>
        <v>45706</v>
      </c>
      <c r="B32" vm="1870">
        <f ca="1"/>
        <v>9.85</v>
      </c>
      <c r="C32" vm="751">
        <f ca="1"/>
        <v>9.73</v>
      </c>
      <c r="D32" vm="525">
        <f ca="1"/>
        <v>9.94</v>
      </c>
      <c r="E32" vm="2404">
        <f ca="1"/>
        <v>9.68</v>
      </c>
      <c r="F32" vm="2424">
        <f ca="1"/>
        <v>2490354</v>
      </c>
    </row>
    <row r="33" spans="1:6" x14ac:dyDescent="0.25">
      <c r="A33" vm="115">
        <f ca="1"/>
        <v>45707</v>
      </c>
      <c r="B33" vm="404">
        <f ca="1"/>
        <v>9.56</v>
      </c>
      <c r="C33" vm="443">
        <f ca="1"/>
        <v>9.11</v>
      </c>
      <c r="D33" vm="401">
        <f ca="1"/>
        <v>10</v>
      </c>
      <c r="E33" vm="2425">
        <f ca="1"/>
        <v>9.0701000000000001</v>
      </c>
      <c r="F33" vm="2426">
        <f ca="1"/>
        <v>4438033</v>
      </c>
    </row>
    <row r="34" spans="1:6" x14ac:dyDescent="0.25">
      <c r="A34" vm="119">
        <f ca="1"/>
        <v>45708</v>
      </c>
      <c r="B34" vm="1542">
        <f ca="1"/>
        <v>9.07</v>
      </c>
      <c r="C34" vm="511">
        <f ca="1"/>
        <v>9.42</v>
      </c>
      <c r="D34" vm="322">
        <f ca="1"/>
        <v>9.64</v>
      </c>
      <c r="E34" vm="1388">
        <f ca="1"/>
        <v>9.0549999999999997</v>
      </c>
      <c r="F34" vm="2427">
        <f ca="1"/>
        <v>3323194</v>
      </c>
    </row>
    <row r="35" spans="1:6" x14ac:dyDescent="0.25">
      <c r="A35" vm="123">
        <f ca="1"/>
        <v>45709</v>
      </c>
      <c r="B35" vm="329">
        <f ca="1"/>
        <v>9.19</v>
      </c>
      <c r="C35" vm="384">
        <f ca="1"/>
        <v>9.15</v>
      </c>
      <c r="D35" vm="225">
        <f ca="1"/>
        <v>9.26</v>
      </c>
      <c r="E35" vm="530">
        <f ca="1"/>
        <v>9.02</v>
      </c>
      <c r="F35" vm="2428">
        <f ca="1"/>
        <v>2603411</v>
      </c>
    </row>
    <row r="36" spans="1:6" x14ac:dyDescent="0.25">
      <c r="A36" vm="127">
        <f ca="1"/>
        <v>45712</v>
      </c>
      <c r="B36" vm="327">
        <f ca="1"/>
        <v>9.34</v>
      </c>
      <c r="C36" vm="394">
        <f ca="1"/>
        <v>9.16</v>
      </c>
      <c r="D36" vm="439">
        <f ca="1"/>
        <v>9.5549999999999997</v>
      </c>
      <c r="E36" vm="331">
        <f ca="1"/>
        <v>9</v>
      </c>
      <c r="F36" vm="2429">
        <f ca="1"/>
        <v>3730640</v>
      </c>
    </row>
    <row r="37" spans="1:6" x14ac:dyDescent="0.25">
      <c r="A37" vm="131">
        <f ca="1"/>
        <v>45713</v>
      </c>
      <c r="B37" vm="443">
        <f ca="1"/>
        <v>9.11</v>
      </c>
      <c r="C37" vm="511">
        <f ca="1"/>
        <v>9.42</v>
      </c>
      <c r="D37" vm="738">
        <f ca="1"/>
        <v>9.5500000000000007</v>
      </c>
      <c r="E37" vm="373">
        <f ca="1"/>
        <v>9.09</v>
      </c>
      <c r="F37" vm="2430">
        <f ca="1"/>
        <v>2307275</v>
      </c>
    </row>
    <row r="38" spans="1:6" x14ac:dyDescent="0.25">
      <c r="A38" vm="135">
        <f ca="1"/>
        <v>45714</v>
      </c>
      <c r="B38" vm="383">
        <f ca="1"/>
        <v>9.0299999999999994</v>
      </c>
      <c r="C38" vm="1542">
        <f ca="1"/>
        <v>9.07</v>
      </c>
      <c r="D38" vm="436">
        <f ca="1"/>
        <v>9.1750000000000007</v>
      </c>
      <c r="E38" vm="331">
        <f ca="1"/>
        <v>9</v>
      </c>
      <c r="F38" vm="2431">
        <f ca="1"/>
        <v>1567224</v>
      </c>
    </row>
    <row r="39" spans="1:6" x14ac:dyDescent="0.25">
      <c r="A39" vm="139">
        <f ca="1"/>
        <v>45715</v>
      </c>
      <c r="B39" vm="329">
        <f ca="1"/>
        <v>9.19</v>
      </c>
      <c r="C39" vm="331">
        <f ca="1"/>
        <v>9</v>
      </c>
      <c r="D39" vm="511">
        <f ca="1"/>
        <v>9.42</v>
      </c>
      <c r="E39" vm="470">
        <f ca="1"/>
        <v>8.92</v>
      </c>
      <c r="F39" vm="2432">
        <f ca="1"/>
        <v>2374716</v>
      </c>
    </row>
    <row r="40" spans="1:6" x14ac:dyDescent="0.25">
      <c r="A40" vm="143">
        <f ca="1"/>
        <v>45716</v>
      </c>
      <c r="B40" vm="544">
        <f ca="1"/>
        <v>9.49</v>
      </c>
      <c r="C40" vm="518">
        <f ca="1"/>
        <v>9.2200000000000006</v>
      </c>
      <c r="D40" vm="321">
        <f ca="1"/>
        <v>9.5</v>
      </c>
      <c r="E40" vm="516">
        <f ca="1"/>
        <v>9.14</v>
      </c>
      <c r="F40" vm="2433">
        <f ca="1"/>
        <v>3037353</v>
      </c>
    </row>
    <row r="41" spans="1:6" x14ac:dyDescent="0.25">
      <c r="A41" vm="147">
        <f ca="1"/>
        <v>45719</v>
      </c>
      <c r="B41" vm="333">
        <f ca="1"/>
        <v>9.1300000000000008</v>
      </c>
      <c r="C41" vm="325">
        <f ca="1"/>
        <v>9.4700000000000006</v>
      </c>
      <c r="D41" vm="325">
        <f ca="1"/>
        <v>9.4700000000000006</v>
      </c>
      <c r="E41" vm="1841">
        <f ca="1"/>
        <v>9.1150000000000002</v>
      </c>
      <c r="F41" vm="2434">
        <f ca="1"/>
        <v>2569909</v>
      </c>
    </row>
    <row r="42" spans="1:6" x14ac:dyDescent="0.25">
      <c r="A42" vm="151">
        <f ca="1"/>
        <v>45720</v>
      </c>
      <c r="B42" vm="443">
        <f ca="1"/>
        <v>9.11</v>
      </c>
      <c r="C42" vm="384">
        <f ca="1"/>
        <v>9.15</v>
      </c>
      <c r="D42" vm="478">
        <f ca="1"/>
        <v>9.1999999999999993</v>
      </c>
      <c r="E42" vm="338">
        <f ca="1"/>
        <v>8.99</v>
      </c>
      <c r="F42" vm="2435">
        <f ca="1"/>
        <v>2528569</v>
      </c>
    </row>
    <row r="43" spans="1:6" x14ac:dyDescent="0.25">
      <c r="A43" vm="155">
        <f ca="1"/>
        <v>45721</v>
      </c>
      <c r="B43" vm="384">
        <f ca="1"/>
        <v>9.15</v>
      </c>
      <c r="C43" vm="443">
        <f ca="1"/>
        <v>9.11</v>
      </c>
      <c r="D43" vm="654">
        <f ca="1"/>
        <v>9.18</v>
      </c>
      <c r="E43" vm="572">
        <f ca="1"/>
        <v>9.06</v>
      </c>
      <c r="F43" vm="2436">
        <f ca="1"/>
        <v>2255109</v>
      </c>
    </row>
    <row r="44" spans="1:6" x14ac:dyDescent="0.25">
      <c r="A44" vm="159">
        <f ca="1"/>
        <v>45722</v>
      </c>
      <c r="B44" vm="530">
        <f ca="1"/>
        <v>9.02</v>
      </c>
      <c r="C44" vm="373">
        <f ca="1"/>
        <v>9.09</v>
      </c>
      <c r="D44" vm="226">
        <f ca="1"/>
        <v>9.2100000000000009</v>
      </c>
      <c r="E44" vm="331">
        <f ca="1"/>
        <v>9</v>
      </c>
      <c r="F44" vm="2437">
        <f ca="1"/>
        <v>1976112</v>
      </c>
    </row>
    <row r="45" spans="1:6" x14ac:dyDescent="0.25">
      <c r="A45" vm="162">
        <f ca="1"/>
        <v>45723</v>
      </c>
      <c r="B45" vm="476">
        <f ca="1"/>
        <v>8.86</v>
      </c>
      <c r="C45" vm="530">
        <f ca="1"/>
        <v>9.02</v>
      </c>
      <c r="D45" vm="2438">
        <f ca="1"/>
        <v>9.0350000000000001</v>
      </c>
      <c r="E45" vm="552">
        <f ca="1"/>
        <v>8.8000000000000007</v>
      </c>
      <c r="F45" vm="2439">
        <f ca="1"/>
        <v>2019197</v>
      </c>
    </row>
    <row r="46" spans="1:6" x14ac:dyDescent="0.25">
      <c r="A46" vm="165">
        <f ca="1"/>
        <v>45726</v>
      </c>
      <c r="B46" vm="358">
        <f ca="1"/>
        <v>8.6300000000000008</v>
      </c>
      <c r="C46" vm="1895">
        <f ca="1"/>
        <v>8.7899999999999991</v>
      </c>
      <c r="D46" vm="1411">
        <f ca="1"/>
        <v>8.91</v>
      </c>
      <c r="E46" vm="2440">
        <f ca="1"/>
        <v>8.5449999999999999</v>
      </c>
      <c r="F46" vm="2441">
        <f ca="1"/>
        <v>2883783</v>
      </c>
    </row>
    <row r="47" spans="1:6" x14ac:dyDescent="0.25">
      <c r="A47" vm="169">
        <f ca="1"/>
        <v>45727</v>
      </c>
      <c r="B47" vm="428">
        <f ca="1"/>
        <v>8.8800000000000008</v>
      </c>
      <c r="C47" vm="467">
        <f ca="1"/>
        <v>8.64</v>
      </c>
      <c r="D47" vm="345">
        <f ca="1"/>
        <v>8.9600000000000009</v>
      </c>
      <c r="E47" vm="240">
        <f ca="1"/>
        <v>8.57</v>
      </c>
      <c r="F47" vm="2442">
        <f ca="1"/>
        <v>3632964</v>
      </c>
    </row>
    <row r="48" spans="1:6" x14ac:dyDescent="0.25">
      <c r="A48" vm="172">
        <f ca="1"/>
        <v>45728</v>
      </c>
      <c r="B48" vm="380">
        <f ca="1"/>
        <v>8.89</v>
      </c>
      <c r="C48" vm="640">
        <f ca="1"/>
        <v>8.8699999999999992</v>
      </c>
      <c r="D48" vm="331">
        <f ca="1"/>
        <v>9</v>
      </c>
      <c r="E48" vm="2443">
        <f ca="1"/>
        <v>8.7949999999999999</v>
      </c>
      <c r="F48" vm="2444">
        <f ca="1"/>
        <v>2417937</v>
      </c>
    </row>
    <row r="49" spans="1:6" x14ac:dyDescent="0.25">
      <c r="A49" vm="176">
        <f ca="1"/>
        <v>45729</v>
      </c>
      <c r="B49" vm="553">
        <f ca="1"/>
        <v>8.81</v>
      </c>
      <c r="C49" vm="586">
        <f ca="1"/>
        <v>8.94</v>
      </c>
      <c r="D49" vm="586">
        <f ca="1"/>
        <v>8.94</v>
      </c>
      <c r="E49" vm="579">
        <f ca="1"/>
        <v>8.7249999999999996</v>
      </c>
      <c r="F49" vm="2445">
        <f ca="1"/>
        <v>1666927</v>
      </c>
    </row>
    <row r="50" spans="1:6" x14ac:dyDescent="0.25">
      <c r="A50" vm="178">
        <f ca="1"/>
        <v>45730</v>
      </c>
      <c r="B50" vm="630">
        <f ca="1"/>
        <v>8.9</v>
      </c>
      <c r="C50" vm="640">
        <f ca="1"/>
        <v>8.8699999999999992</v>
      </c>
      <c r="D50" vm="331">
        <f ca="1"/>
        <v>9</v>
      </c>
      <c r="E50" vm="1895">
        <f ca="1"/>
        <v>8.7899999999999991</v>
      </c>
      <c r="F50" vm="2446">
        <f ca="1"/>
        <v>1804098</v>
      </c>
    </row>
    <row r="51" spans="1:6" x14ac:dyDescent="0.25">
      <c r="A51" vm="182">
        <f ca="1"/>
        <v>45733</v>
      </c>
      <c r="B51" vm="323">
        <f ca="1"/>
        <v>9.1199999999999992</v>
      </c>
      <c r="C51" vm="416">
        <f ca="1"/>
        <v>8.93</v>
      </c>
      <c r="D51" vm="323">
        <f ca="1"/>
        <v>9.1199999999999992</v>
      </c>
      <c r="E51" vm="1904">
        <f ca="1"/>
        <v>8.85</v>
      </c>
      <c r="F51" vm="2447">
        <f ca="1"/>
        <v>2015083</v>
      </c>
    </row>
    <row r="52" spans="1:6" x14ac:dyDescent="0.25">
      <c r="A52" vm="185">
        <f ca="1"/>
        <v>45734</v>
      </c>
      <c r="B52" vm="461">
        <f ca="1"/>
        <v>8.98</v>
      </c>
      <c r="C52" vm="443">
        <f ca="1"/>
        <v>9.11</v>
      </c>
      <c r="D52" vm="342">
        <f ca="1"/>
        <v>9.1649999999999991</v>
      </c>
      <c r="E52" vm="471">
        <f ca="1"/>
        <v>8.9649999999999999</v>
      </c>
      <c r="F52" vm="2448">
        <f ca="1"/>
        <v>1787365</v>
      </c>
    </row>
    <row r="53" spans="1:6" x14ac:dyDescent="0.25">
      <c r="A53" vm="189">
        <f ca="1"/>
        <v>45735</v>
      </c>
      <c r="B53" vm="478">
        <f ca="1"/>
        <v>9.1999999999999993</v>
      </c>
      <c r="C53" vm="341">
        <f ca="1"/>
        <v>9.0399999999999991</v>
      </c>
      <c r="D53" vm="2449">
        <f ca="1"/>
        <v>9.2349999999999994</v>
      </c>
      <c r="E53" vm="2450">
        <f ca="1"/>
        <v>8.9849999999999994</v>
      </c>
      <c r="F53" vm="2451">
        <f ca="1"/>
        <v>1865465</v>
      </c>
    </row>
    <row r="54" spans="1:6" x14ac:dyDescent="0.25">
      <c r="A54" vm="193">
        <f ca="1"/>
        <v>45736</v>
      </c>
      <c r="B54" vm="387">
        <f ca="1"/>
        <v>9.08</v>
      </c>
      <c r="C54" vm="443">
        <f ca="1"/>
        <v>9.11</v>
      </c>
      <c r="D54" vm="225">
        <f ca="1"/>
        <v>9.26</v>
      </c>
      <c r="E54" vm="1542">
        <f ca="1"/>
        <v>9.07</v>
      </c>
      <c r="F54" vm="2452">
        <f ca="1"/>
        <v>1535413</v>
      </c>
    </row>
    <row r="55" spans="1:6" x14ac:dyDescent="0.25">
      <c r="A55" vm="197">
        <f ca="1"/>
        <v>45737</v>
      </c>
      <c r="B55" vm="319">
        <f ca="1"/>
        <v>9.0050000000000008</v>
      </c>
      <c r="C55" vm="331">
        <f ca="1"/>
        <v>9</v>
      </c>
      <c r="D55" vm="329">
        <f ca="1"/>
        <v>9.19</v>
      </c>
      <c r="E55" vm="416">
        <f ca="1"/>
        <v>8.93</v>
      </c>
      <c r="F55" vm="2453">
        <f ca="1"/>
        <v>2929243</v>
      </c>
    </row>
    <row r="56" spans="1:6" x14ac:dyDescent="0.25">
      <c r="A56" vm="199">
        <f ca="1"/>
        <v>45740</v>
      </c>
      <c r="B56" vm="287">
        <f ca="1"/>
        <v>8.69</v>
      </c>
      <c r="C56" vm="1542">
        <f ca="1"/>
        <v>9.07</v>
      </c>
      <c r="D56" vm="387">
        <f ca="1"/>
        <v>9.08</v>
      </c>
      <c r="E56" vm="358">
        <f ca="1"/>
        <v>8.6300000000000008</v>
      </c>
      <c r="F56" vm="2454">
        <f ca="1"/>
        <v>5646959</v>
      </c>
    </row>
    <row r="57" spans="1:6" x14ac:dyDescent="0.25">
      <c r="A57" vm="203">
        <f ca="1"/>
        <v>45741</v>
      </c>
      <c r="B57" vm="299">
        <f ca="1"/>
        <v>8.6199999999999992</v>
      </c>
      <c r="C57" vm="362">
        <f ca="1"/>
        <v>8.6999999999999993</v>
      </c>
      <c r="D57" vm="300">
        <f ca="1"/>
        <v>8.7100000000000009</v>
      </c>
      <c r="E57" vm="625">
        <f ca="1"/>
        <v>8.52</v>
      </c>
      <c r="F57" vm="2455">
        <f ca="1"/>
        <v>3054325</v>
      </c>
    </row>
    <row r="58" spans="1:6" x14ac:dyDescent="0.25">
      <c r="A58" vm="207">
        <f ca="1"/>
        <v>45742</v>
      </c>
      <c r="B58" vm="625">
        <f ca="1"/>
        <v>8.52</v>
      </c>
      <c r="C58" vm="358">
        <f ca="1"/>
        <v>8.6300000000000008</v>
      </c>
      <c r="D58" vm="379">
        <f ca="1"/>
        <v>8.67</v>
      </c>
      <c r="E58" vm="612">
        <f ca="1"/>
        <v>8.4</v>
      </c>
      <c r="F58" vm="2456">
        <f ca="1"/>
        <v>2719892</v>
      </c>
    </row>
    <row r="59" spans="1:6" x14ac:dyDescent="0.25">
      <c r="A59" vm="209">
        <f ca="1"/>
        <v>45743</v>
      </c>
      <c r="B59" vm="265">
        <f ca="1"/>
        <v>8.59</v>
      </c>
      <c r="C59" vm="350">
        <f ca="1"/>
        <v>8.5399999999999991</v>
      </c>
      <c r="D59" vm="289">
        <f ca="1"/>
        <v>8.6</v>
      </c>
      <c r="E59" vm="2457">
        <f ca="1"/>
        <v>8.4939999999999998</v>
      </c>
      <c r="F59" vm="2458">
        <f ca="1"/>
        <v>2456640</v>
      </c>
    </row>
    <row r="60" spans="1:6" x14ac:dyDescent="0.25">
      <c r="A60" vm="212">
        <f ca="1"/>
        <v>45744</v>
      </c>
      <c r="B60" vm="237">
        <f ca="1"/>
        <v>8.43</v>
      </c>
      <c r="C60" vm="229">
        <f ca="1"/>
        <v>8.61</v>
      </c>
      <c r="D60" vm="381">
        <f ca="1"/>
        <v>8.6150000000000002</v>
      </c>
      <c r="E60" vm="348">
        <f ca="1"/>
        <v>8.36</v>
      </c>
      <c r="F60" vm="2459">
        <f ca="1"/>
        <v>3686661</v>
      </c>
    </row>
    <row r="61" spans="1:6" x14ac:dyDescent="0.25">
      <c r="A61" vm="216">
        <f ca="1"/>
        <v>45747</v>
      </c>
      <c r="B61" vm="277">
        <f ca="1"/>
        <v>8.16</v>
      </c>
      <c r="C61" vm="1412">
        <f ca="1"/>
        <v>8.31</v>
      </c>
      <c r="D61" vm="1412">
        <f ca="1"/>
        <v>8.31</v>
      </c>
      <c r="E61" vm="620">
        <f ca="1"/>
        <v>7.97</v>
      </c>
      <c r="F61" vm="2460">
        <f ca="1"/>
        <v>4766129</v>
      </c>
    </row>
    <row r="62" spans="1:6" x14ac:dyDescent="0.25">
      <c r="A62" vm="220">
        <f ca="1"/>
        <v>45748</v>
      </c>
      <c r="B62" vm="305">
        <f ca="1"/>
        <v>7.95</v>
      </c>
      <c r="C62" vm="1930">
        <f ca="1"/>
        <v>8.18</v>
      </c>
      <c r="D62" vm="297">
        <f ca="1"/>
        <v>8.24</v>
      </c>
      <c r="E62" vm="1541">
        <f ca="1"/>
        <v>7.9</v>
      </c>
      <c r="F62" vm="2461">
        <f ca="1"/>
        <v>2984272</v>
      </c>
    </row>
    <row r="63" spans="1:6" x14ac:dyDescent="0.25">
      <c r="A63" vm="223">
        <f ca="1"/>
        <v>45749</v>
      </c>
      <c r="B63" vm="602">
        <f ca="1"/>
        <v>7.99</v>
      </c>
      <c r="C63" vm="1413">
        <f ca="1"/>
        <v>7.87</v>
      </c>
      <c r="D63" vm="1428">
        <f ca="1"/>
        <v>8.02</v>
      </c>
      <c r="E63" vm="2462">
        <f ca="1"/>
        <v>7.8449999999999998</v>
      </c>
      <c r="F63" vm="2463">
        <f ca="1"/>
        <v>3208314</v>
      </c>
    </row>
    <row r="64" spans="1:6" x14ac:dyDescent="0.25">
      <c r="A64" vm="224">
        <f ca="1"/>
        <v>45750</v>
      </c>
      <c r="B64" vm="617">
        <f ca="1"/>
        <v>8</v>
      </c>
      <c r="C64" vm="1417">
        <f ca="1"/>
        <v>7.83</v>
      </c>
      <c r="D64" vm="589">
        <f ca="1"/>
        <v>8.06</v>
      </c>
      <c r="E64" vm="1794">
        <f ca="1"/>
        <v>7.72</v>
      </c>
      <c r="F64" vm="2464">
        <f ca="1"/>
        <v>4769343</v>
      </c>
    </row>
    <row r="65" spans="1:6" x14ac:dyDescent="0.25">
      <c r="A65" vm="227">
        <f ca="1"/>
        <v>45751</v>
      </c>
      <c r="B65" vm="1834">
        <f ca="1"/>
        <v>7.5</v>
      </c>
      <c r="C65" vm="252">
        <f ca="1"/>
        <v>7.89</v>
      </c>
      <c r="D65" vm="2465">
        <f ca="1"/>
        <v>7.8949999999999996</v>
      </c>
      <c r="E65" vm="2325">
        <f ca="1"/>
        <v>7.39</v>
      </c>
      <c r="F65" vm="2466">
        <f ca="1"/>
        <v>3184954</v>
      </c>
    </row>
    <row r="66" spans="1:6" x14ac:dyDescent="0.25">
      <c r="A66" vm="231">
        <f ca="1"/>
        <v>45754</v>
      </c>
      <c r="B66" vm="2161">
        <f ca="1"/>
        <v>7.15</v>
      </c>
      <c r="C66" vm="1369">
        <f ca="1"/>
        <v>7.3</v>
      </c>
      <c r="D66" vm="1856">
        <f ca="1"/>
        <v>7.54</v>
      </c>
      <c r="E66" vm="1850">
        <f ca="1"/>
        <v>6.99</v>
      </c>
      <c r="F66" vm="2467">
        <f ca="1"/>
        <v>3705206</v>
      </c>
    </row>
    <row r="67" spans="1:6" x14ac:dyDescent="0.25">
      <c r="A67" vm="235">
        <f ca="1"/>
        <v>45755</v>
      </c>
      <c r="B67" vm="1525">
        <f ca="1"/>
        <v>6.72</v>
      </c>
      <c r="C67" vm="1374">
        <f ca="1"/>
        <v>7.36</v>
      </c>
      <c r="D67" vm="1936">
        <f ca="1"/>
        <v>7.41</v>
      </c>
      <c r="E67" vm="2468">
        <f ca="1"/>
        <v>6.62</v>
      </c>
      <c r="F67" vm="2469">
        <f ca="1"/>
        <v>4582649</v>
      </c>
    </row>
    <row r="68" spans="1:6" x14ac:dyDescent="0.25">
      <c r="A68" vm="239">
        <f ca="1"/>
        <v>45756</v>
      </c>
      <c r="B68" vm="1915">
        <f ca="1"/>
        <v>6.89</v>
      </c>
      <c r="C68" vm="2470">
        <f ca="1"/>
        <v>6.53</v>
      </c>
      <c r="D68" vm="1810">
        <f ca="1"/>
        <v>7.06</v>
      </c>
      <c r="E68" vm="1782">
        <f ca="1"/>
        <v>6.2</v>
      </c>
      <c r="F68" vm="2471">
        <f ca="1"/>
        <v>9532942</v>
      </c>
    </row>
    <row r="69" spans="1:6" x14ac:dyDescent="0.25">
      <c r="A69" vm="243">
        <f ca="1"/>
        <v>45757</v>
      </c>
      <c r="B69" vm="2472">
        <f ca="1"/>
        <v>6.51</v>
      </c>
      <c r="C69" vm="1525">
        <f ca="1"/>
        <v>6.72</v>
      </c>
      <c r="D69" vm="1851">
        <f ca="1"/>
        <v>6.77</v>
      </c>
      <c r="E69" vm="2473">
        <f ca="1"/>
        <v>6.2249999999999996</v>
      </c>
      <c r="F69" vm="2474">
        <f ca="1"/>
        <v>4930212</v>
      </c>
    </row>
    <row r="70" spans="1:6" x14ac:dyDescent="0.25">
      <c r="A70" vm="247">
        <f ca="1"/>
        <v>45758</v>
      </c>
      <c r="B70" vm="1886">
        <f ca="1"/>
        <v>6.48</v>
      </c>
      <c r="C70" vm="1777">
        <f ca="1"/>
        <v>6.5</v>
      </c>
      <c r="D70" vm="1356">
        <f ca="1"/>
        <v>6.78</v>
      </c>
      <c r="E70" vm="2475">
        <f ca="1"/>
        <v>6.3250000000000002</v>
      </c>
      <c r="F70" vm="2476">
        <f ca="1"/>
        <v>3813104</v>
      </c>
    </row>
    <row r="71" spans="1:6" x14ac:dyDescent="0.25">
      <c r="A71" vm="251">
        <f ca="1"/>
        <v>45761</v>
      </c>
      <c r="B71" vm="1525">
        <f ca="1"/>
        <v>6.72</v>
      </c>
      <c r="C71" vm="1365">
        <f ca="1"/>
        <v>6.61</v>
      </c>
      <c r="D71" vm="2477">
        <f ca="1"/>
        <v>6.8650000000000002</v>
      </c>
      <c r="E71" vm="1348">
        <f ca="1"/>
        <v>6.47</v>
      </c>
      <c r="F71" vm="2478">
        <f ca="1"/>
        <v>2622993</v>
      </c>
    </row>
    <row r="72" spans="1:6" x14ac:dyDescent="0.25">
      <c r="A72" vm="255">
        <f ca="1"/>
        <v>45762</v>
      </c>
      <c r="B72" vm="1377">
        <f ca="1"/>
        <v>6.9</v>
      </c>
      <c r="C72" vm="1352">
        <f ca="1"/>
        <v>6.7</v>
      </c>
      <c r="D72" vm="2479">
        <f ca="1"/>
        <v>6.9450000000000003</v>
      </c>
      <c r="E72" vm="1352">
        <f ca="1"/>
        <v>6.7</v>
      </c>
      <c r="F72" vm="2480">
        <f ca="1"/>
        <v>3296548</v>
      </c>
    </row>
    <row r="73" spans="1:6" x14ac:dyDescent="0.25">
      <c r="A73" vm="259">
        <f ca="1"/>
        <v>45763</v>
      </c>
      <c r="B73" vm="1352">
        <f ca="1"/>
        <v>6.7</v>
      </c>
      <c r="C73" vm="1353">
        <f ca="1"/>
        <v>6.85</v>
      </c>
      <c r="D73" vm="1368">
        <f ca="1"/>
        <v>6.92</v>
      </c>
      <c r="E73" vm="1811">
        <f ca="1"/>
        <v>6.65</v>
      </c>
      <c r="F73" vm="2481">
        <f ca="1"/>
        <v>3313665</v>
      </c>
    </row>
    <row r="74" spans="1:6" x14ac:dyDescent="0.25">
      <c r="A74" vm="263">
        <f ca="1"/>
        <v>45764</v>
      </c>
      <c r="B74" vm="242">
        <f ca="1"/>
        <v>6.83</v>
      </c>
      <c r="C74" vm="1364">
        <f ca="1"/>
        <v>6.64</v>
      </c>
      <c r="D74" vm="1914">
        <f ca="1"/>
        <v>6.88</v>
      </c>
      <c r="E74" vm="2482">
        <f ca="1"/>
        <v>6.63</v>
      </c>
      <c r="F74" vm="2483">
        <f ca="1"/>
        <v>3105765</v>
      </c>
    </row>
    <row r="75" spans="1:6" x14ac:dyDescent="0.25">
      <c r="A75" vm="267">
        <f ca="1"/>
        <v>45768</v>
      </c>
      <c r="B75" vm="1912">
        <f ca="1"/>
        <v>6.71</v>
      </c>
      <c r="C75" vm="1356">
        <f ca="1"/>
        <v>6.78</v>
      </c>
      <c r="D75" vm="2484">
        <f ca="1"/>
        <v>6.915</v>
      </c>
      <c r="E75" vm="1814">
        <f ca="1"/>
        <v>6.66</v>
      </c>
      <c r="F75" vm="2485">
        <f ca="1"/>
        <v>2750349</v>
      </c>
    </row>
    <row r="76" spans="1:6" x14ac:dyDescent="0.25">
      <c r="A76" vm="271">
        <f ca="1"/>
        <v>45769</v>
      </c>
      <c r="B76" vm="2486">
        <f ca="1"/>
        <v>6.91</v>
      </c>
      <c r="C76" vm="1792">
        <f ca="1"/>
        <v>6.79</v>
      </c>
      <c r="D76" vm="1368">
        <f ca="1"/>
        <v>6.92</v>
      </c>
      <c r="E76" vm="1525">
        <f ca="1"/>
        <v>6.72</v>
      </c>
      <c r="F76" vm="2487">
        <f ca="1"/>
        <v>3907883</v>
      </c>
    </row>
    <row r="77" spans="1:6" x14ac:dyDescent="0.25">
      <c r="A77" vm="274">
        <f ca="1"/>
        <v>45770</v>
      </c>
      <c r="B77" vm="2488">
        <f ca="1"/>
        <v>7.1</v>
      </c>
      <c r="C77" vm="2163">
        <f ca="1"/>
        <v>7</v>
      </c>
      <c r="D77" vm="1375">
        <f ca="1"/>
        <v>7.25</v>
      </c>
      <c r="E77" vm="2489">
        <f ca="1"/>
        <v>6.9709000000000003</v>
      </c>
      <c r="F77" vm="2490">
        <f ca="1"/>
        <v>5787624</v>
      </c>
    </row>
    <row r="78" spans="1:6" x14ac:dyDescent="0.25">
      <c r="A78" vm="278">
        <f ca="1"/>
        <v>45771</v>
      </c>
      <c r="B78" vm="246">
        <f ca="1"/>
        <v>7.2</v>
      </c>
      <c r="C78" vm="234">
        <f ca="1"/>
        <v>7.14</v>
      </c>
      <c r="D78" vm="2195">
        <f ca="1"/>
        <v>7.21</v>
      </c>
      <c r="E78" vm="2192">
        <f ca="1"/>
        <v>7.01</v>
      </c>
      <c r="F78" vm="2491">
        <f ca="1"/>
        <v>4644682</v>
      </c>
    </row>
    <row r="79" spans="1:6" x14ac:dyDescent="0.25">
      <c r="A79" vm="282">
        <f ca="1"/>
        <v>45772</v>
      </c>
      <c r="B79" vm="1789">
        <f ca="1"/>
        <v>7.35</v>
      </c>
      <c r="C79" vm="234">
        <f ca="1"/>
        <v>7.14</v>
      </c>
      <c r="D79" vm="2492">
        <f ca="1"/>
        <v>7.38</v>
      </c>
      <c r="E79" vm="1367">
        <f ca="1"/>
        <v>7.05</v>
      </c>
      <c r="F79" vm="2493">
        <f ca="1"/>
        <v>3683901</v>
      </c>
    </row>
    <row r="80" spans="1:6" x14ac:dyDescent="0.25">
      <c r="A80" vm="286">
        <f ca="1"/>
        <v>45775</v>
      </c>
      <c r="B80" vm="2325">
        <f ca="1"/>
        <v>7.39</v>
      </c>
      <c r="C80" vm="1789">
        <f ca="1"/>
        <v>7.35</v>
      </c>
      <c r="D80" vm="1936">
        <f ca="1"/>
        <v>7.41</v>
      </c>
      <c r="E80" vm="1380">
        <f ca="1"/>
        <v>7.26</v>
      </c>
      <c r="F80" vm="2494">
        <f ca="1"/>
        <v>4267093</v>
      </c>
    </row>
    <row r="81" spans="1:6" x14ac:dyDescent="0.25">
      <c r="A81" vm="290">
        <f ca="1"/>
        <v>45776</v>
      </c>
      <c r="B81" vm="1813">
        <f ca="1"/>
        <v>7.52</v>
      </c>
      <c r="C81" vm="1374">
        <f ca="1"/>
        <v>7.36</v>
      </c>
      <c r="D81" vm="1838">
        <f ca="1"/>
        <v>7.58</v>
      </c>
      <c r="E81" vm="1370">
        <f ca="1"/>
        <v>7.33</v>
      </c>
      <c r="F81" vm="2495">
        <f ca="1"/>
        <v>3739290</v>
      </c>
    </row>
    <row r="82" spans="1:6" x14ac:dyDescent="0.25">
      <c r="A82" vm="292">
        <f ca="1"/>
        <v>45777</v>
      </c>
      <c r="B82" vm="254">
        <f ca="1"/>
        <v>7.68</v>
      </c>
      <c r="C82" vm="1897">
        <f ca="1"/>
        <v>7.49</v>
      </c>
      <c r="D82" vm="306">
        <f ca="1"/>
        <v>7.7050000000000001</v>
      </c>
      <c r="E82" vm="1905">
        <f ca="1"/>
        <v>7.37</v>
      </c>
      <c r="F82" vm="2496">
        <f ca="1"/>
        <v>4493694</v>
      </c>
    </row>
    <row r="83" spans="1:6" x14ac:dyDescent="0.25">
      <c r="A83" vm="295">
        <f ca="1"/>
        <v>45778</v>
      </c>
      <c r="B83" vm="1928">
        <f ca="1"/>
        <v>6.68</v>
      </c>
      <c r="C83" vm="1339">
        <f ca="1"/>
        <v>6.625</v>
      </c>
      <c r="D83" vm="2297">
        <f ca="1"/>
        <v>7.07</v>
      </c>
      <c r="E83" vm="2497">
        <f ca="1"/>
        <v>6.5609999999999999</v>
      </c>
      <c r="F83" vm="2498">
        <f ca="1"/>
        <v>10697496</v>
      </c>
    </row>
    <row r="84" spans="1:6" x14ac:dyDescent="0.25">
      <c r="A84" vm="298">
        <f ca="1"/>
        <v>45779</v>
      </c>
      <c r="B84" vm="1359">
        <f ca="1"/>
        <v>6.67</v>
      </c>
      <c r="C84" vm="1349">
        <f ca="1"/>
        <v>6.69</v>
      </c>
      <c r="D84" vm="2499">
        <f ca="1"/>
        <v>6.8</v>
      </c>
      <c r="E84" vm="2470">
        <f ca="1"/>
        <v>6.53</v>
      </c>
      <c r="F84" vm="2500">
        <f ca="1"/>
        <v>6371917</v>
      </c>
    </row>
    <row r="85" spans="1:6" x14ac:dyDescent="0.25">
      <c r="A85" vm="302">
        <f ca="1"/>
        <v>45782</v>
      </c>
      <c r="B85" vm="2470">
        <f ca="1"/>
        <v>6.53</v>
      </c>
      <c r="C85" vm="1364">
        <f ca="1"/>
        <v>6.64</v>
      </c>
      <c r="D85" vm="1360">
        <f ca="1"/>
        <v>6.73</v>
      </c>
      <c r="E85" vm="1777">
        <f ca="1"/>
        <v>6.5</v>
      </c>
      <c r="F85" vm="2501">
        <f ca="1"/>
        <v>4239565</v>
      </c>
    </row>
    <row r="86" spans="1:6" x14ac:dyDescent="0.25">
      <c r="A86" vm="304">
        <f ca="1"/>
        <v>45783</v>
      </c>
      <c r="B86" vm="1923">
        <f ca="1"/>
        <v>6.19</v>
      </c>
      <c r="C86" vm="1777">
        <f ca="1"/>
        <v>6.5</v>
      </c>
      <c r="D86" vm="1354">
        <f ca="1"/>
        <v>6.585</v>
      </c>
      <c r="E86" vm="2350">
        <f ca="1"/>
        <v>6.1349999999999998</v>
      </c>
      <c r="F86" vm="2502">
        <f ca="1"/>
        <v>5544969</v>
      </c>
    </row>
    <row r="87" spans="1:6" x14ac:dyDescent="0.25">
      <c r="A87" vm="307">
        <f ca="1"/>
        <v>45784</v>
      </c>
      <c r="B87" vm="1334">
        <f ca="1"/>
        <v>6.09</v>
      </c>
      <c r="C87" vm="1917">
        <f ca="1"/>
        <v>6.24</v>
      </c>
      <c r="D87" vm="1919">
        <f ca="1"/>
        <v>6.26</v>
      </c>
      <c r="E87" vm="2503">
        <f ca="1"/>
        <v>5.9249999999999998</v>
      </c>
      <c r="F87" vm="2504">
        <f ca="1"/>
        <v>5657301</v>
      </c>
    </row>
    <row r="88" spans="1:6" x14ac:dyDescent="0.25">
      <c r="A88" vm="310">
        <f ca="1"/>
        <v>45785</v>
      </c>
      <c r="B88" vm="1331">
        <f ca="1"/>
        <v>6.08</v>
      </c>
      <c r="C88" vm="1833">
        <f ca="1"/>
        <v>5.98</v>
      </c>
      <c r="D88" vm="1831">
        <f ca="1"/>
        <v>6.2549999999999999</v>
      </c>
      <c r="E88" vm="1284">
        <f ca="1"/>
        <v>5.82</v>
      </c>
      <c r="F88" vm="2505">
        <f ca="1"/>
        <v>9231289</v>
      </c>
    </row>
    <row r="89" spans="1:6" x14ac:dyDescent="0.25">
      <c r="A89" vm="314">
        <f ca="1"/>
        <v>45786</v>
      </c>
      <c r="B89" vm="1833">
        <f ca="1"/>
        <v>5.98</v>
      </c>
      <c r="C89" vm="1334">
        <f ca="1"/>
        <v>6.09</v>
      </c>
      <c r="D89" vm="1816">
        <f ca="1"/>
        <v>6.29</v>
      </c>
      <c r="E89" vm="1324">
        <f ca="1"/>
        <v>5.97</v>
      </c>
      <c r="F89" vm="2506">
        <f ca="1"/>
        <v>8856154</v>
      </c>
    </row>
    <row r="90" spans="1:6" x14ac:dyDescent="0.25">
      <c r="A90" vm="316">
        <f ca="1"/>
        <v>45789</v>
      </c>
      <c r="B90" vm="1920">
        <f ca="1"/>
        <v>6.21</v>
      </c>
      <c r="C90" vm="1916">
        <f ca="1"/>
        <v>6.17</v>
      </c>
      <c r="D90" vm="1830">
        <f ca="1"/>
        <v>6.31</v>
      </c>
      <c r="E90" vm="1334">
        <f ca="1"/>
        <v>6.09</v>
      </c>
      <c r="F90" vm="2507">
        <f ca="1"/>
        <v>6698108</v>
      </c>
    </row>
    <row r="91" spans="1:6" x14ac:dyDescent="0.25">
      <c r="A91" vm="320">
        <f ca="1"/>
        <v>45790</v>
      </c>
      <c r="B91" vm="1892">
        <f ca="1"/>
        <v>6.02</v>
      </c>
      <c r="C91" vm="1782">
        <f ca="1"/>
        <v>6.2</v>
      </c>
      <c r="D91" vm="1882">
        <f ca="1"/>
        <v>6.23</v>
      </c>
      <c r="E91" vm="1327">
        <f ca="1"/>
        <v>6.01</v>
      </c>
      <c r="F91" vm="2508">
        <f ca="1"/>
        <v>3770726</v>
      </c>
    </row>
    <row r="92" spans="1:6" x14ac:dyDescent="0.25">
      <c r="A92" vm="324">
        <f ca="1"/>
        <v>45791</v>
      </c>
      <c r="B92" vm="1824">
        <f ca="1"/>
        <v>5.88</v>
      </c>
      <c r="C92" vm="1891">
        <f ca="1"/>
        <v>6.03</v>
      </c>
      <c r="D92" vm="2509">
        <f ca="1"/>
        <v>6.1090999999999998</v>
      </c>
      <c r="E92" vm="2204">
        <f ca="1"/>
        <v>5.87</v>
      </c>
      <c r="F92" vm="2510">
        <f ca="1"/>
        <v>3354981</v>
      </c>
    </row>
    <row r="93" spans="1:6" x14ac:dyDescent="0.25">
      <c r="A93" vm="328">
        <f ca="1"/>
        <v>45792</v>
      </c>
      <c r="B93" vm="1330">
        <f ca="1"/>
        <v>5.95</v>
      </c>
      <c r="C93" vm="1872">
        <f ca="1"/>
        <v>5.9</v>
      </c>
      <c r="D93" vm="1819">
        <f ca="1"/>
        <v>5.96</v>
      </c>
      <c r="E93" vm="1308">
        <f ca="1"/>
        <v>5.81</v>
      </c>
      <c r="F93" vm="2511">
        <f ca="1"/>
        <v>4214094</v>
      </c>
    </row>
    <row r="94" spans="1:6" x14ac:dyDescent="0.25">
      <c r="A94" vm="332">
        <f ca="1"/>
        <v>45793</v>
      </c>
      <c r="B94" vm="1884">
        <f ca="1"/>
        <v>6.43</v>
      </c>
      <c r="C94" vm="1819">
        <f ca="1"/>
        <v>5.96</v>
      </c>
      <c r="D94" vm="1537">
        <f ca="1"/>
        <v>6.44</v>
      </c>
      <c r="E94" vm="1280">
        <f ca="1"/>
        <v>5.91</v>
      </c>
      <c r="F94" vm="2512">
        <f ca="1"/>
        <v>8141540</v>
      </c>
    </row>
    <row r="95" spans="1:6" x14ac:dyDescent="0.25">
      <c r="A95" vm="336">
        <f ca="1"/>
        <v>45796</v>
      </c>
      <c r="B95" vm="1780">
        <f ca="1"/>
        <v>6.42</v>
      </c>
      <c r="C95" vm="1783">
        <f ca="1"/>
        <v>6.38</v>
      </c>
      <c r="D95" vm="2472">
        <f ca="1"/>
        <v>6.51</v>
      </c>
      <c r="E95" vm="2341">
        <f ca="1"/>
        <v>6.2649999999999997</v>
      </c>
      <c r="F95" vm="2513">
        <f ca="1"/>
        <v>5792808</v>
      </c>
    </row>
    <row r="96" spans="1:6" x14ac:dyDescent="0.25">
      <c r="A96" vm="340">
        <f ca="1"/>
        <v>45797</v>
      </c>
      <c r="B96" vm="1340">
        <f ca="1"/>
        <v>6.59</v>
      </c>
      <c r="C96" vm="1777">
        <f ca="1"/>
        <v>6.5</v>
      </c>
      <c r="D96" vm="1811">
        <f ca="1"/>
        <v>6.65</v>
      </c>
      <c r="E96" vm="1825">
        <f ca="1"/>
        <v>6.39</v>
      </c>
      <c r="F96" vm="2514">
        <f ca="1"/>
        <v>4099140</v>
      </c>
    </row>
    <row r="97" spans="1:6" x14ac:dyDescent="0.25">
      <c r="A97" vm="344">
        <f ca="1"/>
        <v>45798</v>
      </c>
      <c r="B97" vm="1921">
        <f ca="1"/>
        <v>6.34</v>
      </c>
      <c r="C97" vm="1815">
        <f ca="1"/>
        <v>6.52</v>
      </c>
      <c r="D97" vm="1529">
        <f ca="1"/>
        <v>6.58</v>
      </c>
      <c r="E97" vm="1917">
        <f ca="1"/>
        <v>6.24</v>
      </c>
      <c r="F97" vm="2515">
        <f ca="1"/>
        <v>3627226</v>
      </c>
    </row>
    <row r="98" spans="1:6" x14ac:dyDescent="0.25">
      <c r="A98" vm="346">
        <f ca="1"/>
        <v>45799</v>
      </c>
      <c r="B98" vm="1919">
        <f ca="1"/>
        <v>6.26</v>
      </c>
      <c r="C98" vm="1848">
        <f ca="1"/>
        <v>6.3</v>
      </c>
      <c r="D98" vm="1785">
        <f ca="1"/>
        <v>6.35</v>
      </c>
      <c r="E98" vm="1782">
        <f ca="1"/>
        <v>6.2</v>
      </c>
      <c r="F98" vm="2516">
        <f ca="1"/>
        <v>2995155</v>
      </c>
    </row>
    <row r="99" spans="1:6" x14ac:dyDescent="0.25">
      <c r="A99" vm="349">
        <f ca="1"/>
        <v>45800</v>
      </c>
      <c r="B99" vm="1885">
        <f ca="1"/>
        <v>6.22</v>
      </c>
      <c r="C99" vm="1335">
        <f ca="1"/>
        <v>6.15</v>
      </c>
      <c r="D99" vm="1835">
        <f ca="1"/>
        <v>6.27</v>
      </c>
      <c r="E99" vm="1329">
        <f ca="1"/>
        <v>6.12</v>
      </c>
      <c r="F99" vm="2517">
        <f ca="1"/>
        <v>2822292</v>
      </c>
    </row>
    <row r="100" spans="1:6" x14ac:dyDescent="0.25">
      <c r="A100" vm="353">
        <f ca="1"/>
        <v>45804</v>
      </c>
      <c r="B100" vm="1917">
        <f ca="1"/>
        <v>6.24</v>
      </c>
      <c r="C100" vm="1927">
        <f ca="1"/>
        <v>6.32</v>
      </c>
      <c r="D100" vm="1783">
        <f ca="1"/>
        <v>6.38</v>
      </c>
      <c r="E100" vm="2518">
        <f ca="1"/>
        <v>6.18</v>
      </c>
      <c r="F100" vm="2519">
        <f ca="1"/>
        <v>4436665</v>
      </c>
    </row>
    <row r="101" spans="1:6" x14ac:dyDescent="0.25">
      <c r="A101" vm="357">
        <f ca="1"/>
        <v>45805</v>
      </c>
      <c r="B101" vm="1786">
        <f ca="1"/>
        <v>6.1</v>
      </c>
      <c r="C101" vm="1835">
        <f ca="1"/>
        <v>6.27</v>
      </c>
      <c r="D101" vm="2475">
        <f ca="1"/>
        <v>6.3250000000000002</v>
      </c>
      <c r="E101" vm="1786">
        <f ca="1"/>
        <v>6.1</v>
      </c>
      <c r="F101" vm="2520">
        <f ca="1"/>
        <v>5503660</v>
      </c>
    </row>
    <row r="102" spans="1:6" x14ac:dyDescent="0.25">
      <c r="A102" vm="361">
        <f ca="1"/>
        <v>45806</v>
      </c>
      <c r="B102" vm="1920">
        <f ca="1"/>
        <v>6.21</v>
      </c>
      <c r="C102" vm="2288">
        <f ca="1"/>
        <v>6.13</v>
      </c>
      <c r="D102" vm="1926">
        <f ca="1"/>
        <v>6.37</v>
      </c>
      <c r="E102" vm="1325">
        <f ca="1"/>
        <v>6.05</v>
      </c>
      <c r="F102" vm="2521">
        <f ca="1"/>
        <v>7003579</v>
      </c>
    </row>
    <row r="103" spans="1:6" x14ac:dyDescent="0.25">
      <c r="A103" vm="365">
        <f ca="1"/>
        <v>45807</v>
      </c>
      <c r="B103" vm="1918">
        <f ca="1"/>
        <v>6.07</v>
      </c>
      <c r="C103" vm="2518">
        <f ca="1"/>
        <v>6.18</v>
      </c>
      <c r="D103" vm="2522">
        <f ca="1"/>
        <v>6.1950000000000003</v>
      </c>
      <c r="E103" vm="1891">
        <f ca="1"/>
        <v>6.03</v>
      </c>
      <c r="F103" vm="2523">
        <f ca="1"/>
        <v>3291139</v>
      </c>
    </row>
    <row r="104" spans="1:6" x14ac:dyDescent="0.25">
      <c r="A104" vm="369">
        <f ca="1"/>
        <v>45810</v>
      </c>
      <c r="B104" vm="1283">
        <f ca="1"/>
        <v>6.16</v>
      </c>
      <c r="C104" vm="1334">
        <f ca="1"/>
        <v>6.09</v>
      </c>
      <c r="D104" vm="1782">
        <f ca="1"/>
        <v>6.2</v>
      </c>
      <c r="E104" vm="1328">
        <f ca="1"/>
        <v>6.06</v>
      </c>
      <c r="F104" vm="2524">
        <f ca="1"/>
        <v>3874184</v>
      </c>
    </row>
    <row r="105" spans="1:6" x14ac:dyDescent="0.25">
      <c r="A105" vm="372">
        <f ca="1"/>
        <v>45811</v>
      </c>
      <c r="B105" vm="1919">
        <f ca="1"/>
        <v>6.26</v>
      </c>
      <c r="C105" vm="1335">
        <f ca="1"/>
        <v>6.15</v>
      </c>
      <c r="D105" vm="2525">
        <f ca="1"/>
        <v>6.3550000000000004</v>
      </c>
      <c r="E105" vm="2526">
        <f ca="1"/>
        <v>6.1050000000000004</v>
      </c>
      <c r="F105" vm="2527">
        <f ca="1"/>
        <v>5044090</v>
      </c>
    </row>
    <row r="106" spans="1:6" x14ac:dyDescent="0.25">
      <c r="A106" vm="375">
        <f ca="1"/>
        <v>45812</v>
      </c>
      <c r="B106" vm="1786">
        <f ca="1"/>
        <v>6.1</v>
      </c>
      <c r="C106" vm="1917">
        <f ca="1"/>
        <v>6.24</v>
      </c>
      <c r="D106" vm="1927">
        <f ca="1"/>
        <v>6.32</v>
      </c>
      <c r="E106" vm="1334">
        <f ca="1"/>
        <v>6.09</v>
      </c>
      <c r="F106" vm="2528">
        <f ca="1"/>
        <v>4522470</v>
      </c>
    </row>
    <row r="107" spans="1:6" x14ac:dyDescent="0.25">
      <c r="A107" vm="378">
        <f ca="1"/>
        <v>45813</v>
      </c>
      <c r="B107" vm="1819">
        <f ca="1"/>
        <v>5.96</v>
      </c>
      <c r="C107" vm="1786">
        <f ca="1"/>
        <v>6.1</v>
      </c>
      <c r="D107" vm="1329">
        <f ca="1"/>
        <v>6.12</v>
      </c>
      <c r="E107" vm="1872">
        <f ca="1"/>
        <v>5.9</v>
      </c>
      <c r="F107" vm="2529">
        <f ca="1"/>
        <v>3732477</v>
      </c>
    </row>
    <row r="108" spans="1:6" x14ac:dyDescent="0.25">
      <c r="A108" vm="382">
        <f ca="1"/>
        <v>45814</v>
      </c>
      <c r="B108" vm="1283">
        <f ca="1"/>
        <v>6.16</v>
      </c>
      <c r="C108" vm="1891">
        <f ca="1"/>
        <v>6.03</v>
      </c>
      <c r="D108" vm="1923">
        <f ca="1"/>
        <v>6.19</v>
      </c>
      <c r="E108" vm="1322">
        <f ca="1"/>
        <v>6</v>
      </c>
      <c r="F108" vm="2530">
        <f ca="1"/>
        <v>5145581</v>
      </c>
    </row>
    <row r="109" spans="1:6" x14ac:dyDescent="0.25">
      <c r="A109" vm="386">
        <f ca="1"/>
        <v>45817</v>
      </c>
      <c r="B109" vm="1891">
        <f ca="1"/>
        <v>6.03</v>
      </c>
      <c r="C109" vm="1923">
        <f ca="1"/>
        <v>6.19</v>
      </c>
      <c r="D109" vm="1782">
        <f ca="1"/>
        <v>6.2</v>
      </c>
      <c r="E109" vm="1892">
        <f ca="1"/>
        <v>6.02</v>
      </c>
      <c r="F109" vm="2531">
        <f ca="1"/>
        <v>4597825</v>
      </c>
    </row>
    <row r="110" spans="1:6" x14ac:dyDescent="0.25">
      <c r="A110" vm="389">
        <f ca="1"/>
        <v>45818</v>
      </c>
      <c r="B110" vm="1282">
        <f ca="1"/>
        <v>6.11</v>
      </c>
      <c r="C110" vm="1334">
        <f ca="1"/>
        <v>6.09</v>
      </c>
      <c r="D110" vm="1885">
        <f ca="1"/>
        <v>6.22</v>
      </c>
      <c r="E110" vm="1325">
        <f ca="1"/>
        <v>6.05</v>
      </c>
      <c r="F110" vm="2532">
        <f ca="1"/>
        <v>3446759</v>
      </c>
    </row>
    <row r="111" spans="1:6" x14ac:dyDescent="0.25">
      <c r="A111" vm="391">
        <f ca="1"/>
        <v>45819</v>
      </c>
      <c r="B111" vm="2285">
        <f ca="1"/>
        <v>6.14</v>
      </c>
      <c r="C111" vm="1916">
        <f ca="1"/>
        <v>6.17</v>
      </c>
      <c r="D111" vm="1882">
        <f ca="1"/>
        <v>6.23</v>
      </c>
      <c r="E111" vm="1334">
        <f ca="1"/>
        <v>6.09</v>
      </c>
      <c r="F111" vm="2533">
        <f ca="1"/>
        <v>4799315</v>
      </c>
    </row>
    <row r="112" spans="1:6" x14ac:dyDescent="0.25">
      <c r="A112" vm="395">
        <f ca="1"/>
        <v>45820</v>
      </c>
      <c r="B112" vm="1916">
        <f ca="1"/>
        <v>6.17</v>
      </c>
      <c r="C112" vm="2288">
        <f ca="1"/>
        <v>6.13</v>
      </c>
      <c r="D112" vm="1923">
        <f ca="1"/>
        <v>6.19</v>
      </c>
      <c r="E112" vm="1322">
        <f ca="1"/>
        <v>6</v>
      </c>
      <c r="F112" vm="2534">
        <f ca="1"/>
        <v>3856610</v>
      </c>
    </row>
    <row r="113" spans="1:6" x14ac:dyDescent="0.25">
      <c r="A113" vm="399">
        <f ca="1"/>
        <v>45821</v>
      </c>
      <c r="B113" vm="1891">
        <f ca="1"/>
        <v>6.03</v>
      </c>
      <c r="C113" vm="1325">
        <f ca="1"/>
        <v>6.05</v>
      </c>
      <c r="D113" vm="1885">
        <f ca="1"/>
        <v>6.22</v>
      </c>
      <c r="E113" vm="1327">
        <f ca="1"/>
        <v>6.01</v>
      </c>
      <c r="F113" vm="2535">
        <f ca="1"/>
        <v>4224896</v>
      </c>
    </row>
    <row r="114" spans="1:6" x14ac:dyDescent="0.25">
      <c r="A114" vm="403">
        <f ca="1"/>
        <v>45824</v>
      </c>
      <c r="B114" vm="1325">
        <f ca="1"/>
        <v>6.05</v>
      </c>
      <c r="C114" vm="1918">
        <f ca="1"/>
        <v>6.07</v>
      </c>
      <c r="D114" vm="1335">
        <f ca="1"/>
        <v>6.15</v>
      </c>
      <c r="E114" vm="1320">
        <f ca="1"/>
        <v>5.89</v>
      </c>
      <c r="F114" vm="2536">
        <f ca="1"/>
        <v>6885169</v>
      </c>
    </row>
    <row r="115" spans="1:6" x14ac:dyDescent="0.25">
      <c r="A115" vm="407">
        <f ca="1"/>
        <v>45825</v>
      </c>
      <c r="B115" vm="1311">
        <f ca="1"/>
        <v>5.8</v>
      </c>
      <c r="C115" vm="1883">
        <f ca="1"/>
        <v>5.99</v>
      </c>
      <c r="D115" vm="1883">
        <f ca="1"/>
        <v>5.99</v>
      </c>
      <c r="E115" vm="1285">
        <f ca="1"/>
        <v>5.78</v>
      </c>
      <c r="F115" vm="2537">
        <f ca="1"/>
        <v>6174552</v>
      </c>
    </row>
    <row r="116" spans="1:6" x14ac:dyDescent="0.25">
      <c r="A116" vm="410">
        <f ca="1"/>
        <v>45826</v>
      </c>
      <c r="B116" vm="2211">
        <f ca="1"/>
        <v>5.73</v>
      </c>
      <c r="C116" vm="1285">
        <f ca="1"/>
        <v>5.78</v>
      </c>
      <c r="D116" vm="2538">
        <f ca="1"/>
        <v>5.875</v>
      </c>
      <c r="E116" vm="2539">
        <f ca="1"/>
        <v>5.7149999999999999</v>
      </c>
      <c r="F116" vm="2540">
        <f ca="1"/>
        <v>5415440</v>
      </c>
    </row>
    <row r="117" spans="1:6" x14ac:dyDescent="0.25">
      <c r="A117" vm="412">
        <f ca="1"/>
        <v>45828</v>
      </c>
      <c r="B117" vm="1847">
        <f ca="1"/>
        <v>5.64</v>
      </c>
      <c r="C117" vm="1310">
        <f ca="1"/>
        <v>5.75</v>
      </c>
      <c r="D117" vm="1821">
        <f ca="1"/>
        <v>5.77</v>
      </c>
      <c r="E117" vm="2218">
        <f ca="1"/>
        <v>5.62</v>
      </c>
      <c r="F117" vm="2541">
        <f ca="1"/>
        <v>17425362</v>
      </c>
    </row>
    <row r="118" spans="1:6" x14ac:dyDescent="0.25">
      <c r="A118" vm="414">
        <f ca="1"/>
        <v>45831</v>
      </c>
      <c r="B118" vm="1313">
        <f ca="1"/>
        <v>5.71</v>
      </c>
      <c r="C118" vm="1523">
        <f ca="1"/>
        <v>5.63</v>
      </c>
      <c r="D118" vm="1288">
        <f ca="1"/>
        <v>5.79</v>
      </c>
      <c r="E118" vm="2278">
        <f ca="1"/>
        <v>5.58</v>
      </c>
      <c r="F118" vm="2542">
        <f ca="1"/>
        <v>5706517</v>
      </c>
    </row>
    <row r="119" spans="1:6" x14ac:dyDescent="0.25">
      <c r="A119" vm="417">
        <f ca="1"/>
        <v>45832</v>
      </c>
      <c r="B119" vm="1313">
        <f ca="1"/>
        <v>5.71</v>
      </c>
      <c r="C119" vm="1286">
        <f ca="1"/>
        <v>5.76</v>
      </c>
      <c r="D119" vm="2543">
        <f ca="1"/>
        <v>5.8198999999999996</v>
      </c>
      <c r="E119" vm="1315">
        <f ca="1"/>
        <v>5.6349999999999998</v>
      </c>
      <c r="F119" vm="2544">
        <f ca="1"/>
        <v>3997313</v>
      </c>
    </row>
    <row r="120" spans="1:6" x14ac:dyDescent="0.25">
      <c r="A120" vm="421">
        <f ca="1"/>
        <v>45833</v>
      </c>
      <c r="B120" vm="1316">
        <f ca="1"/>
        <v>5.66</v>
      </c>
      <c r="C120" vm="1769">
        <f ca="1"/>
        <v>5.7</v>
      </c>
      <c r="D120" vm="2211">
        <f ca="1"/>
        <v>5.73</v>
      </c>
      <c r="E120" vm="1827">
        <f ca="1"/>
        <v>5.51</v>
      </c>
      <c r="F120" vm="2545">
        <f ca="1"/>
        <v>2700031</v>
      </c>
    </row>
    <row r="121" spans="1:6" x14ac:dyDescent="0.25">
      <c r="A121" vm="422">
        <f ca="1"/>
        <v>45834</v>
      </c>
      <c r="B121" vm="2279">
        <f ca="1"/>
        <v>5.69</v>
      </c>
      <c r="C121" vm="2546">
        <f ca="1"/>
        <v>5.7249999999999996</v>
      </c>
      <c r="D121" vm="2547">
        <f ca="1"/>
        <v>5.7798999999999996</v>
      </c>
      <c r="E121" vm="1893">
        <f ca="1"/>
        <v>5.55</v>
      </c>
      <c r="F121" vm="2548">
        <f ca="1"/>
        <v>4149393</v>
      </c>
    </row>
    <row r="122" spans="1:6" x14ac:dyDescent="0.25">
      <c r="A122" vm="423">
        <f ca="1"/>
        <v>45835</v>
      </c>
      <c r="B122" vm="1540">
        <f ca="1"/>
        <v>5.93</v>
      </c>
      <c r="C122" vm="2279">
        <f ca="1"/>
        <v>5.69</v>
      </c>
      <c r="D122" vm="2549">
        <f ca="1"/>
        <v>5.9450000000000003</v>
      </c>
      <c r="E122" vm="2206">
        <f ca="1"/>
        <v>5.6449999999999996</v>
      </c>
      <c r="F122" vm="2550">
        <f ca="1"/>
        <v>9952134</v>
      </c>
    </row>
    <row r="123" spans="1:6" x14ac:dyDescent="0.25">
      <c r="A123" vm="425">
        <f ca="1"/>
        <v>45838</v>
      </c>
      <c r="B123" vm="2211">
        <f ca="1"/>
        <v>5.73</v>
      </c>
      <c r="C123" vm="1872">
        <f ca="1"/>
        <v>5.9</v>
      </c>
      <c r="D123" vm="1321">
        <f ca="1"/>
        <v>5.92</v>
      </c>
      <c r="E123" vm="2551">
        <f ca="1"/>
        <v>5.72</v>
      </c>
      <c r="F123" vm="2552">
        <f ca="1"/>
        <v>5467328</v>
      </c>
    </row>
    <row r="124" spans="1:6" x14ac:dyDescent="0.25">
      <c r="A124" vm="427">
        <f ca="1"/>
        <v>45839</v>
      </c>
      <c r="B124" vm="1326">
        <f ca="1"/>
        <v>5.84</v>
      </c>
      <c r="C124" vm="1769">
        <f ca="1"/>
        <v>5.7</v>
      </c>
      <c r="D124" vm="1883">
        <f ca="1"/>
        <v>5.99</v>
      </c>
      <c r="E124" vm="1316">
        <f ca="1"/>
        <v>5.66</v>
      </c>
      <c r="F124" vm="2553">
        <f ca="1"/>
        <v>5184467</v>
      </c>
    </row>
    <row r="125" spans="1:6" x14ac:dyDescent="0.25">
      <c r="A125" vm="430">
        <f ca="1"/>
        <v>45840</v>
      </c>
      <c r="B125" vm="1330">
        <f ca="1"/>
        <v>5.95</v>
      </c>
      <c r="C125" vm="1284">
        <f ca="1"/>
        <v>5.82</v>
      </c>
      <c r="D125" vm="1324">
        <f ca="1"/>
        <v>5.97</v>
      </c>
      <c r="E125" vm="1285">
        <f ca="1"/>
        <v>5.78</v>
      </c>
      <c r="F125" vm="2554">
        <f ca="1"/>
        <v>3866190</v>
      </c>
    </row>
    <row r="126" spans="1:6" x14ac:dyDescent="0.25">
      <c r="A126" vm="432">
        <f ca="1"/>
        <v>45841</v>
      </c>
      <c r="B126" vm="1786">
        <f ca="1"/>
        <v>6.1</v>
      </c>
      <c r="C126" vm="1327">
        <f ca="1"/>
        <v>6.01</v>
      </c>
      <c r="D126" vm="1335">
        <f ca="1"/>
        <v>6.15</v>
      </c>
      <c r="E126" vm="1324">
        <f ca="1"/>
        <v>5.97</v>
      </c>
      <c r="F126" vm="2555">
        <f ca="1"/>
        <v>3120129</v>
      </c>
    </row>
    <row r="127" spans="1:6" x14ac:dyDescent="0.25">
      <c r="A127" vm="434">
        <f ca="1"/>
        <v>45845</v>
      </c>
      <c r="B127" vm="1325">
        <f ca="1"/>
        <v>6.05</v>
      </c>
      <c r="C127" vm="1786">
        <f ca="1"/>
        <v>6.1</v>
      </c>
      <c r="D127" vm="2556">
        <f ca="1"/>
        <v>6.1584000000000003</v>
      </c>
      <c r="E127" vm="1327">
        <f ca="1"/>
        <v>6.01</v>
      </c>
      <c r="F127" vm="2557">
        <f ca="1"/>
        <v>5480573</v>
      </c>
    </row>
    <row r="128" spans="1:6" x14ac:dyDescent="0.25">
      <c r="A128" vm="437">
        <f ca="1"/>
        <v>45846</v>
      </c>
      <c r="B128" vm="1885">
        <f ca="1"/>
        <v>6.22</v>
      </c>
      <c r="C128" vm="1325">
        <f ca="1"/>
        <v>6.05</v>
      </c>
      <c r="D128" vm="1784">
        <f ca="1"/>
        <v>6.25</v>
      </c>
      <c r="E128" vm="1888">
        <f ca="1"/>
        <v>6.04</v>
      </c>
      <c r="F128" vm="2558">
        <f ca="1"/>
        <v>4186237</v>
      </c>
    </row>
    <row r="129" spans="1:6" x14ac:dyDescent="0.25">
      <c r="A129" vm="441">
        <f ca="1"/>
        <v>45847</v>
      </c>
      <c r="B129" vm="1780">
        <f ca="1"/>
        <v>6.42</v>
      </c>
      <c r="C129" vm="2559">
        <f ca="1"/>
        <v>6.28</v>
      </c>
      <c r="D129" vm="2560">
        <f ca="1"/>
        <v>6.4450000000000003</v>
      </c>
      <c r="E129" vm="1835">
        <f ca="1"/>
        <v>6.27</v>
      </c>
      <c r="F129" vm="2561">
        <f ca="1"/>
        <v>5592665</v>
      </c>
    </row>
    <row r="130" spans="1:6" x14ac:dyDescent="0.25">
      <c r="A130" vm="444">
        <f ca="1"/>
        <v>45848</v>
      </c>
      <c r="B130" vm="1848">
        <f ca="1"/>
        <v>6.3</v>
      </c>
      <c r="C130" vm="1537">
        <f ca="1"/>
        <v>6.44</v>
      </c>
      <c r="D130" vm="1537">
        <f ca="1"/>
        <v>6.44</v>
      </c>
      <c r="E130" vm="2473">
        <f ca="1"/>
        <v>6.2249999999999996</v>
      </c>
      <c r="F130" vm="2562">
        <f ca="1"/>
        <v>4188297</v>
      </c>
    </row>
    <row r="131" spans="1:6" x14ac:dyDescent="0.25">
      <c r="A131" vm="446">
        <f ca="1"/>
        <v>45849</v>
      </c>
      <c r="B131" vm="1334">
        <f ca="1"/>
        <v>6.09</v>
      </c>
      <c r="C131" vm="2559">
        <f ca="1"/>
        <v>6.28</v>
      </c>
      <c r="D131" vm="2559">
        <f ca="1"/>
        <v>6.28</v>
      </c>
      <c r="E131" vm="2563">
        <f ca="1"/>
        <v>6.0750000000000002</v>
      </c>
      <c r="F131" vm="2564">
        <f ca="1"/>
        <v>2557717</v>
      </c>
    </row>
    <row r="132" spans="1:6" x14ac:dyDescent="0.25">
      <c r="A132" vm="449">
        <f ca="1"/>
        <v>45852</v>
      </c>
      <c r="B132" vm="1917">
        <f ca="1"/>
        <v>6.24</v>
      </c>
      <c r="C132" vm="2563">
        <f ca="1"/>
        <v>6.0750000000000002</v>
      </c>
      <c r="D132" vm="1831">
        <f ca="1"/>
        <v>6.2549999999999999</v>
      </c>
      <c r="E132" vm="1325">
        <f ca="1"/>
        <v>6.05</v>
      </c>
      <c r="F132" vm="2565">
        <f ca="1"/>
        <v>2328041</v>
      </c>
    </row>
    <row r="133" spans="1:6" x14ac:dyDescent="0.25">
      <c r="A133" vm="452">
        <f ca="1"/>
        <v>45853</v>
      </c>
      <c r="B133" vm="1280">
        <f ca="1"/>
        <v>5.91</v>
      </c>
      <c r="C133" vm="1816">
        <f ca="1"/>
        <v>6.29</v>
      </c>
      <c r="D133" vm="1830">
        <f ca="1"/>
        <v>6.31</v>
      </c>
      <c r="E133" vm="1824">
        <f ca="1"/>
        <v>5.88</v>
      </c>
      <c r="F133" vm="2566">
        <f ca="1"/>
        <v>2983836</v>
      </c>
    </row>
    <row r="134" spans="1:6" x14ac:dyDescent="0.25">
      <c r="A134" vm="454">
        <f ca="1"/>
        <v>45854</v>
      </c>
      <c r="B134" vm="1918">
        <f ca="1"/>
        <v>6.07</v>
      </c>
      <c r="C134" vm="1819">
        <f ca="1"/>
        <v>5.96</v>
      </c>
      <c r="D134" vm="1334">
        <f ca="1"/>
        <v>6.09</v>
      </c>
      <c r="E134" vm="2567">
        <f ca="1"/>
        <v>5.9349999999999996</v>
      </c>
      <c r="F134" vm="2568">
        <f ca="1"/>
        <v>3273097</v>
      </c>
    </row>
    <row r="135" spans="1:6" x14ac:dyDescent="0.25">
      <c r="A135" vm="457">
        <f ca="1"/>
        <v>45855</v>
      </c>
      <c r="B135" vm="1816">
        <f ca="1"/>
        <v>6.29</v>
      </c>
      <c r="C135" vm="1351">
        <f ca="1"/>
        <v>6.55</v>
      </c>
      <c r="D135" vm="1851">
        <f ca="1"/>
        <v>6.77</v>
      </c>
      <c r="E135" vm="2559">
        <f ca="1"/>
        <v>6.28</v>
      </c>
      <c r="F135" vm="2569">
        <f ca="1"/>
        <v>5224662</v>
      </c>
    </row>
    <row r="136" spans="1:6" x14ac:dyDescent="0.25">
      <c r="A136" vm="460">
        <f ca="1"/>
        <v>45856</v>
      </c>
      <c r="B136" vm="1819">
        <f ca="1"/>
        <v>5.96</v>
      </c>
      <c r="C136" vm="1785">
        <f ca="1"/>
        <v>6.35</v>
      </c>
      <c r="D136" vm="1785">
        <f ca="1"/>
        <v>6.35</v>
      </c>
      <c r="E136" vm="2570">
        <f ca="1"/>
        <v>5.915</v>
      </c>
      <c r="F136" vm="2571">
        <f ca="1"/>
        <v>5161913</v>
      </c>
    </row>
    <row r="137" spans="1:6" x14ac:dyDescent="0.25">
      <c r="A137" vm="462">
        <f ca="1"/>
        <v>45859</v>
      </c>
      <c r="B137" vm="1325">
        <f ca="1"/>
        <v>6.05</v>
      </c>
      <c r="C137" vm="1322">
        <f ca="1"/>
        <v>6</v>
      </c>
      <c r="D137" vm="1329">
        <f ca="1"/>
        <v>6.12</v>
      </c>
      <c r="E137" vm="1330">
        <f ca="1"/>
        <v>5.95</v>
      </c>
      <c r="F137" vm="2572">
        <f ca="1"/>
        <v>3632497</v>
      </c>
    </row>
    <row r="138" spans="1:6" x14ac:dyDescent="0.25">
      <c r="A138" vm="466">
        <f ca="1"/>
        <v>45860</v>
      </c>
      <c r="B138" vm="1885">
        <f ca="1"/>
        <v>6.22</v>
      </c>
      <c r="C138" vm="1891">
        <f ca="1"/>
        <v>6.03</v>
      </c>
      <c r="D138" vm="2473">
        <f ca="1"/>
        <v>6.2249999999999996</v>
      </c>
      <c r="E138" vm="2573">
        <f ca="1"/>
        <v>6.0250000000000004</v>
      </c>
      <c r="F138" vm="2574">
        <f ca="1"/>
        <v>3464763</v>
      </c>
    </row>
    <row r="139" spans="1:6" x14ac:dyDescent="0.25">
      <c r="A139" vm="469">
        <f ca="1"/>
        <v>45861</v>
      </c>
      <c r="B139" vm="1830">
        <f ca="1"/>
        <v>6.31</v>
      </c>
      <c r="C139" vm="1816">
        <f ca="1"/>
        <v>6.29</v>
      </c>
      <c r="D139" vm="1926">
        <f ca="1"/>
        <v>6.37</v>
      </c>
      <c r="E139" vm="2575">
        <f ca="1"/>
        <v>6.1550000000000002</v>
      </c>
      <c r="F139" vm="2576">
        <f ca="1"/>
        <v>3348124</v>
      </c>
    </row>
    <row r="140" spans="1:6" x14ac:dyDescent="0.25">
      <c r="A140" vm="473">
        <f ca="1"/>
        <v>45862</v>
      </c>
      <c r="B140" vm="2559">
        <f ca="1"/>
        <v>6.28</v>
      </c>
      <c r="C140" vm="1849">
        <f ca="1"/>
        <v>6.36</v>
      </c>
      <c r="D140" vm="1926">
        <f ca="1"/>
        <v>6.37</v>
      </c>
      <c r="E140" vm="2577">
        <f ca="1"/>
        <v>6.2149999999999999</v>
      </c>
      <c r="F140" vm="2578">
        <f ca="1"/>
        <v>3082170</v>
      </c>
    </row>
    <row r="141" spans="1:6" x14ac:dyDescent="0.25">
      <c r="A141" vm="477">
        <f ca="1"/>
        <v>45863</v>
      </c>
      <c r="B141" vm="1328">
        <f ca="1"/>
        <v>6.06</v>
      </c>
      <c r="C141" vm="1835">
        <f ca="1"/>
        <v>6.27</v>
      </c>
      <c r="D141" vm="1816">
        <f ca="1"/>
        <v>6.29</v>
      </c>
      <c r="E141" vm="1324">
        <f ca="1"/>
        <v>5.97</v>
      </c>
      <c r="F141" vm="2579">
        <f ca="1"/>
        <v>3505161</v>
      </c>
    </row>
    <row r="142" spans="1:6" x14ac:dyDescent="0.25">
      <c r="A142" vm="481">
        <f ca="1"/>
        <v>45866</v>
      </c>
      <c r="B142" vm="1329">
        <f ca="1"/>
        <v>6.12</v>
      </c>
      <c r="C142" vm="1916">
        <f ca="1"/>
        <v>6.17</v>
      </c>
      <c r="D142" vm="1917">
        <f ca="1"/>
        <v>6.24</v>
      </c>
      <c r="E142" vm="2563">
        <f ca="1"/>
        <v>6.0750000000000002</v>
      </c>
      <c r="F142" vm="2580">
        <f ca="1"/>
        <v>4439773</v>
      </c>
    </row>
    <row r="143" spans="1:6" x14ac:dyDescent="0.25">
      <c r="A143" vm="483">
        <f ca="1"/>
        <v>45867</v>
      </c>
      <c r="B143" vm="2288">
        <f ca="1"/>
        <v>6.13</v>
      </c>
      <c r="C143" vm="2285">
        <f ca="1"/>
        <v>6.14</v>
      </c>
      <c r="D143" vm="2581">
        <f ca="1"/>
        <v>6.1849999999999996</v>
      </c>
      <c r="E143" vm="1328">
        <f ca="1"/>
        <v>6.06</v>
      </c>
      <c r="F143" vm="2582">
        <f ca="1"/>
        <v>3571002</v>
      </c>
    </row>
    <row r="144" spans="1:6" x14ac:dyDescent="0.25">
      <c r="A144" vm="486">
        <f ca="1"/>
        <v>45868</v>
      </c>
      <c r="B144" vm="2288">
        <f ca="1"/>
        <v>6.13</v>
      </c>
      <c r="C144" vm="2285">
        <f ca="1"/>
        <v>6.14</v>
      </c>
      <c r="D144" vm="1337">
        <f ca="1"/>
        <v>6.4</v>
      </c>
      <c r="E144" vm="1334">
        <f ca="1"/>
        <v>6.09</v>
      </c>
      <c r="F144" vm="2583">
        <f ca="1"/>
        <v>4113285</v>
      </c>
    </row>
    <row r="145" spans="1:6" x14ac:dyDescent="0.25">
      <c r="A145" vm="489">
        <f ca="1"/>
        <v>45869</v>
      </c>
      <c r="B145" vm="1883">
        <f ca="1"/>
        <v>5.99</v>
      </c>
      <c r="C145" vm="1816">
        <f ca="1"/>
        <v>6.29</v>
      </c>
      <c r="D145" vm="1783">
        <f ca="1"/>
        <v>6.38</v>
      </c>
      <c r="E145" vm="1324">
        <f ca="1"/>
        <v>5.97</v>
      </c>
      <c r="F145" vm="2584">
        <f ca="1"/>
        <v>8283756</v>
      </c>
    </row>
    <row r="146" spans="1:6" x14ac:dyDescent="0.25">
      <c r="A146" vm="490">
        <f ca="1"/>
        <v>45870</v>
      </c>
      <c r="B146" vm="1927">
        <f ca="1"/>
        <v>6.32</v>
      </c>
      <c r="C146" vm="1819">
        <f ca="1"/>
        <v>5.96</v>
      </c>
      <c r="D146" vm="1785">
        <f ca="1"/>
        <v>6.35</v>
      </c>
      <c r="E146" vm="2503">
        <f ca="1"/>
        <v>5.9249999999999998</v>
      </c>
      <c r="F146" vm="2585">
        <f ca="1"/>
        <v>5961673</v>
      </c>
    </row>
    <row r="147" spans="1:6" x14ac:dyDescent="0.25">
      <c r="A147" vm="491">
        <f ca="1"/>
        <v>45873</v>
      </c>
      <c r="B147" vm="242">
        <f ca="1"/>
        <v>6.83</v>
      </c>
      <c r="C147" vm="1921">
        <f ca="1"/>
        <v>6.34</v>
      </c>
      <c r="D147" vm="2295">
        <f ca="1"/>
        <v>6.94</v>
      </c>
      <c r="E147" vm="2559">
        <f ca="1"/>
        <v>6.28</v>
      </c>
      <c r="F147" vm="2586">
        <f ca="1"/>
        <v>7853842</v>
      </c>
    </row>
    <row r="148" spans="1:6" x14ac:dyDescent="0.25">
      <c r="A148" vm="492">
        <f ca="1"/>
        <v>45874</v>
      </c>
      <c r="B148" vm="1850">
        <f ca="1"/>
        <v>6.99</v>
      </c>
      <c r="C148" vm="2587">
        <f ca="1"/>
        <v>6.8150000000000004</v>
      </c>
      <c r="D148" vm="2588">
        <f ca="1"/>
        <v>7.0392999999999999</v>
      </c>
      <c r="E148" vm="1362">
        <f ca="1"/>
        <v>6.74</v>
      </c>
      <c r="F148" vm="2589">
        <f ca="1"/>
        <v>4595866</v>
      </c>
    </row>
    <row r="149" spans="1:6" x14ac:dyDescent="0.25">
      <c r="A149" vm="495">
        <f ca="1"/>
        <v>45875</v>
      </c>
      <c r="B149" vm="1933">
        <f ca="1"/>
        <v>6.93</v>
      </c>
      <c r="C149" vm="1350">
        <f ca="1"/>
        <v>6.95</v>
      </c>
      <c r="D149" vm="2590">
        <f ca="1"/>
        <v>7.0650000000000004</v>
      </c>
      <c r="E149" vm="2591">
        <f ca="1"/>
        <v>6.8449999999999998</v>
      </c>
      <c r="F149" vm="2592">
        <f ca="1"/>
        <v>3926265</v>
      </c>
    </row>
    <row r="150" spans="1:6" x14ac:dyDescent="0.25">
      <c r="A150" vm="499">
        <f ca="1"/>
        <v>45876</v>
      </c>
      <c r="B150" vm="1792">
        <f ca="1"/>
        <v>6.79</v>
      </c>
      <c r="C150" vm="2295">
        <f ca="1"/>
        <v>6.94</v>
      </c>
      <c r="D150" vm="1350">
        <f ca="1"/>
        <v>6.95</v>
      </c>
      <c r="E150" vm="1341">
        <f ca="1"/>
        <v>6.5949999999999998</v>
      </c>
      <c r="F150" vm="2593">
        <f ca="1"/>
        <v>4078587</v>
      </c>
    </row>
    <row r="151" spans="1:6" x14ac:dyDescent="0.25">
      <c r="A151" vm="501">
        <f ca="1"/>
        <v>45877</v>
      </c>
      <c r="B151" vm="1357">
        <f ca="1"/>
        <v>6.76</v>
      </c>
      <c r="C151" vm="1851">
        <f ca="1"/>
        <v>6.77</v>
      </c>
      <c r="D151" vm="2591">
        <f ca="1"/>
        <v>6.8449999999999998</v>
      </c>
      <c r="E151" vm="2207">
        <f ca="1"/>
        <v>6.6849999999999996</v>
      </c>
      <c r="F151" vm="2594">
        <f ca="1"/>
        <v>3934694</v>
      </c>
    </row>
    <row r="152" spans="1:6" x14ac:dyDescent="0.25">
      <c r="A152" vm="504">
        <f ca="1"/>
        <v>45880</v>
      </c>
      <c r="B152" vm="2595">
        <f ca="1"/>
        <v>6.6550000000000002</v>
      </c>
      <c r="C152" vm="1362">
        <f ca="1"/>
        <v>6.74</v>
      </c>
      <c r="D152" vm="2486">
        <f ca="1"/>
        <v>6.91</v>
      </c>
      <c r="E152" vm="1365">
        <f ca="1"/>
        <v>6.61</v>
      </c>
      <c r="F152" vm="2596">
        <f ca="1"/>
        <v>2932219</v>
      </c>
    </row>
    <row r="153" spans="1:6" x14ac:dyDescent="0.25">
      <c r="A153" vm="505">
        <f ca="1"/>
        <v>45881</v>
      </c>
      <c r="B153" vm="1366">
        <f ca="1"/>
        <v>6.98</v>
      </c>
      <c r="C153" vm="1525">
        <f ca="1"/>
        <v>6.72</v>
      </c>
      <c r="D153" vm="2192">
        <f ca="1"/>
        <v>7.01</v>
      </c>
      <c r="E153" vm="2597">
        <f ca="1"/>
        <v>6.7050000000000001</v>
      </c>
      <c r="F153" vm="2598">
        <f ca="1"/>
        <v>3250701</v>
      </c>
    </row>
    <row r="154" spans="1:6" x14ac:dyDescent="0.25">
      <c r="A154" vm="507">
        <f ca="1"/>
        <v>45882</v>
      </c>
      <c r="B154" vm="1807">
        <f ca="1"/>
        <v>7.19</v>
      </c>
      <c r="C154" vm="1367">
        <f ca="1"/>
        <v>7.05</v>
      </c>
      <c r="D154" vm="2180">
        <f ca="1"/>
        <v>7.28</v>
      </c>
      <c r="E154" vm="1366">
        <f ca="1"/>
        <v>6.98</v>
      </c>
      <c r="F154" vm="2599">
        <f ca="1"/>
        <v>6828436</v>
      </c>
    </row>
    <row r="155" spans="1:6" x14ac:dyDescent="0.25">
      <c r="A155" vm="509">
        <f ca="1"/>
        <v>45883</v>
      </c>
      <c r="B155" vm="2184">
        <f ca="1"/>
        <v>7.12</v>
      </c>
      <c r="C155" vm="2337">
        <f ca="1"/>
        <v>7.16</v>
      </c>
      <c r="D155" vm="1789">
        <f ca="1"/>
        <v>7.35</v>
      </c>
      <c r="E155" vm="2488">
        <f ca="1"/>
        <v>7.1</v>
      </c>
      <c r="F155" vm="2600">
        <f ca="1"/>
        <v>5221717</v>
      </c>
    </row>
    <row r="156" spans="1:6" x14ac:dyDescent="0.25">
      <c r="A156" vm="510">
        <f ca="1"/>
        <v>45884</v>
      </c>
      <c r="B156" vm="2151">
        <f ca="1"/>
        <v>7.4</v>
      </c>
      <c r="C156" vm="246">
        <f ca="1"/>
        <v>7.2</v>
      </c>
      <c r="D156" vm="1852">
        <f ca="1"/>
        <v>7.42</v>
      </c>
      <c r="E156" vm="2161">
        <f ca="1"/>
        <v>7.15</v>
      </c>
      <c r="F156" vm="2601">
        <f ca="1"/>
        <v>4667840</v>
      </c>
    </row>
    <row r="157" spans="1:6" x14ac:dyDescent="0.25">
      <c r="A157" vm="514">
        <f ca="1"/>
        <v>45887</v>
      </c>
      <c r="B157" vm="1936">
        <f ca="1"/>
        <v>7.41</v>
      </c>
      <c r="C157" vm="1905">
        <f ca="1"/>
        <v>7.37</v>
      </c>
      <c r="D157" vm="1929">
        <f ca="1"/>
        <v>7.51</v>
      </c>
      <c r="E157" vm="1374">
        <f ca="1"/>
        <v>7.36</v>
      </c>
      <c r="F157" vm="2602">
        <f ca="1"/>
        <v>3770856</v>
      </c>
    </row>
    <row r="158" spans="1:6" x14ac:dyDescent="0.25">
      <c r="A158" vm="517">
        <f ca="1"/>
        <v>45888</v>
      </c>
      <c r="B158" vm="1829">
        <f ca="1"/>
        <v>7.34</v>
      </c>
      <c r="C158" vm="1936">
        <f ca="1"/>
        <v>7.41</v>
      </c>
      <c r="D158" vm="2182">
        <f ca="1"/>
        <v>7.4550000000000001</v>
      </c>
      <c r="E158" vm="2180">
        <f ca="1"/>
        <v>7.28</v>
      </c>
      <c r="F158" vm="2603">
        <f ca="1"/>
        <v>2641992</v>
      </c>
    </row>
    <row r="159" spans="1:6" x14ac:dyDescent="0.25">
      <c r="A159" vm="520">
        <f ca="1"/>
        <v>45889</v>
      </c>
      <c r="B159" vm="2151">
        <f ca="1"/>
        <v>7.4</v>
      </c>
      <c r="C159" vm="1789">
        <f ca="1"/>
        <v>7.35</v>
      </c>
      <c r="D159" vm="1906">
        <f ca="1"/>
        <v>7.44</v>
      </c>
      <c r="E159" vm="2604">
        <f ca="1"/>
        <v>7.2850000000000001</v>
      </c>
      <c r="F159" vm="2605">
        <f ca="1"/>
        <v>2458953</v>
      </c>
    </row>
    <row r="160" spans="1:6" x14ac:dyDescent="0.25">
      <c r="A160" vm="522">
        <f ca="1"/>
        <v>45890</v>
      </c>
      <c r="B160" vm="1386">
        <f ca="1"/>
        <v>7.6</v>
      </c>
      <c r="C160" vm="1371">
        <f ca="1"/>
        <v>7.31</v>
      </c>
      <c r="D160" vm="1381">
        <f ca="1"/>
        <v>7.64</v>
      </c>
      <c r="E160" vm="1371">
        <f ca="1"/>
        <v>7.31</v>
      </c>
      <c r="F160" vm="2606">
        <f ca="1"/>
        <v>3423589</v>
      </c>
    </row>
    <row r="161" spans="1:6" x14ac:dyDescent="0.25">
      <c r="A161" vm="524">
        <f ca="1"/>
        <v>45891</v>
      </c>
      <c r="B161" vm="1387">
        <f ca="1"/>
        <v>7.61</v>
      </c>
      <c r="C161" vm="1935">
        <f ca="1"/>
        <v>7.7</v>
      </c>
      <c r="D161" vm="262">
        <f ca="1"/>
        <v>7.77</v>
      </c>
      <c r="E161" vm="1838">
        <f ca="1"/>
        <v>7.58</v>
      </c>
      <c r="F161" vm="2607">
        <f ca="1"/>
        <v>3924063</v>
      </c>
    </row>
    <row r="162" spans="1:6" x14ac:dyDescent="0.25">
      <c r="A162" vm="527">
        <f ca="1"/>
        <v>45894</v>
      </c>
      <c r="B162" vm="1853">
        <f ca="1"/>
        <v>7.48</v>
      </c>
      <c r="C162" vm="1379">
        <f ca="1"/>
        <v>7.55</v>
      </c>
      <c r="D162" vm="2194">
        <f ca="1"/>
        <v>7.63</v>
      </c>
      <c r="E162" vm="1852">
        <f ca="1"/>
        <v>7.42</v>
      </c>
      <c r="F162" vm="2608">
        <f ca="1"/>
        <v>3126438</v>
      </c>
    </row>
    <row r="163" spans="1:6" x14ac:dyDescent="0.25">
      <c r="A163" vm="529">
        <f ca="1"/>
        <v>45895</v>
      </c>
      <c r="B163" vm="1813">
        <f ca="1"/>
        <v>7.52</v>
      </c>
      <c r="C163" vm="1906">
        <f ca="1"/>
        <v>7.44</v>
      </c>
      <c r="D163" vm="1894">
        <f ca="1"/>
        <v>7.56</v>
      </c>
      <c r="E163" vm="2151">
        <f ca="1"/>
        <v>7.4</v>
      </c>
      <c r="F163" vm="2609">
        <f ca="1"/>
        <v>2920136</v>
      </c>
    </row>
    <row r="164" spans="1:6" x14ac:dyDescent="0.25">
      <c r="A164" vm="531">
        <f ca="1"/>
        <v>45896</v>
      </c>
      <c r="B164" vm="1381">
        <f ca="1"/>
        <v>7.64</v>
      </c>
      <c r="C164" vm="1936">
        <f ca="1"/>
        <v>7.41</v>
      </c>
      <c r="D164" vm="254">
        <f ca="1"/>
        <v>7.68</v>
      </c>
      <c r="E164" vm="1936">
        <f ca="1"/>
        <v>7.41</v>
      </c>
      <c r="F164" vm="2610">
        <f ca="1"/>
        <v>2000046</v>
      </c>
    </row>
    <row r="165" spans="1:6" x14ac:dyDescent="0.25">
      <c r="A165" vm="534">
        <f ca="1"/>
        <v>45897</v>
      </c>
      <c r="B165" vm="1931">
        <f ca="1"/>
        <v>7.65</v>
      </c>
      <c r="C165" vm="2194">
        <f ca="1"/>
        <v>7.63</v>
      </c>
      <c r="D165" vm="249">
        <f ca="1"/>
        <v>7.7949999999999999</v>
      </c>
      <c r="E165" vm="2611">
        <f ca="1"/>
        <v>7.5884999999999998</v>
      </c>
      <c r="F165" vm="2612">
        <f ca="1"/>
        <v>3623470</v>
      </c>
    </row>
    <row r="166" spans="1:6" x14ac:dyDescent="0.25">
      <c r="A166" vm="536">
        <f ca="1"/>
        <v>45898</v>
      </c>
      <c r="B166" vm="1909">
        <f ca="1"/>
        <v>7.59</v>
      </c>
      <c r="C166" vm="1384">
        <f ca="1"/>
        <v>7.67</v>
      </c>
      <c r="D166" vm="2613">
        <f ca="1"/>
        <v>7.7450000000000001</v>
      </c>
      <c r="E166" vm="1894">
        <f ca="1"/>
        <v>7.56</v>
      </c>
      <c r="F166" vm="2614">
        <f ca="1"/>
        <v>4153629</v>
      </c>
    </row>
    <row r="167" spans="1:6" x14ac:dyDescent="0.25">
      <c r="A167" vm="538">
        <f ca="1"/>
        <v>45902</v>
      </c>
      <c r="B167" vm="232">
        <f ca="1"/>
        <v>7.88</v>
      </c>
      <c r="C167" vm="248">
        <f ca="1"/>
        <v>7.71</v>
      </c>
      <c r="D167" vm="1541">
        <f ca="1"/>
        <v>7.9</v>
      </c>
      <c r="E167" vm="2615">
        <f ca="1"/>
        <v>7.6050000000000004</v>
      </c>
      <c r="F167" vm="2616">
        <f ca="1"/>
        <v>4561381</v>
      </c>
    </row>
    <row r="168" spans="1:6" x14ac:dyDescent="0.25">
      <c r="A168" vm="541">
        <f ca="1"/>
        <v>45903</v>
      </c>
      <c r="B168" vm="2183">
        <f ca="1"/>
        <v>7.85</v>
      </c>
      <c r="C168" vm="1541">
        <f ca="1"/>
        <v>7.9</v>
      </c>
      <c r="D168" vm="2617">
        <f ca="1"/>
        <v>7.9850000000000003</v>
      </c>
      <c r="E168" vm="1908">
        <f ca="1"/>
        <v>7.69</v>
      </c>
      <c r="F168" vm="2618">
        <f ca="1"/>
        <v>5272635</v>
      </c>
    </row>
    <row r="169" spans="1:6" x14ac:dyDescent="0.25">
      <c r="A169" vm="543">
        <f ca="1"/>
        <v>45904</v>
      </c>
      <c r="B169" vm="1428">
        <f ca="1"/>
        <v>8.02</v>
      </c>
      <c r="C169" vm="1417">
        <f ca="1"/>
        <v>7.83</v>
      </c>
      <c r="D169" vm="313">
        <f ca="1"/>
        <v>8.0299999999999994</v>
      </c>
      <c r="E169" vm="1382">
        <f ca="1"/>
        <v>7.81</v>
      </c>
      <c r="F169" vm="2619">
        <f ca="1"/>
        <v>5572392</v>
      </c>
    </row>
    <row r="170" spans="1:6" x14ac:dyDescent="0.25">
      <c r="A170" vm="545">
        <f ca="1"/>
        <v>45905</v>
      </c>
      <c r="B170" vm="602">
        <f ca="1"/>
        <v>7.99</v>
      </c>
      <c r="C170" vm="588">
        <f ca="1"/>
        <v>8.08</v>
      </c>
      <c r="D170" vm="269">
        <f ca="1"/>
        <v>8.19</v>
      </c>
      <c r="E170" vm="602">
        <f ca="1"/>
        <v>7.99</v>
      </c>
      <c r="F170" vm="2620">
        <f ca="1"/>
        <v>5559297</v>
      </c>
    </row>
    <row r="171" spans="1:6" x14ac:dyDescent="0.25">
      <c r="A171" vm="546">
        <f ca="1"/>
        <v>45908</v>
      </c>
      <c r="B171" vm="1899">
        <f ca="1"/>
        <v>7.98</v>
      </c>
      <c r="C171" vm="313">
        <f ca="1"/>
        <v>8.0299999999999994</v>
      </c>
      <c r="D171" vm="269">
        <f ca="1"/>
        <v>8.19</v>
      </c>
      <c r="E171" vm="305">
        <f ca="1"/>
        <v>7.95</v>
      </c>
      <c r="F171" vm="2621">
        <f ca="1"/>
        <v>3388206</v>
      </c>
    </row>
    <row r="172" spans="1:6" x14ac:dyDescent="0.25">
      <c r="A172" vm="548">
        <f ca="1"/>
        <v>45909</v>
      </c>
      <c r="B172" vm="252">
        <f ca="1"/>
        <v>7.89</v>
      </c>
      <c r="C172" vm="602">
        <f ca="1"/>
        <v>7.99</v>
      </c>
      <c r="D172" vm="602">
        <f ca="1"/>
        <v>7.99</v>
      </c>
      <c r="E172" vm="2622">
        <f ca="1"/>
        <v>7.8002000000000002</v>
      </c>
      <c r="F172" vm="2623">
        <f ca="1"/>
        <v>2644702</v>
      </c>
    </row>
    <row r="173" spans="1:6" x14ac:dyDescent="0.25">
      <c r="A173" vm="550">
        <f ca="1"/>
        <v>45910</v>
      </c>
      <c r="B173" vm="308">
        <f ca="1"/>
        <v>7.94</v>
      </c>
      <c r="C173" vm="1417">
        <f ca="1"/>
        <v>7.83</v>
      </c>
      <c r="D173" vm="309">
        <f ca="1"/>
        <v>8.11</v>
      </c>
      <c r="E173" vm="2624">
        <f ca="1"/>
        <v>7.7850000000000001</v>
      </c>
      <c r="F173" vm="2625">
        <f ca="1"/>
        <v>3540957</v>
      </c>
    </row>
    <row r="174" spans="1:6" x14ac:dyDescent="0.25">
      <c r="A174" vm="551">
        <f ca="1"/>
        <v>45911</v>
      </c>
      <c r="B174" vm="1428">
        <f ca="1"/>
        <v>8.02</v>
      </c>
      <c r="C174" vm="1416">
        <f ca="1"/>
        <v>7.96</v>
      </c>
      <c r="D174" vm="624">
        <f ca="1"/>
        <v>8.0500000000000007</v>
      </c>
      <c r="E174" vm="252">
        <f ca="1"/>
        <v>7.89</v>
      </c>
      <c r="F174" vm="2626">
        <f ca="1"/>
        <v>1907061</v>
      </c>
    </row>
    <row r="175" spans="1:6" x14ac:dyDescent="0.25">
      <c r="A175" vm="554">
        <f ca="1"/>
        <v>45912</v>
      </c>
      <c r="B175" vm="602">
        <f ca="1"/>
        <v>7.99</v>
      </c>
      <c r="C175" vm="617">
        <f ca="1"/>
        <v>8</v>
      </c>
      <c r="D175" vm="309">
        <f ca="1"/>
        <v>8.11</v>
      </c>
      <c r="E175" vm="1806">
        <f ca="1"/>
        <v>7.92</v>
      </c>
      <c r="F175" vm="2627">
        <f ca="1"/>
        <v>2877575</v>
      </c>
    </row>
    <row r="176" spans="1:6" x14ac:dyDescent="0.25">
      <c r="A176" vm="555">
        <f ca="1"/>
        <v>45915</v>
      </c>
      <c r="B176" vm="258">
        <f ca="1"/>
        <v>7.73</v>
      </c>
      <c r="C176" vm="1898">
        <f ca="1"/>
        <v>8.01</v>
      </c>
      <c r="D176" vm="588">
        <f ca="1"/>
        <v>8.08</v>
      </c>
      <c r="E176" vm="254">
        <f ca="1"/>
        <v>7.68</v>
      </c>
      <c r="F176" vm="2628">
        <f ca="1"/>
        <v>3394050</v>
      </c>
    </row>
    <row r="177" spans="1:6" x14ac:dyDescent="0.25">
      <c r="A177" vm="556">
        <f ca="1"/>
        <v>45916</v>
      </c>
      <c r="B177" vm="1898">
        <f ca="1"/>
        <v>8.01</v>
      </c>
      <c r="C177" vm="258">
        <f ca="1"/>
        <v>7.73</v>
      </c>
      <c r="D177" vm="2629">
        <f ca="1"/>
        <v>8.2850000000000001</v>
      </c>
      <c r="E177" vm="1387">
        <f ca="1"/>
        <v>7.61</v>
      </c>
      <c r="F177" vm="2630">
        <f ca="1"/>
        <v>7491392</v>
      </c>
    </row>
    <row r="178" spans="1:6" x14ac:dyDescent="0.25">
      <c r="A178" vm="559">
        <f ca="1"/>
        <v>45917</v>
      </c>
      <c r="B178" vm="620">
        <f ca="1"/>
        <v>7.97</v>
      </c>
      <c r="C178" vm="602">
        <f ca="1"/>
        <v>7.99</v>
      </c>
      <c r="D178" vm="1871">
        <f ca="1"/>
        <v>8.1199999999999992</v>
      </c>
      <c r="E178" vm="2631">
        <f ca="1"/>
        <v>7.8849999999999998</v>
      </c>
      <c r="F178" vm="2632">
        <f ca="1"/>
        <v>4990964</v>
      </c>
    </row>
    <row r="179" spans="1:6" x14ac:dyDescent="0.25">
      <c r="A179" vm="560">
        <f ca="1"/>
        <v>45918</v>
      </c>
      <c r="B179" vm="468">
        <f ca="1"/>
        <v>8.48</v>
      </c>
      <c r="C179" vm="468">
        <f ca="1"/>
        <v>8.48</v>
      </c>
      <c r="D179" vm="625">
        <f ca="1"/>
        <v>8.52</v>
      </c>
      <c r="E179" vm="1896">
        <f ca="1"/>
        <v>8.26</v>
      </c>
      <c r="F179" vm="2633">
        <f ca="1"/>
        <v>9460775</v>
      </c>
    </row>
    <row r="180" spans="1:6" x14ac:dyDescent="0.25">
      <c r="A180" vm="561">
        <f ca="1"/>
        <v>45919</v>
      </c>
      <c r="B180" vm="352">
        <f ca="1"/>
        <v>8.33</v>
      </c>
      <c r="C180" vm="356">
        <f ca="1"/>
        <v>8.41</v>
      </c>
      <c r="D180" vm="2634">
        <f ca="1"/>
        <v>8.4350000000000005</v>
      </c>
      <c r="E180" vm="260">
        <f ca="1"/>
        <v>8.1300000000000008</v>
      </c>
      <c r="F180" vm="2635">
        <f ca="1"/>
        <v>13465911</v>
      </c>
    </row>
    <row r="181" spans="1:6" x14ac:dyDescent="0.25">
      <c r="A181" vm="562">
        <f ca="1"/>
        <v>45922</v>
      </c>
      <c r="B181" vm="240">
        <f ca="1"/>
        <v>8.57</v>
      </c>
      <c r="C181" vm="261">
        <f ca="1"/>
        <v>8.2899999999999991</v>
      </c>
      <c r="D181" vm="351">
        <f ca="1"/>
        <v>8.58</v>
      </c>
      <c r="E181" vm="549">
        <f ca="1"/>
        <v>8.2200000000000006</v>
      </c>
      <c r="F181" vm="2636">
        <f ca="1"/>
        <v>4285100</v>
      </c>
    </row>
    <row r="182" spans="1:6" x14ac:dyDescent="0.25">
      <c r="A182" vm="563">
        <f ca="1"/>
        <v>45923</v>
      </c>
      <c r="B182" vm="277">
        <f ca="1"/>
        <v>8.16</v>
      </c>
      <c r="C182" vm="625">
        <f ca="1"/>
        <v>8.52</v>
      </c>
      <c r="D182" vm="354">
        <f ca="1"/>
        <v>8.68</v>
      </c>
      <c r="E182" vm="615">
        <f ca="1"/>
        <v>8.14</v>
      </c>
      <c r="F182" vm="2637">
        <f ca="1"/>
        <v>3884443</v>
      </c>
    </row>
    <row r="183" spans="1:6" x14ac:dyDescent="0.25">
      <c r="A183" vm="564">
        <f ca="1"/>
        <v>45924</v>
      </c>
      <c r="B183" vm="368">
        <f ca="1"/>
        <v>8.35</v>
      </c>
      <c r="C183" vm="1871">
        <f ca="1"/>
        <v>8.1199999999999992</v>
      </c>
      <c r="D183" vm="465">
        <f ca="1"/>
        <v>8.42</v>
      </c>
      <c r="E183" vm="1871">
        <f ca="1"/>
        <v>8.1199999999999992</v>
      </c>
      <c r="F183" vm="2638">
        <f ca="1"/>
        <v>2842144</v>
      </c>
    </row>
    <row r="184" spans="1:6" x14ac:dyDescent="0.25">
      <c r="A184" vm="566">
        <f ca="1"/>
        <v>45925</v>
      </c>
      <c r="B184" vm="595">
        <f ca="1"/>
        <v>8.32</v>
      </c>
      <c r="C184" vm="612">
        <f ca="1"/>
        <v>8.4</v>
      </c>
      <c r="D184" vm="291">
        <f ca="1"/>
        <v>8.4600000000000009</v>
      </c>
      <c r="E184" vm="1426">
        <f ca="1"/>
        <v>8.2349999999999994</v>
      </c>
      <c r="F184" vm="2639">
        <f ca="1"/>
        <v>3285602</v>
      </c>
    </row>
    <row r="185" spans="1:6" x14ac:dyDescent="0.25">
      <c r="A185" vm="568">
        <f ca="1"/>
        <v>45926</v>
      </c>
      <c r="B185" vm="297">
        <f ca="1"/>
        <v>8.24</v>
      </c>
      <c r="C185" vm="368">
        <f ca="1"/>
        <v>8.35</v>
      </c>
      <c r="D185" vm="368">
        <f ca="1"/>
        <v>8.35</v>
      </c>
      <c r="E185" vm="2640">
        <f ca="1"/>
        <v>8.0749999999999993</v>
      </c>
      <c r="F185" vm="2641">
        <f ca="1"/>
        <v>4770151</v>
      </c>
    </row>
    <row r="186" spans="1:6" x14ac:dyDescent="0.25">
      <c r="A186" vm="571">
        <f ca="1"/>
        <v>45929</v>
      </c>
      <c r="B186" vm="308">
        <f ca="1"/>
        <v>7.94</v>
      </c>
      <c r="C186" vm="293">
        <f ca="1"/>
        <v>8.2799999999999994</v>
      </c>
      <c r="D186" vm="285">
        <f ca="1"/>
        <v>8.34</v>
      </c>
      <c r="E186" vm="1794">
        <f ca="1"/>
        <v>7.72</v>
      </c>
      <c r="F186" vm="2642">
        <f ca="1"/>
        <v>8565996</v>
      </c>
    </row>
    <row r="187" spans="1:6" x14ac:dyDescent="0.25">
      <c r="A187" vm="573">
        <f ca="1"/>
        <v>45930</v>
      </c>
      <c r="B187" vm="232">
        <f ca="1"/>
        <v>7.88</v>
      </c>
      <c r="C187" vm="305">
        <f ca="1"/>
        <v>7.95</v>
      </c>
      <c r="D187" vm="617">
        <f ca="1"/>
        <v>8</v>
      </c>
      <c r="E187" vm="2643">
        <f ca="1"/>
        <v>7.835</v>
      </c>
      <c r="F187" vm="2644">
        <f ca="1"/>
        <v>4556096</v>
      </c>
    </row>
    <row r="188" spans="1:6" x14ac:dyDescent="0.25">
      <c r="A188" vm="575">
        <f ca="1"/>
        <v>45931</v>
      </c>
      <c r="B188" vm="248">
        <f ca="1"/>
        <v>7.71</v>
      </c>
      <c r="C188" vm="620">
        <f ca="1"/>
        <v>7.97</v>
      </c>
      <c r="D188" vm="2634">
        <f ca="1"/>
        <v>8.4350000000000005</v>
      </c>
      <c r="E188" vm="254">
        <f ca="1"/>
        <v>7.68</v>
      </c>
      <c r="F188" vm="2645">
        <f ca="1"/>
        <v>14116338</v>
      </c>
    </row>
    <row r="189" spans="1:6" x14ac:dyDescent="0.25">
      <c r="A189" vm="576">
        <f ca="1"/>
        <v>45932</v>
      </c>
      <c r="B189" vm="598">
        <f ca="1"/>
        <v>8.25</v>
      </c>
      <c r="C189" vm="1907">
        <f ca="1"/>
        <v>7.74</v>
      </c>
      <c r="D189" vm="272">
        <f ca="1"/>
        <v>8.3000000000000007</v>
      </c>
      <c r="E189" vm="1907">
        <f ca="1"/>
        <v>7.74</v>
      </c>
      <c r="F189" vm="2646">
        <f ca="1"/>
        <v>9970735</v>
      </c>
    </row>
    <row r="190" spans="1:6" x14ac:dyDescent="0.25">
      <c r="A190" vm="578">
        <f ca="1"/>
        <v>45933</v>
      </c>
      <c r="B190" vm="603">
        <f ca="1"/>
        <v>8.1999999999999993</v>
      </c>
      <c r="C190" vm="598">
        <f ca="1"/>
        <v>8.25</v>
      </c>
      <c r="D190" vm="2647">
        <f ca="1"/>
        <v>8.5850000000000009</v>
      </c>
      <c r="E190" vm="309">
        <f ca="1"/>
        <v>8.11</v>
      </c>
      <c r="F190" vm="2648">
        <f ca="1"/>
        <v>6600235</v>
      </c>
    </row>
    <row r="191" spans="1:6" x14ac:dyDescent="0.25">
      <c r="A191" vm="580">
        <f ca="1"/>
        <v>45936</v>
      </c>
      <c r="B191" vm="277">
        <f ca="1"/>
        <v>8.16</v>
      </c>
      <c r="C191" vm="549">
        <f ca="1"/>
        <v>8.2200000000000006</v>
      </c>
      <c r="D191" vm="2649">
        <f ca="1"/>
        <v>8.4250000000000007</v>
      </c>
      <c r="E191" vm="260">
        <f ca="1"/>
        <v>8.1300000000000008</v>
      </c>
      <c r="F191" vm="2650">
        <f ca="1"/>
        <v>4235174</v>
      </c>
    </row>
    <row r="192" spans="1:6" x14ac:dyDescent="0.25">
      <c r="A192" vm="582">
        <f ca="1"/>
        <v>45937</v>
      </c>
      <c r="B192" vm="277">
        <f ca="1"/>
        <v>8.16</v>
      </c>
      <c r="C192" vm="1412">
        <f ca="1"/>
        <v>8.31</v>
      </c>
      <c r="D192" vm="1412">
        <f ca="1"/>
        <v>8.31</v>
      </c>
      <c r="E192" vm="2303">
        <f ca="1"/>
        <v>8.0250000000000004</v>
      </c>
      <c r="F192" vm="2651">
        <f ca="1"/>
        <v>3321290</v>
      </c>
    </row>
    <row r="193" spans="1:6" x14ac:dyDescent="0.25">
      <c r="A193" vm="584">
        <f ca="1"/>
        <v>45938</v>
      </c>
      <c r="B193" vm="1896">
        <f ca="1"/>
        <v>8.26</v>
      </c>
      <c r="C193" vm="277">
        <f ca="1"/>
        <v>8.16</v>
      </c>
      <c r="D193" vm="1538">
        <f ca="1"/>
        <v>8.3149999999999995</v>
      </c>
      <c r="E193" vm="1898">
        <f ca="1"/>
        <v>8.01</v>
      </c>
      <c r="F193" vm="2652">
        <f ca="1"/>
        <v>3764870</v>
      </c>
    </row>
    <row r="194" spans="1:6" x14ac:dyDescent="0.25">
      <c r="A194" vm="585">
        <f ca="1"/>
        <v>45939</v>
      </c>
      <c r="B194" vm="275">
        <f ca="1"/>
        <v>8.27</v>
      </c>
      <c r="C194" vm="297">
        <f ca="1"/>
        <v>8.24</v>
      </c>
      <c r="D194" vm="2653">
        <f ca="1"/>
        <v>8.5050000000000008</v>
      </c>
      <c r="E194" vm="269">
        <f ca="1"/>
        <v>8.19</v>
      </c>
      <c r="F194" vm="2654">
        <f ca="1"/>
        <v>5948121</v>
      </c>
    </row>
    <row r="195" spans="1:6" x14ac:dyDescent="0.25">
      <c r="A195" vm="587">
        <f ca="1"/>
        <v>45940</v>
      </c>
      <c r="B195" vm="272">
        <f ca="1"/>
        <v>8.3000000000000007</v>
      </c>
      <c r="C195" vm="272">
        <f ca="1"/>
        <v>8.3000000000000007</v>
      </c>
      <c r="D195" vm="368">
        <f ca="1"/>
        <v>8.35</v>
      </c>
      <c r="E195" vm="277">
        <f ca="1"/>
        <v>8.16</v>
      </c>
      <c r="F195" vm="2655">
        <f ca="1"/>
        <v>3643704</v>
      </c>
    </row>
    <row r="196" spans="1:6" x14ac:dyDescent="0.25">
      <c r="A196" vm="590">
        <f ca="1"/>
        <v>45943</v>
      </c>
      <c r="B196" vm="1930">
        <f ca="1"/>
        <v>8.18</v>
      </c>
      <c r="C196" vm="261">
        <f ca="1"/>
        <v>8.2899999999999991</v>
      </c>
      <c r="D196" vm="311">
        <f ca="1"/>
        <v>8.3699999999999992</v>
      </c>
      <c r="E196" vm="617">
        <f ca="1"/>
        <v>8</v>
      </c>
      <c r="F196" vm="2656">
        <f ca="1"/>
        <v>3281269</v>
      </c>
    </row>
    <row r="197" spans="1:6" x14ac:dyDescent="0.25">
      <c r="A197" vm="592">
        <f ca="1"/>
        <v>45944</v>
      </c>
      <c r="B197" vm="456">
        <f ca="1"/>
        <v>8.0399999999999991</v>
      </c>
      <c r="C197" vm="1790">
        <f ca="1"/>
        <v>8.07</v>
      </c>
      <c r="D197" vm="619">
        <f ca="1"/>
        <v>8.15</v>
      </c>
      <c r="E197" vm="2657">
        <f ca="1"/>
        <v>7.9649999999999999</v>
      </c>
      <c r="F197" vm="2658">
        <f ca="1"/>
        <v>4301929</v>
      </c>
    </row>
    <row r="198" spans="1:6" x14ac:dyDescent="0.25">
      <c r="A198" vm="594">
        <f ca="1"/>
        <v>45945</v>
      </c>
      <c r="B198" vm="311">
        <f ca="1"/>
        <v>8.3699999999999992</v>
      </c>
      <c r="C198" vm="613">
        <f ca="1"/>
        <v>8.0549999999999997</v>
      </c>
      <c r="D198" vm="294">
        <f ca="1"/>
        <v>8.4849999999999994</v>
      </c>
      <c r="E198" vm="1898">
        <f ca="1"/>
        <v>8.01</v>
      </c>
      <c r="F198" vm="2659">
        <f ca="1"/>
        <v>5928727</v>
      </c>
    </row>
    <row r="199" spans="1:6" x14ac:dyDescent="0.25">
      <c r="A199" vm="596">
        <f ca="1"/>
        <v>45946</v>
      </c>
      <c r="B199" vm="309">
        <f ca="1"/>
        <v>8.11</v>
      </c>
      <c r="C199" vm="366">
        <f ca="1"/>
        <v>8.39</v>
      </c>
      <c r="D199" vm="468">
        <f ca="1"/>
        <v>8.48</v>
      </c>
      <c r="E199" vm="1790">
        <f ca="1"/>
        <v>8.07</v>
      </c>
      <c r="F199" vm="2660">
        <f ca="1"/>
        <v>5487875</v>
      </c>
    </row>
    <row r="200" spans="1:6" x14ac:dyDescent="0.25">
      <c r="A200" vm="597">
        <f ca="1"/>
        <v>45947</v>
      </c>
      <c r="B200" vm="456">
        <f ca="1"/>
        <v>8.0399999999999991</v>
      </c>
      <c r="C200" vm="456">
        <f ca="1"/>
        <v>8.0399999999999991</v>
      </c>
      <c r="D200" vm="619">
        <f ca="1"/>
        <v>8.15</v>
      </c>
      <c r="E200" vm="1413">
        <f ca="1"/>
        <v>7.87</v>
      </c>
      <c r="F200" vm="2661">
        <f ca="1"/>
        <v>3124047</v>
      </c>
    </row>
    <row r="201" spans="1:6" x14ac:dyDescent="0.25">
      <c r="A201" vm="600">
        <f ca="1"/>
        <v>45950</v>
      </c>
      <c r="B201" vm="312">
        <f ca="1"/>
        <v>8.44</v>
      </c>
      <c r="C201" vm="1871">
        <f ca="1"/>
        <v>8.1199999999999992</v>
      </c>
      <c r="D201" vm="364">
        <f ca="1"/>
        <v>8.5500000000000007</v>
      </c>
      <c r="E201" vm="599">
        <f ca="1"/>
        <v>8.09</v>
      </c>
      <c r="F201" vm="2662">
        <f ca="1"/>
        <v>7369951</v>
      </c>
    </row>
    <row r="202" spans="1:6" x14ac:dyDescent="0.25">
      <c r="A202" vm="601">
        <f ca="1"/>
        <v>45951</v>
      </c>
      <c r="B202" vm="2663">
        <f ca="1"/>
        <v>8.4700000000000006</v>
      </c>
      <c r="C202" vm="612">
        <f ca="1"/>
        <v>8.4</v>
      </c>
      <c r="D202" vm="289">
        <f ca="1"/>
        <v>8.6</v>
      </c>
      <c r="E202" vm="366">
        <f ca="1"/>
        <v>8.39</v>
      </c>
      <c r="F202" vm="2664">
        <f ca="1"/>
        <v>3248747</v>
      </c>
    </row>
    <row r="203" spans="1:6" x14ac:dyDescent="0.25">
      <c r="A203" vm="604">
        <f ca="1"/>
        <v>45952</v>
      </c>
      <c r="B203" vm="364">
        <f ca="1"/>
        <v>8.5500000000000007</v>
      </c>
      <c r="C203" vm="468">
        <f ca="1"/>
        <v>8.48</v>
      </c>
      <c r="D203" vm="381">
        <f ca="1"/>
        <v>8.6150000000000002</v>
      </c>
      <c r="E203" vm="455">
        <f ca="1"/>
        <v>8.3650000000000002</v>
      </c>
      <c r="F203" vm="2665">
        <f ca="1"/>
        <v>3326429</v>
      </c>
    </row>
    <row r="204" spans="1:6" x14ac:dyDescent="0.25">
      <c r="A204" vm="606">
        <f ca="1"/>
        <v>45953</v>
      </c>
      <c r="B204" vm="279">
        <f ca="1"/>
        <v>8.5</v>
      </c>
      <c r="C204" vm="240">
        <f ca="1"/>
        <v>8.57</v>
      </c>
      <c r="D204" vm="240">
        <f ca="1"/>
        <v>8.57</v>
      </c>
      <c r="E204" vm="1544">
        <f ca="1"/>
        <v>8.3249999999999993</v>
      </c>
      <c r="F204" vm="2666">
        <f ca="1"/>
        <v>2244354</v>
      </c>
    </row>
    <row r="205" spans="1:6" x14ac:dyDescent="0.25">
      <c r="A205" vm="608">
        <f ca="1"/>
        <v>45954</v>
      </c>
      <c r="B205" vm="379">
        <f ca="1"/>
        <v>8.67</v>
      </c>
      <c r="C205" vm="625">
        <f ca="1"/>
        <v>8.52</v>
      </c>
      <c r="D205" vm="339">
        <f ca="1"/>
        <v>8.74</v>
      </c>
      <c r="E205" vm="294">
        <f ca="1"/>
        <v>8.4849999999999994</v>
      </c>
      <c r="F205" vm="2667">
        <f ca="1"/>
        <v>2997632</v>
      </c>
    </row>
    <row r="206" spans="1:6" x14ac:dyDescent="0.25">
      <c r="A206" vm="610">
        <f ca="1"/>
        <v>45957</v>
      </c>
      <c r="B206" vm="428">
        <f ca="1"/>
        <v>8.8800000000000008</v>
      </c>
      <c r="C206" vm="646">
        <f ca="1"/>
        <v>8.66</v>
      </c>
      <c r="D206" vm="335">
        <f ca="1"/>
        <v>8.9499999999999993</v>
      </c>
      <c r="E206" vm="358">
        <f ca="1"/>
        <v>8.6300000000000008</v>
      </c>
      <c r="F206" vm="2668">
        <f ca="1"/>
        <v>6102978</v>
      </c>
    </row>
    <row r="207" spans="1:6" x14ac:dyDescent="0.25">
      <c r="A207" vm="611">
        <f ca="1"/>
        <v>45958</v>
      </c>
      <c r="B207" vm="476">
        <f ca="1"/>
        <v>8.86</v>
      </c>
      <c r="C207" vm="380">
        <f ca="1"/>
        <v>8.89</v>
      </c>
      <c r="D207" vm="387">
        <f ca="1"/>
        <v>9.08</v>
      </c>
      <c r="E207" vm="376">
        <f ca="1"/>
        <v>8.7799999999999994</v>
      </c>
      <c r="F207" vm="2669">
        <f ca="1"/>
        <v>3703002</v>
      </c>
    </row>
    <row r="208" spans="1:6" x14ac:dyDescent="0.25">
      <c r="A208" vm="614">
        <f ca="1"/>
        <v>45959</v>
      </c>
      <c r="B208" vm="630">
        <f ca="1"/>
        <v>8.9</v>
      </c>
      <c r="C208" vm="435">
        <f ca="1"/>
        <v>8.83</v>
      </c>
      <c r="D208" vm="2670">
        <f ca="1"/>
        <v>9.2850000000000001</v>
      </c>
      <c r="E208" vm="283">
        <f ca="1"/>
        <v>8.7200000000000006</v>
      </c>
      <c r="F208" vm="2671">
        <f ca="1"/>
        <v>5584328</v>
      </c>
    </row>
    <row r="209" spans="1:6" x14ac:dyDescent="0.25">
      <c r="A209" vm="618">
        <f ca="1"/>
        <v>45960</v>
      </c>
      <c r="B209" vm="630">
        <f ca="1"/>
        <v>8.9</v>
      </c>
      <c r="C209" vm="630">
        <f ca="1"/>
        <v>8.9</v>
      </c>
      <c r="D209" vm="342">
        <f ca="1"/>
        <v>9.1649999999999991</v>
      </c>
      <c r="E209" vm="553">
        <f ca="1"/>
        <v>8.81</v>
      </c>
      <c r="F209" vm="2672">
        <f ca="1"/>
        <v>4905471</v>
      </c>
    </row>
    <row r="210" spans="1:6" x14ac:dyDescent="0.25">
      <c r="A210" vm="621">
        <f ca="1"/>
        <v>45961</v>
      </c>
      <c r="B210" vm="383">
        <f ca="1"/>
        <v>9.0299999999999994</v>
      </c>
      <c r="C210" vm="630">
        <f ca="1"/>
        <v>8.9</v>
      </c>
      <c r="D210" vm="390">
        <f ca="1"/>
        <v>9.17</v>
      </c>
      <c r="E210" vm="2673">
        <f ca="1"/>
        <v>8.7531999999999996</v>
      </c>
      <c r="F210" vm="2674">
        <f ca="1"/>
        <v>4890537</v>
      </c>
    </row>
    <row r="211" spans="1:6" x14ac:dyDescent="0.25">
      <c r="A211" vm="622">
        <f ca="1"/>
        <v>45964</v>
      </c>
      <c r="B211" vm="476">
        <f ca="1"/>
        <v>8.86</v>
      </c>
      <c r="C211" vm="429">
        <f ca="1"/>
        <v>9.01</v>
      </c>
      <c r="D211" vm="387">
        <f ca="1"/>
        <v>9.08</v>
      </c>
      <c r="E211" vm="299">
        <f ca="1"/>
        <v>8.6199999999999992</v>
      </c>
      <c r="F211" vm="2675">
        <f ca="1"/>
        <v>7627287</v>
      </c>
    </row>
    <row r="212" spans="1:6" x14ac:dyDescent="0.25">
      <c r="A212" vm="623">
        <f ca="1"/>
        <v>45965</v>
      </c>
      <c r="B212" vm="338">
        <f ca="1"/>
        <v>8.99</v>
      </c>
      <c r="C212" vm="387">
        <f ca="1"/>
        <v>9.08</v>
      </c>
      <c r="D212" vm="322">
        <f ca="1"/>
        <v>9.64</v>
      </c>
      <c r="E212" vm="1904">
        <f ca="1"/>
        <v>8.85</v>
      </c>
      <c r="F212" vm="2676">
        <f ca="1"/>
        <v>9726906</v>
      </c>
    </row>
    <row r="213" spans="1:6" x14ac:dyDescent="0.25">
      <c r="A213" vm="626">
        <f ca="1"/>
        <v>45966</v>
      </c>
      <c r="B213" vm="329">
        <f ca="1"/>
        <v>9.19</v>
      </c>
      <c r="C213" vm="645">
        <f ca="1"/>
        <v>9.0500000000000007</v>
      </c>
      <c r="D213" vm="445">
        <f ca="1"/>
        <v>9.3450000000000006</v>
      </c>
      <c r="E213" vm="338">
        <f ca="1"/>
        <v>8.99</v>
      </c>
      <c r="F213" vm="2677">
        <f ca="1"/>
        <v>7125542</v>
      </c>
    </row>
    <row r="214" spans="1:6" x14ac:dyDescent="0.25">
      <c r="A214" vm="627">
        <f ca="1"/>
        <v>45967</v>
      </c>
      <c r="B214" vm="630">
        <f ca="1"/>
        <v>8.9</v>
      </c>
      <c r="C214" vm="478">
        <f ca="1"/>
        <v>9.1999999999999993</v>
      </c>
      <c r="D214" vm="377">
        <f ca="1"/>
        <v>9.27</v>
      </c>
      <c r="E214" vm="640">
        <f ca="1"/>
        <v>8.8699999999999992</v>
      </c>
      <c r="F214" vm="2678">
        <f ca="1"/>
        <v>6906213</v>
      </c>
    </row>
    <row r="215" spans="1:6" x14ac:dyDescent="0.25">
      <c r="A215" vm="629">
        <f ca="1"/>
        <v>45968</v>
      </c>
      <c r="B215" vm="640">
        <f ca="1"/>
        <v>8.8699999999999992</v>
      </c>
      <c r="C215" vm="428">
        <f ca="1"/>
        <v>8.8800000000000008</v>
      </c>
      <c r="D215" vm="461">
        <f ca="1"/>
        <v>8.98</v>
      </c>
      <c r="E215" vm="287">
        <f ca="1"/>
        <v>8.69</v>
      </c>
      <c r="F215" vm="2679">
        <f ca="1"/>
        <v>3896176</v>
      </c>
    </row>
    <row r="216" spans="1:6" x14ac:dyDescent="0.25">
      <c r="A216" vm="631">
        <f ca="1"/>
        <v>45971</v>
      </c>
      <c r="B216" vm="331">
        <f ca="1"/>
        <v>9</v>
      </c>
      <c r="C216" vm="416">
        <f ca="1"/>
        <v>8.93</v>
      </c>
      <c r="D216" vm="429">
        <f ca="1"/>
        <v>9.01</v>
      </c>
      <c r="E216" vm="435">
        <f ca="1"/>
        <v>8.83</v>
      </c>
      <c r="F216" vm="2680">
        <f ca="1"/>
        <v>3661263</v>
      </c>
    </row>
    <row r="217" spans="1:6" x14ac:dyDescent="0.25">
      <c r="A217" vm="632">
        <f ca="1"/>
        <v>45972</v>
      </c>
      <c r="B217" vm="330">
        <f ca="1"/>
        <v>9.32</v>
      </c>
      <c r="C217" vm="331">
        <f ca="1"/>
        <v>9</v>
      </c>
      <c r="D217" vm="521">
        <f ca="1"/>
        <v>9.39</v>
      </c>
      <c r="E217" vm="470">
        <f ca="1"/>
        <v>8.92</v>
      </c>
      <c r="F217" vm="2681">
        <f ca="1"/>
        <v>4601856</v>
      </c>
    </row>
    <row r="218" spans="1:6" x14ac:dyDescent="0.25">
      <c r="A218" vm="634">
        <f ca="1"/>
        <v>45973</v>
      </c>
      <c r="B218" vm="511">
        <f ca="1"/>
        <v>9.42</v>
      </c>
      <c r="C218" vm="475">
        <f ca="1"/>
        <v>9.33</v>
      </c>
      <c r="D218" vm="321">
        <f ca="1"/>
        <v>9.5</v>
      </c>
      <c r="E218" vm="2449">
        <f ca="1"/>
        <v>9.2349999999999994</v>
      </c>
      <c r="F218" vm="2682">
        <f ca="1"/>
        <v>4827367</v>
      </c>
    </row>
    <row r="219" spans="1:6" x14ac:dyDescent="0.25">
      <c r="A219" vm="636">
        <f ca="1"/>
        <v>45974</v>
      </c>
      <c r="B219" vm="438">
        <f ca="1"/>
        <v>9.3800000000000008</v>
      </c>
      <c r="C219" vm="318">
        <f ca="1"/>
        <v>9.41</v>
      </c>
      <c r="D219" vm="321">
        <f ca="1"/>
        <v>9.5</v>
      </c>
      <c r="E219" vm="451">
        <f ca="1"/>
        <v>9.24</v>
      </c>
      <c r="F219" vm="2683">
        <f ca="1"/>
        <v>3905835</v>
      </c>
    </row>
    <row r="220" spans="1:6" x14ac:dyDescent="0.25">
      <c r="A220" vm="637">
        <f ca="1"/>
        <v>45975</v>
      </c>
      <c r="B220" vm="519">
        <f ca="1"/>
        <v>9.48</v>
      </c>
      <c r="C220" vm="447">
        <f ca="1"/>
        <v>9.25</v>
      </c>
      <c r="D220" vm="404">
        <f ca="1"/>
        <v>9.56</v>
      </c>
      <c r="E220" vm="447">
        <f ca="1"/>
        <v>9.25</v>
      </c>
      <c r="F220" vm="2684">
        <f ca="1"/>
        <v>2746648</v>
      </c>
    </row>
    <row r="221" spans="1:6" x14ac:dyDescent="0.25">
      <c r="A221" vm="639">
        <f ca="1"/>
        <v>45978</v>
      </c>
      <c r="B221" vm="511">
        <f ca="1"/>
        <v>9.42</v>
      </c>
      <c r="C221" vm="519">
        <f ca="1"/>
        <v>9.48</v>
      </c>
      <c r="D221" vm="2685">
        <f ca="1"/>
        <v>9.6449999999999996</v>
      </c>
      <c r="E221" vm="511">
        <f ca="1"/>
        <v>9.42</v>
      </c>
      <c r="F221" vm="2686">
        <f ca="1"/>
        <v>6534743</v>
      </c>
    </row>
    <row r="222" spans="1:6" x14ac:dyDescent="0.25">
      <c r="A222" vm="643">
        <f ca="1"/>
        <v>45979</v>
      </c>
      <c r="B222" vm="748">
        <f ca="1"/>
        <v>9.59</v>
      </c>
      <c r="C222" vm="2687">
        <f ca="1"/>
        <v>9.3010000000000002</v>
      </c>
      <c r="D222" vm="658">
        <f ca="1"/>
        <v>9.6300000000000008</v>
      </c>
      <c r="E222" vm="377">
        <f ca="1"/>
        <v>9.27</v>
      </c>
      <c r="F222" vm="2688">
        <f ca="1"/>
        <v>3384580</v>
      </c>
    </row>
    <row r="223" spans="1:6" x14ac:dyDescent="0.25">
      <c r="A223" vm="644">
        <f ca="1"/>
        <v>45980</v>
      </c>
      <c r="B223" vm="751">
        <f ca="1"/>
        <v>9.73</v>
      </c>
      <c r="C223" vm="402">
        <f ca="1"/>
        <v>9.5299999999999994</v>
      </c>
      <c r="D223" vm="565">
        <f ca="1"/>
        <v>9.7750000000000004</v>
      </c>
      <c r="E223" vm="515">
        <f ca="1"/>
        <v>9.4149999999999991</v>
      </c>
      <c r="F223" vm="2689">
        <f ca="1"/>
        <v>4072707</v>
      </c>
    </row>
    <row r="224" spans="1:6" x14ac:dyDescent="0.25">
      <c r="A224" vm="647">
        <f ca="1"/>
        <v>45981</v>
      </c>
      <c r="B224" vm="442">
        <f ca="1"/>
        <v>9.4499999999999993</v>
      </c>
      <c r="C224" vm="1395">
        <f ca="1"/>
        <v>9.83</v>
      </c>
      <c r="D224" vm="409">
        <f ca="1"/>
        <v>9.8800000000000008</v>
      </c>
      <c r="E224" vm="506">
        <f ca="1"/>
        <v>9.3699999999999992</v>
      </c>
      <c r="F224" vm="2690">
        <f ca="1"/>
        <v>3977072</v>
      </c>
    </row>
    <row r="225" spans="1:6" x14ac:dyDescent="0.25">
      <c r="A225" vm="648">
        <f ca="1"/>
        <v>45982</v>
      </c>
      <c r="B225" vm="404">
        <f ca="1"/>
        <v>9.56</v>
      </c>
      <c r="C225" vm="511">
        <f ca="1"/>
        <v>9.42</v>
      </c>
      <c r="D225" vm="1400">
        <f ca="1"/>
        <v>9.6150000000000002</v>
      </c>
      <c r="E225" vm="567">
        <f ca="1"/>
        <v>9.31</v>
      </c>
      <c r="F225" vm="2691">
        <f ca="1"/>
        <v>4016065</v>
      </c>
    </row>
    <row r="226" spans="1:6" x14ac:dyDescent="0.25">
      <c r="A226" vm="650">
        <f ca="1"/>
        <v>45985</v>
      </c>
      <c r="B226" vm="663">
        <f ca="1"/>
        <v>9.89</v>
      </c>
      <c r="C226" vm="673">
        <f ca="1"/>
        <v>10.005000000000001</v>
      </c>
      <c r="D226" vm="2692">
        <f ca="1"/>
        <v>10.57</v>
      </c>
      <c r="E226" vm="396">
        <f ca="1"/>
        <v>9.52</v>
      </c>
      <c r="F226" vm="2693">
        <f ca="1"/>
        <v>16369072</v>
      </c>
    </row>
    <row r="227" spans="1:6" x14ac:dyDescent="0.25">
      <c r="A227" vm="651">
        <f ca="1"/>
        <v>45986</v>
      </c>
      <c r="B227" vm="2307">
        <f ca="1"/>
        <v>9.8699999999999992</v>
      </c>
      <c r="C227" vm="2694">
        <f ca="1"/>
        <v>10.08</v>
      </c>
      <c r="D227" vm="1902">
        <f ca="1"/>
        <v>10.14</v>
      </c>
      <c r="E227" vm="497">
        <f ca="1"/>
        <v>9.76</v>
      </c>
      <c r="F227" vm="2695">
        <f ca="1"/>
        <v>4056855</v>
      </c>
    </row>
    <row r="228" spans="1:6" x14ac:dyDescent="0.25">
      <c r="A228" vm="653">
        <f ca="1"/>
        <v>45987</v>
      </c>
      <c r="B228" vm="793">
        <f ca="1"/>
        <v>10.02</v>
      </c>
      <c r="C228" vm="836">
        <f ca="1"/>
        <v>10.1</v>
      </c>
      <c r="D228" vm="836">
        <f ca="1"/>
        <v>10.1</v>
      </c>
      <c r="E228" vm="405">
        <f ca="1"/>
        <v>9.7899999999999991</v>
      </c>
      <c r="F228" vm="2696">
        <f ca="1"/>
        <v>3136529</v>
      </c>
    </row>
    <row r="229" spans="1:6" x14ac:dyDescent="0.25">
      <c r="A229" vm="655">
        <f ca="1"/>
        <v>45989</v>
      </c>
      <c r="B229" vm="1431">
        <f ca="1"/>
        <v>9.93</v>
      </c>
      <c r="C229" vm="526">
        <f ca="1"/>
        <v>9.99</v>
      </c>
      <c r="D229" vm="2697">
        <f ca="1"/>
        <v>10.045</v>
      </c>
      <c r="E229" vm="409">
        <f ca="1"/>
        <v>9.8800000000000008</v>
      </c>
      <c r="F229" vm="2698">
        <f ca="1"/>
        <v>1610673</v>
      </c>
    </row>
    <row r="230" spans="1:6" x14ac:dyDescent="0.25">
      <c r="A230" vm="656">
        <f ca="1"/>
        <v>45992</v>
      </c>
      <c r="B230" vm="661">
        <f ca="1"/>
        <v>9.8000000000000007</v>
      </c>
      <c r="C230" vm="753">
        <f ca="1"/>
        <v>9.92</v>
      </c>
      <c r="D230" vm="2699">
        <f ca="1"/>
        <v>10.045199999999999</v>
      </c>
      <c r="E230" vm="569">
        <f ca="1"/>
        <v>9.77</v>
      </c>
      <c r="F230" vm="2700">
        <f ca="1"/>
        <v>6290262</v>
      </c>
    </row>
    <row r="231" spans="1:6" x14ac:dyDescent="0.25">
      <c r="A231" vm="659">
        <f ca="1"/>
        <v>45993</v>
      </c>
      <c r="B231" vm="751">
        <f ca="1"/>
        <v>9.73</v>
      </c>
      <c r="C231" vm="2701">
        <f ca="1"/>
        <v>9.8650000000000002</v>
      </c>
      <c r="D231" vm="2702">
        <f ca="1"/>
        <v>10.0199</v>
      </c>
      <c r="E231" vm="404">
        <f ca="1"/>
        <v>9.56</v>
      </c>
      <c r="F231" vm="2703">
        <f ca="1"/>
        <v>4528768</v>
      </c>
    </row>
    <row r="232" spans="1:6" x14ac:dyDescent="0.25">
      <c r="A232" vm="660">
        <f ca="1"/>
        <v>45994</v>
      </c>
      <c r="B232" vm="400">
        <f ca="1"/>
        <v>9.7799999999999994</v>
      </c>
      <c r="C232" vm="400">
        <f ca="1"/>
        <v>9.7799999999999994</v>
      </c>
      <c r="D232" vm="2704">
        <f ca="1"/>
        <v>9.8450000000000006</v>
      </c>
      <c r="E232" vm="487">
        <f ca="1"/>
        <v>9.66</v>
      </c>
      <c r="F232" vm="2705">
        <f ca="1"/>
        <v>2921933</v>
      </c>
    </row>
    <row r="233" spans="1:6" x14ac:dyDescent="0.25">
      <c r="A233" vm="662">
        <f ca="1"/>
        <v>45995</v>
      </c>
      <c r="B233" vm="755">
        <f ca="1"/>
        <v>9.9499999999999993</v>
      </c>
      <c r="C233" vm="1399">
        <f ca="1"/>
        <v>9.67</v>
      </c>
      <c r="D233" vm="526">
        <f ca="1"/>
        <v>9.99</v>
      </c>
      <c r="E233" vm="2706">
        <f ca="1"/>
        <v>9.6343999999999994</v>
      </c>
      <c r="F233" vm="2707">
        <f ca="1"/>
        <v>2946244</v>
      </c>
    </row>
    <row r="234" spans="1:6" x14ac:dyDescent="0.25">
      <c r="A234" vm="665">
        <f ca="1"/>
        <v>45996</v>
      </c>
      <c r="B234" vm="539">
        <f ca="1"/>
        <v>9.9</v>
      </c>
      <c r="C234" vm="745">
        <f ca="1"/>
        <v>9.9600000000000009</v>
      </c>
      <c r="D234" vm="669">
        <f ca="1"/>
        <v>10.050000000000001</v>
      </c>
      <c r="E234" vm="405">
        <f ca="1"/>
        <v>9.7899999999999991</v>
      </c>
      <c r="F234" vm="2708">
        <f ca="1"/>
        <v>3676341</v>
      </c>
    </row>
    <row r="235" spans="1:6" x14ac:dyDescent="0.25">
      <c r="A235" vm="668">
        <f ca="1"/>
        <v>45999</v>
      </c>
      <c r="B235" vm="1870">
        <f ca="1"/>
        <v>9.85</v>
      </c>
      <c r="C235" vm="770">
        <f ca="1"/>
        <v>10.029999999999999</v>
      </c>
      <c r="D235" vm="770">
        <f ca="1"/>
        <v>10.029999999999999</v>
      </c>
      <c r="E235" vm="751">
        <f ca="1"/>
        <v>9.73</v>
      </c>
      <c r="F235" vm="2709">
        <f ca="1"/>
        <v>3294185</v>
      </c>
    </row>
    <row r="236" spans="1:6" x14ac:dyDescent="0.25">
      <c r="A236" vm="671">
        <f ca="1"/>
        <v>46000</v>
      </c>
      <c r="B236" vm="670">
        <f ca="1"/>
        <v>9.81</v>
      </c>
      <c r="C236" vm="1870">
        <f ca="1"/>
        <v>9.85</v>
      </c>
      <c r="D236" vm="2710">
        <f ca="1"/>
        <v>9.9350000000000005</v>
      </c>
      <c r="E236" vm="405">
        <f ca="1"/>
        <v>9.7899999999999991</v>
      </c>
      <c r="F236" vm="2711">
        <f ca="1"/>
        <v>3617918</v>
      </c>
    </row>
    <row r="237" spans="1:6" x14ac:dyDescent="0.25">
      <c r="A237" vm="675">
        <f ca="1"/>
        <v>46001</v>
      </c>
      <c r="B237" vm="1870">
        <f ca="1"/>
        <v>9.85</v>
      </c>
      <c r="C237" vm="400">
        <f ca="1"/>
        <v>9.7799999999999994</v>
      </c>
      <c r="D237" vm="540">
        <f ca="1"/>
        <v>9.91</v>
      </c>
      <c r="E237" vm="2416">
        <f ca="1"/>
        <v>9.7249999999999996</v>
      </c>
      <c r="F237" vm="2712">
        <f ca="1"/>
        <v>4208881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37"/>
  <sheetViews>
    <sheetView workbookViewId="0">
      <selection activeCell="B1" activeCellId="1" sqref="A1:A1048576 B1:B1048576"/>
    </sheetView>
  </sheetViews>
  <sheetFormatPr defaultRowHeight="15" x14ac:dyDescent="0.25"/>
  <cols>
    <col min="1" max="1" width="9.42578125" bestFit="1" customWidth="1"/>
  </cols>
  <sheetData>
    <row r="1" spans="1:6" x14ac:dyDescent="0.25">
      <c r="A1" t="str" cm="1">
        <f t="array" aca="1" ref="A1:F237" ca="1">_xlfn.STOCKHISTORY("NUVB", DATE(YEAR(TODAY()),1,1), TODAY(), 0, 1, 0,1,2,3,4, 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5">
      <c r="A2" vm="1">
        <f ca="1"/>
        <v>45659</v>
      </c>
      <c r="B2" vm="2713">
        <f ca="1"/>
        <v>2.59</v>
      </c>
      <c r="C2" vm="2714">
        <f ca="1"/>
        <v>2.68</v>
      </c>
      <c r="D2" vm="2715">
        <f ca="1"/>
        <v>2.7349999999999999</v>
      </c>
      <c r="E2" vm="2716">
        <f ca="1"/>
        <v>2.5649999999999999</v>
      </c>
      <c r="F2" vm="2717">
        <f ca="1"/>
        <v>2155127</v>
      </c>
    </row>
    <row r="3" spans="1:6" x14ac:dyDescent="0.25">
      <c r="A3" vm="5">
        <f ca="1"/>
        <v>45660</v>
      </c>
      <c r="B3" vm="1157">
        <f ca="1"/>
        <v>2.89</v>
      </c>
      <c r="C3" vm="1545">
        <f ca="1"/>
        <v>2.63</v>
      </c>
      <c r="D3" vm="1157">
        <f ca="1"/>
        <v>2.89</v>
      </c>
      <c r="E3" vm="2718">
        <f ca="1"/>
        <v>2.605</v>
      </c>
      <c r="F3" vm="2719">
        <f ca="1"/>
        <v>1850381</v>
      </c>
    </row>
    <row r="4" spans="1:6" x14ac:dyDescent="0.25">
      <c r="A4" vm="9">
        <f ca="1"/>
        <v>45663</v>
      </c>
      <c r="B4" vm="1136">
        <f ca="1"/>
        <v>2.84</v>
      </c>
      <c r="C4" vm="1114">
        <f ca="1"/>
        <v>2.95</v>
      </c>
      <c r="D4" vm="1083">
        <f ca="1"/>
        <v>3.02</v>
      </c>
      <c r="E4" vm="1152">
        <f ca="1"/>
        <v>2.81</v>
      </c>
      <c r="F4" vm="2720">
        <f ca="1"/>
        <v>2803876</v>
      </c>
    </row>
    <row r="5" spans="1:6" x14ac:dyDescent="0.25">
      <c r="A5" vm="13">
        <f ca="1"/>
        <v>45664</v>
      </c>
      <c r="B5" vm="1072">
        <f ca="1"/>
        <v>3.25</v>
      </c>
      <c r="C5" vm="2058">
        <f ca="1"/>
        <v>2.96</v>
      </c>
      <c r="D5" vm="2721">
        <f ca="1"/>
        <v>3.4550000000000001</v>
      </c>
      <c r="E5" vm="2058">
        <f ca="1"/>
        <v>2.96</v>
      </c>
      <c r="F5" vm="2722">
        <f ca="1"/>
        <v>7882030</v>
      </c>
    </row>
    <row r="6" spans="1:6" x14ac:dyDescent="0.25">
      <c r="A6" vm="15">
        <f ca="1"/>
        <v>45665</v>
      </c>
      <c r="B6" vm="1082">
        <f ca="1"/>
        <v>3.01</v>
      </c>
      <c r="C6" vm="1058">
        <f ca="1"/>
        <v>3.32</v>
      </c>
      <c r="D6" vm="1058">
        <f ca="1"/>
        <v>3.32</v>
      </c>
      <c r="E6" vm="1110">
        <f ca="1"/>
        <v>2.92</v>
      </c>
      <c r="F6" vm="2723">
        <f ca="1"/>
        <v>3438517</v>
      </c>
    </row>
    <row r="7" spans="1:6" x14ac:dyDescent="0.25">
      <c r="A7" vm="19">
        <f ca="1"/>
        <v>45667</v>
      </c>
      <c r="B7" vm="2059">
        <f ca="1"/>
        <v>2.78</v>
      </c>
      <c r="C7" vm="1115">
        <f ca="1"/>
        <v>2.91</v>
      </c>
      <c r="D7" vm="1106">
        <f ca="1"/>
        <v>2.99</v>
      </c>
      <c r="E7" vm="1552">
        <f ca="1"/>
        <v>2.73</v>
      </c>
      <c r="F7" vm="2724">
        <f ca="1"/>
        <v>2669118</v>
      </c>
    </row>
    <row r="8" spans="1:6" x14ac:dyDescent="0.25">
      <c r="A8" vm="23">
        <f ca="1"/>
        <v>45670</v>
      </c>
      <c r="B8" vm="1754">
        <f ca="1"/>
        <v>2.67</v>
      </c>
      <c r="C8" vm="2714">
        <f ca="1"/>
        <v>2.68</v>
      </c>
      <c r="D8" vm="1514">
        <f ca="1"/>
        <v>2.7</v>
      </c>
      <c r="E8" vm="1748">
        <f ca="1"/>
        <v>2.44</v>
      </c>
      <c r="F8" vm="2725">
        <f ca="1"/>
        <v>3551637</v>
      </c>
    </row>
    <row r="9" spans="1:6" x14ac:dyDescent="0.25">
      <c r="A9" vm="27">
        <f ca="1"/>
        <v>45671</v>
      </c>
      <c r="B9" vm="2713">
        <f ca="1"/>
        <v>2.59</v>
      </c>
      <c r="C9" vm="2726">
        <f ca="1"/>
        <v>2.64</v>
      </c>
      <c r="D9" vm="1549">
        <f ca="1"/>
        <v>2.65</v>
      </c>
      <c r="E9" vm="2727">
        <f ca="1"/>
        <v>2.5</v>
      </c>
      <c r="F9" vm="2728">
        <f ca="1"/>
        <v>2999907</v>
      </c>
    </row>
    <row r="10" spans="1:6" x14ac:dyDescent="0.25">
      <c r="A10" vm="31">
        <f ca="1"/>
        <v>45672</v>
      </c>
      <c r="B10" vm="1154">
        <f ca="1"/>
        <v>2.6</v>
      </c>
      <c r="C10" vm="1755">
        <f ca="1"/>
        <v>2.66</v>
      </c>
      <c r="D10" vm="2729">
        <f ca="1"/>
        <v>2.7650000000000001</v>
      </c>
      <c r="E10" vm="2730">
        <f ca="1"/>
        <v>2.4950000000000001</v>
      </c>
      <c r="F10" vm="2731">
        <f ca="1"/>
        <v>2893771</v>
      </c>
    </row>
    <row r="11" spans="1:6" x14ac:dyDescent="0.25">
      <c r="A11" vm="35">
        <f ca="1"/>
        <v>45673</v>
      </c>
      <c r="B11" vm="1149">
        <f ca="1"/>
        <v>2.54</v>
      </c>
      <c r="C11" vm="2713">
        <f ca="1"/>
        <v>2.59</v>
      </c>
      <c r="D11" vm="1139">
        <f ca="1"/>
        <v>2.61</v>
      </c>
      <c r="E11" vm="2732">
        <f ca="1"/>
        <v>2.4750000000000001</v>
      </c>
      <c r="F11" vm="2733">
        <f ca="1"/>
        <v>2820328</v>
      </c>
    </row>
    <row r="12" spans="1:6" x14ac:dyDescent="0.25">
      <c r="A12" vm="39">
        <f ca="1"/>
        <v>45674</v>
      </c>
      <c r="B12" vm="1148">
        <f ca="1"/>
        <v>2.5099999999999998</v>
      </c>
      <c r="C12" vm="2734">
        <f ca="1"/>
        <v>2.57</v>
      </c>
      <c r="D12" vm="2718">
        <f ca="1"/>
        <v>2.605</v>
      </c>
      <c r="E12" vm="1151">
        <f ca="1"/>
        <v>2.4700000000000002</v>
      </c>
      <c r="F12" vm="2735">
        <f ca="1"/>
        <v>2382822</v>
      </c>
    </row>
    <row r="13" spans="1:6" x14ac:dyDescent="0.25">
      <c r="A13" vm="43">
        <f ca="1"/>
        <v>45678</v>
      </c>
      <c r="B13" vm="1142">
        <f ca="1"/>
        <v>2.58</v>
      </c>
      <c r="C13" vm="1141">
        <f ca="1"/>
        <v>2.5499999999999998</v>
      </c>
      <c r="D13" vm="1755">
        <f ca="1"/>
        <v>2.66</v>
      </c>
      <c r="E13" vm="2727">
        <f ca="1"/>
        <v>2.5</v>
      </c>
      <c r="F13" vm="2736">
        <f ca="1"/>
        <v>2070362</v>
      </c>
    </row>
    <row r="14" spans="1:6" x14ac:dyDescent="0.25">
      <c r="A14" vm="47">
        <f ca="1"/>
        <v>45679</v>
      </c>
      <c r="B14" vm="1549">
        <f ca="1"/>
        <v>2.65</v>
      </c>
      <c r="C14" vm="2734">
        <f ca="1"/>
        <v>2.57</v>
      </c>
      <c r="D14" vm="1552">
        <f ca="1"/>
        <v>2.73</v>
      </c>
      <c r="E14" vm="1141">
        <f ca="1"/>
        <v>2.5499999999999998</v>
      </c>
      <c r="F14" vm="2737">
        <f ca="1"/>
        <v>5767631</v>
      </c>
    </row>
    <row r="15" spans="1:6" x14ac:dyDescent="0.25">
      <c r="A15" vm="51">
        <f ca="1"/>
        <v>45680</v>
      </c>
      <c r="B15" vm="2738">
        <f ca="1"/>
        <v>2.77</v>
      </c>
      <c r="C15" vm="1548">
        <f ca="1"/>
        <v>2.69</v>
      </c>
      <c r="D15" vm="2739">
        <f ca="1"/>
        <v>2.82</v>
      </c>
      <c r="E15" vm="1139">
        <f ca="1"/>
        <v>2.61</v>
      </c>
      <c r="F15" vm="2740">
        <f ca="1"/>
        <v>3240719</v>
      </c>
    </row>
    <row r="16" spans="1:6" x14ac:dyDescent="0.25">
      <c r="A16" vm="55">
        <f ca="1"/>
        <v>45681</v>
      </c>
      <c r="B16" vm="2741">
        <f ca="1"/>
        <v>2.52</v>
      </c>
      <c r="C16" vm="2738">
        <f ca="1"/>
        <v>2.77</v>
      </c>
      <c r="D16" vm="2739">
        <f ca="1"/>
        <v>2.82</v>
      </c>
      <c r="E16" vm="2727">
        <f ca="1"/>
        <v>2.5</v>
      </c>
      <c r="F16" vm="2742">
        <f ca="1"/>
        <v>2099064</v>
      </c>
    </row>
    <row r="17" spans="1:6" x14ac:dyDescent="0.25">
      <c r="A17" vm="59">
        <f ca="1"/>
        <v>45684</v>
      </c>
      <c r="B17" vm="2727">
        <f ca="1"/>
        <v>2.5</v>
      </c>
      <c r="C17" vm="2743">
        <f ca="1"/>
        <v>2.556</v>
      </c>
      <c r="D17" vm="2068">
        <f ca="1"/>
        <v>2.5750000000000002</v>
      </c>
      <c r="E17" vm="2744">
        <f ca="1"/>
        <v>2.41</v>
      </c>
      <c r="F17" vm="2745">
        <f ca="1"/>
        <v>2329156</v>
      </c>
    </row>
    <row r="18" spans="1:6" x14ac:dyDescent="0.25">
      <c r="A18" vm="63">
        <f ca="1"/>
        <v>45685</v>
      </c>
      <c r="B18" vm="1547">
        <f ca="1"/>
        <v>2.4500000000000002</v>
      </c>
      <c r="C18" vm="1144">
        <f ca="1"/>
        <v>2.48</v>
      </c>
      <c r="D18" vm="1144">
        <f ca="1"/>
        <v>2.48</v>
      </c>
      <c r="E18" vm="2746">
        <f ca="1"/>
        <v>2.391</v>
      </c>
      <c r="F18" vm="2747">
        <f ca="1"/>
        <v>2094512</v>
      </c>
    </row>
    <row r="19" spans="1:6" x14ac:dyDescent="0.25">
      <c r="A19" vm="67">
        <f ca="1"/>
        <v>45686</v>
      </c>
      <c r="B19" vm="2748">
        <f ca="1"/>
        <v>2.42</v>
      </c>
      <c r="C19" vm="2749">
        <f ca="1"/>
        <v>2.4300000000000002</v>
      </c>
      <c r="D19" vm="1148">
        <f ca="1"/>
        <v>2.5099999999999998</v>
      </c>
      <c r="E19" vm="2750">
        <f ca="1"/>
        <v>2.4049999999999998</v>
      </c>
      <c r="F19" vm="2751">
        <f ca="1"/>
        <v>1356455</v>
      </c>
    </row>
    <row r="20" spans="1:6" x14ac:dyDescent="0.25">
      <c r="A20" vm="71">
        <f ca="1"/>
        <v>45687</v>
      </c>
      <c r="B20" vm="1551">
        <f ca="1"/>
        <v>2.4</v>
      </c>
      <c r="C20" vm="1144">
        <f ca="1"/>
        <v>2.48</v>
      </c>
      <c r="D20" vm="1149">
        <f ca="1"/>
        <v>2.54</v>
      </c>
      <c r="E20" vm="2752">
        <f ca="1"/>
        <v>2.38</v>
      </c>
      <c r="F20" vm="2753">
        <f ca="1"/>
        <v>1315312</v>
      </c>
    </row>
    <row r="21" spans="1:6" x14ac:dyDescent="0.25">
      <c r="A21" vm="75">
        <f ca="1"/>
        <v>45688</v>
      </c>
      <c r="B21" vm="1746">
        <f ca="1"/>
        <v>2.31</v>
      </c>
      <c r="C21" vm="1998">
        <f ca="1"/>
        <v>2.39</v>
      </c>
      <c r="D21" vm="2754">
        <f ca="1"/>
        <v>2.4906999999999999</v>
      </c>
      <c r="E21" vm="1508">
        <f ca="1"/>
        <v>2.29</v>
      </c>
      <c r="F21" vm="2755">
        <f ca="1"/>
        <v>2229624</v>
      </c>
    </row>
    <row r="22" spans="1:6" x14ac:dyDescent="0.25">
      <c r="A22" vm="78">
        <f ca="1"/>
        <v>45691</v>
      </c>
      <c r="B22" vm="1441">
        <f ca="1"/>
        <v>2.27</v>
      </c>
      <c r="C22" vm="1145">
        <f ca="1"/>
        <v>2.2799999999999998</v>
      </c>
      <c r="D22" vm="2063">
        <f ca="1"/>
        <v>2.36</v>
      </c>
      <c r="E22" vm="2756">
        <f ca="1"/>
        <v>2.2250000000000001</v>
      </c>
      <c r="F22" vm="2757">
        <f ca="1"/>
        <v>3066413</v>
      </c>
    </row>
    <row r="23" spans="1:6" x14ac:dyDescent="0.25">
      <c r="A23" vm="82">
        <f ca="1"/>
        <v>45692</v>
      </c>
      <c r="B23" vm="2744">
        <f ca="1"/>
        <v>2.41</v>
      </c>
      <c r="C23" vm="1518">
        <f ca="1"/>
        <v>2.25</v>
      </c>
      <c r="D23" vm="2758">
        <f ca="1"/>
        <v>2.4251999999999998</v>
      </c>
      <c r="E23" vm="1453">
        <f ca="1"/>
        <v>2.23</v>
      </c>
      <c r="F23" vm="2759">
        <f ca="1"/>
        <v>1317941</v>
      </c>
    </row>
    <row r="24" spans="1:6" x14ac:dyDescent="0.25">
      <c r="A24" vm="85">
        <f ca="1"/>
        <v>45693</v>
      </c>
      <c r="B24" vm="1547">
        <f ca="1"/>
        <v>2.4500000000000002</v>
      </c>
      <c r="C24" vm="1547">
        <f ca="1"/>
        <v>2.4500000000000002</v>
      </c>
      <c r="D24" vm="1151">
        <f ca="1"/>
        <v>2.4700000000000002</v>
      </c>
      <c r="E24" vm="1747">
        <f ca="1"/>
        <v>2.35</v>
      </c>
      <c r="F24" vm="2760">
        <f ca="1"/>
        <v>1951812</v>
      </c>
    </row>
    <row r="25" spans="1:6" x14ac:dyDescent="0.25">
      <c r="A25" vm="88">
        <f ca="1"/>
        <v>45694</v>
      </c>
      <c r="B25" vm="2744">
        <f ca="1"/>
        <v>2.41</v>
      </c>
      <c r="C25" vm="1444">
        <f ca="1"/>
        <v>2.46</v>
      </c>
      <c r="D25" vm="1444">
        <f ca="1"/>
        <v>2.46</v>
      </c>
      <c r="E25" vm="2752">
        <f ca="1"/>
        <v>2.38</v>
      </c>
      <c r="F25" vm="2761">
        <f ca="1"/>
        <v>1276098</v>
      </c>
    </row>
    <row r="26" spans="1:6" x14ac:dyDescent="0.25">
      <c r="A26" vm="92">
        <f ca="1"/>
        <v>45695</v>
      </c>
      <c r="B26" vm="2752">
        <f ca="1"/>
        <v>2.38</v>
      </c>
      <c r="C26" vm="2744">
        <f ca="1"/>
        <v>2.41</v>
      </c>
      <c r="D26" vm="2748">
        <f ca="1"/>
        <v>2.42</v>
      </c>
      <c r="E26" vm="1508">
        <f ca="1"/>
        <v>2.29</v>
      </c>
      <c r="F26" vm="2762">
        <f ca="1"/>
        <v>2396724</v>
      </c>
    </row>
    <row r="27" spans="1:6" x14ac:dyDescent="0.25">
      <c r="A27" vm="95">
        <f ca="1"/>
        <v>45698</v>
      </c>
      <c r="B27" vm="1145">
        <f ca="1"/>
        <v>2.2799999999999998</v>
      </c>
      <c r="C27" vm="1551">
        <f ca="1"/>
        <v>2.4</v>
      </c>
      <c r="D27" vm="2744">
        <f ca="1"/>
        <v>2.41</v>
      </c>
      <c r="E27" vm="2763">
        <f ca="1"/>
        <v>2.2730000000000001</v>
      </c>
      <c r="F27" vm="2764">
        <f ca="1"/>
        <v>1802627</v>
      </c>
    </row>
    <row r="28" spans="1:6" x14ac:dyDescent="0.25">
      <c r="A28" vm="98">
        <f ca="1"/>
        <v>45699</v>
      </c>
      <c r="B28" vm="1453">
        <f ca="1"/>
        <v>2.23</v>
      </c>
      <c r="C28" vm="1441">
        <f ca="1"/>
        <v>2.27</v>
      </c>
      <c r="D28" vm="2765">
        <f ca="1"/>
        <v>2.3250000000000002</v>
      </c>
      <c r="E28" vm="1752">
        <f ca="1"/>
        <v>2.2200000000000002</v>
      </c>
      <c r="F28" vm="2766">
        <f ca="1"/>
        <v>1607746</v>
      </c>
    </row>
    <row r="29" spans="1:6" x14ac:dyDescent="0.25">
      <c r="A29" vm="101">
        <f ca="1"/>
        <v>45700</v>
      </c>
      <c r="B29" vm="1145">
        <f ca="1"/>
        <v>2.2799999999999998</v>
      </c>
      <c r="C29" vm="1556">
        <f ca="1"/>
        <v>2.21</v>
      </c>
      <c r="D29" vm="1746">
        <f ca="1"/>
        <v>2.31</v>
      </c>
      <c r="E29" vm="2003">
        <f ca="1"/>
        <v>2.16</v>
      </c>
      <c r="F29" vm="2767">
        <f ca="1"/>
        <v>1583922</v>
      </c>
    </row>
    <row r="30" spans="1:6" x14ac:dyDescent="0.25">
      <c r="A30" vm="105">
        <f ca="1"/>
        <v>45701</v>
      </c>
      <c r="B30" vm="1508">
        <f ca="1"/>
        <v>2.29</v>
      </c>
      <c r="C30" vm="1746">
        <f ca="1"/>
        <v>2.31</v>
      </c>
      <c r="D30" vm="2768">
        <f ca="1"/>
        <v>2.335</v>
      </c>
      <c r="E30" vm="1518">
        <f ca="1"/>
        <v>2.25</v>
      </c>
      <c r="F30" vm="2769">
        <f ca="1"/>
        <v>1076202</v>
      </c>
    </row>
    <row r="31" spans="1:6" x14ac:dyDescent="0.25">
      <c r="A31" vm="109">
        <f ca="1"/>
        <v>45702</v>
      </c>
      <c r="B31" vm="1441">
        <f ca="1"/>
        <v>2.27</v>
      </c>
      <c r="C31" vm="1750">
        <f ca="1"/>
        <v>2.33</v>
      </c>
      <c r="D31" vm="2770">
        <f ca="1"/>
        <v>2.3799000000000001</v>
      </c>
      <c r="E31" vm="1147">
        <f ca="1"/>
        <v>2.2599999999999998</v>
      </c>
      <c r="F31" vm="2771">
        <f ca="1"/>
        <v>1205136</v>
      </c>
    </row>
    <row r="32" spans="1:6" x14ac:dyDescent="0.25">
      <c r="A32" vm="111">
        <f ca="1"/>
        <v>45706</v>
      </c>
      <c r="B32" vm="2772">
        <f ca="1"/>
        <v>2.3199999999999998</v>
      </c>
      <c r="C32" vm="1564">
        <f ca="1"/>
        <v>2.2999999999999998</v>
      </c>
      <c r="D32" vm="2773">
        <f ca="1"/>
        <v>2.375</v>
      </c>
      <c r="E32" vm="1147">
        <f ca="1"/>
        <v>2.2599999999999998</v>
      </c>
      <c r="F32" vm="2774">
        <f ca="1"/>
        <v>1537919</v>
      </c>
    </row>
    <row r="33" spans="1:6" x14ac:dyDescent="0.25">
      <c r="A33" vm="115">
        <f ca="1"/>
        <v>45707</v>
      </c>
      <c r="B33" vm="1564">
        <f ca="1"/>
        <v>2.2999999999999998</v>
      </c>
      <c r="C33" vm="1564">
        <f ca="1"/>
        <v>2.2999999999999998</v>
      </c>
      <c r="D33" vm="2775">
        <f ca="1"/>
        <v>2.355</v>
      </c>
      <c r="E33" vm="1145">
        <f ca="1"/>
        <v>2.2799999999999998</v>
      </c>
      <c r="F33" vm="2776">
        <f ca="1"/>
        <v>859265</v>
      </c>
    </row>
    <row r="34" spans="1:6" x14ac:dyDescent="0.25">
      <c r="A34" vm="119">
        <f ca="1"/>
        <v>45708</v>
      </c>
      <c r="B34" vm="1441">
        <f ca="1"/>
        <v>2.27</v>
      </c>
      <c r="C34" vm="1564">
        <f ca="1"/>
        <v>2.2999999999999998</v>
      </c>
      <c r="D34" vm="2777">
        <f ca="1"/>
        <v>2.3199000000000001</v>
      </c>
      <c r="E34" vm="1518">
        <f ca="1"/>
        <v>2.25</v>
      </c>
      <c r="F34" vm="2778">
        <f ca="1"/>
        <v>749891</v>
      </c>
    </row>
    <row r="35" spans="1:6" x14ac:dyDescent="0.25">
      <c r="A35" vm="123">
        <f ca="1"/>
        <v>45709</v>
      </c>
      <c r="B35" vm="1556">
        <f ca="1"/>
        <v>2.21</v>
      </c>
      <c r="C35" vm="1564">
        <f ca="1"/>
        <v>2.2999999999999998</v>
      </c>
      <c r="D35" vm="1750">
        <f ca="1"/>
        <v>2.33</v>
      </c>
      <c r="E35" vm="1516">
        <f ca="1"/>
        <v>2.2000000000000002</v>
      </c>
      <c r="F35" vm="2779">
        <f ca="1"/>
        <v>1743891</v>
      </c>
    </row>
    <row r="36" spans="1:6" x14ac:dyDescent="0.25">
      <c r="A36" vm="127">
        <f ca="1"/>
        <v>45712</v>
      </c>
      <c r="B36" vm="1995">
        <f ca="1"/>
        <v>2.08</v>
      </c>
      <c r="C36" vm="1752">
        <f ca="1"/>
        <v>2.2200000000000002</v>
      </c>
      <c r="D36" vm="1438">
        <f ca="1"/>
        <v>2.2400000000000002</v>
      </c>
      <c r="E36" vm="1995">
        <f ca="1"/>
        <v>2.08</v>
      </c>
      <c r="F36" vm="2780">
        <f ca="1"/>
        <v>1845327</v>
      </c>
    </row>
    <row r="37" spans="1:6" x14ac:dyDescent="0.25">
      <c r="A37" vm="131">
        <f ca="1"/>
        <v>45713</v>
      </c>
      <c r="B37" vm="1745">
        <f ca="1"/>
        <v>2.0499999999999998</v>
      </c>
      <c r="C37" vm="1995">
        <f ca="1"/>
        <v>2.08</v>
      </c>
      <c r="D37" vm="2781">
        <f ca="1"/>
        <v>2.0950000000000002</v>
      </c>
      <c r="E37" vm="1742">
        <f ca="1"/>
        <v>1.97</v>
      </c>
      <c r="F37" vm="2782">
        <f ca="1"/>
        <v>3171608</v>
      </c>
    </row>
    <row r="38" spans="1:6" x14ac:dyDescent="0.25">
      <c r="A38" vm="135">
        <f ca="1"/>
        <v>45714</v>
      </c>
      <c r="B38" vm="1566">
        <f ca="1"/>
        <v>1.98</v>
      </c>
      <c r="C38" vm="1995">
        <f ca="1"/>
        <v>2.08</v>
      </c>
      <c r="D38" vm="1513">
        <f ca="1"/>
        <v>2.13</v>
      </c>
      <c r="E38" vm="1742">
        <f ca="1"/>
        <v>1.97</v>
      </c>
      <c r="F38" vm="2783">
        <f ca="1"/>
        <v>1593939</v>
      </c>
    </row>
    <row r="39" spans="1:6" x14ac:dyDescent="0.25">
      <c r="A39" vm="139">
        <f ca="1"/>
        <v>45715</v>
      </c>
      <c r="B39" vm="1742">
        <f ca="1"/>
        <v>1.97</v>
      </c>
      <c r="C39" vm="1742">
        <f ca="1"/>
        <v>1.97</v>
      </c>
      <c r="D39" vm="1751">
        <f ca="1"/>
        <v>2.06</v>
      </c>
      <c r="E39" vm="1739">
        <f ca="1"/>
        <v>1.96</v>
      </c>
      <c r="F39" vm="2784">
        <f ca="1"/>
        <v>1253649</v>
      </c>
    </row>
    <row r="40" spans="1:6" x14ac:dyDescent="0.25">
      <c r="A40" vm="143">
        <f ca="1"/>
        <v>45716</v>
      </c>
      <c r="B40" vm="1742">
        <f ca="1"/>
        <v>1.97</v>
      </c>
      <c r="C40" vm="1740">
        <f ca="1"/>
        <v>1.95</v>
      </c>
      <c r="D40" vm="1515">
        <f ca="1"/>
        <v>2.02</v>
      </c>
      <c r="E40" vm="1985">
        <f ca="1"/>
        <v>1.89</v>
      </c>
      <c r="F40" vm="2785">
        <f ca="1"/>
        <v>2464587</v>
      </c>
    </row>
    <row r="41" spans="1:6" x14ac:dyDescent="0.25">
      <c r="A41" vm="147">
        <f ca="1"/>
        <v>45719</v>
      </c>
      <c r="B41" vm="1500">
        <f ca="1"/>
        <v>1.82</v>
      </c>
      <c r="C41" vm="1565">
        <f ca="1"/>
        <v>2.1</v>
      </c>
      <c r="D41" vm="1554">
        <f ca="1"/>
        <v>2.19</v>
      </c>
      <c r="E41" vm="1509">
        <f ca="1"/>
        <v>1.8</v>
      </c>
      <c r="F41" vm="2786">
        <f ca="1"/>
        <v>5779029</v>
      </c>
    </row>
    <row r="42" spans="1:6" x14ac:dyDescent="0.25">
      <c r="A42" vm="151">
        <f ca="1"/>
        <v>45720</v>
      </c>
      <c r="B42" vm="1500">
        <f ca="1"/>
        <v>1.82</v>
      </c>
      <c r="C42" vm="1517">
        <f ca="1"/>
        <v>1.78</v>
      </c>
      <c r="D42" vm="1583">
        <f ca="1"/>
        <v>1.84</v>
      </c>
      <c r="E42" vm="2019">
        <f ca="1"/>
        <v>1.7050000000000001</v>
      </c>
      <c r="F42" vm="2787">
        <f ca="1"/>
        <v>3005950</v>
      </c>
    </row>
    <row r="43" spans="1:6" x14ac:dyDescent="0.25">
      <c r="A43" vm="155">
        <f ca="1"/>
        <v>45721</v>
      </c>
      <c r="B43" vm="1729">
        <f ca="1"/>
        <v>1.87</v>
      </c>
      <c r="C43" vm="1509">
        <f ca="1"/>
        <v>1.8</v>
      </c>
      <c r="D43" vm="1985">
        <f ca="1"/>
        <v>1.89</v>
      </c>
      <c r="E43" vm="1511">
        <f ca="1"/>
        <v>1.71</v>
      </c>
      <c r="F43" vm="2788">
        <f ca="1"/>
        <v>3296413</v>
      </c>
    </row>
    <row r="44" spans="1:6" x14ac:dyDescent="0.25">
      <c r="A44" vm="159">
        <f ca="1"/>
        <v>45722</v>
      </c>
      <c r="B44" vm="1985">
        <f ca="1"/>
        <v>1.89</v>
      </c>
      <c r="C44" vm="1987">
        <f ca="1"/>
        <v>1.86</v>
      </c>
      <c r="D44" vm="1504">
        <f ca="1"/>
        <v>1.9</v>
      </c>
      <c r="E44" vm="1509">
        <f ca="1"/>
        <v>1.8</v>
      </c>
      <c r="F44" vm="2789">
        <f ca="1"/>
        <v>3782645</v>
      </c>
    </row>
    <row r="45" spans="1:6" x14ac:dyDescent="0.25">
      <c r="A45" vm="162">
        <f ca="1"/>
        <v>45723</v>
      </c>
      <c r="B45" vm="1515">
        <f ca="1"/>
        <v>2.02</v>
      </c>
      <c r="C45" vm="1985">
        <f ca="1"/>
        <v>1.89</v>
      </c>
      <c r="D45" vm="2790">
        <f ca="1"/>
        <v>2.0649999999999999</v>
      </c>
      <c r="E45" vm="1509">
        <f ca="1"/>
        <v>1.8</v>
      </c>
      <c r="F45" vm="2791">
        <f ca="1"/>
        <v>4180422</v>
      </c>
    </row>
    <row r="46" spans="1:6" x14ac:dyDescent="0.25">
      <c r="A46" vm="165">
        <f ca="1"/>
        <v>45726</v>
      </c>
      <c r="B46" vm="1553">
        <f ca="1"/>
        <v>1.88</v>
      </c>
      <c r="C46" vm="1509">
        <f ca="1"/>
        <v>1.8</v>
      </c>
      <c r="D46" vm="1450">
        <f ca="1"/>
        <v>1.92</v>
      </c>
      <c r="E46" vm="1578">
        <f ca="1"/>
        <v>1.76</v>
      </c>
      <c r="F46" vm="2792">
        <f ca="1"/>
        <v>3381893</v>
      </c>
    </row>
    <row r="47" spans="1:6" x14ac:dyDescent="0.25">
      <c r="A47" vm="169">
        <f ca="1"/>
        <v>45727</v>
      </c>
      <c r="B47" vm="1508">
        <f ca="1"/>
        <v>2.29</v>
      </c>
      <c r="C47" vm="1985">
        <f ca="1"/>
        <v>1.89</v>
      </c>
      <c r="D47" vm="1747">
        <f ca="1"/>
        <v>2.35</v>
      </c>
      <c r="E47" vm="1500">
        <f ca="1"/>
        <v>1.82</v>
      </c>
      <c r="F47" vm="2793">
        <f ca="1"/>
        <v>4569905</v>
      </c>
    </row>
    <row r="48" spans="1:6" x14ac:dyDescent="0.25">
      <c r="A48" vm="172">
        <f ca="1"/>
        <v>45728</v>
      </c>
      <c r="B48" vm="1438">
        <f ca="1"/>
        <v>2.2400000000000002</v>
      </c>
      <c r="C48" vm="2772">
        <f ca="1"/>
        <v>2.3199999999999998</v>
      </c>
      <c r="D48" vm="2748">
        <f ca="1"/>
        <v>2.42</v>
      </c>
      <c r="E48" vm="1749">
        <f ca="1"/>
        <v>2.1800000000000002</v>
      </c>
      <c r="F48" vm="2794">
        <f ca="1"/>
        <v>5547560</v>
      </c>
    </row>
    <row r="49" spans="1:6" x14ac:dyDescent="0.25">
      <c r="A49" vm="176">
        <f ca="1"/>
        <v>45729</v>
      </c>
      <c r="B49" vm="1556">
        <f ca="1"/>
        <v>2.21</v>
      </c>
      <c r="C49" vm="1438">
        <f ca="1"/>
        <v>2.2400000000000002</v>
      </c>
      <c r="D49" vm="2795">
        <f ca="1"/>
        <v>2.2949999999999999</v>
      </c>
      <c r="E49" vm="2781">
        <f ca="1"/>
        <v>2.0950000000000002</v>
      </c>
      <c r="F49" vm="2796">
        <f ca="1"/>
        <v>4393119</v>
      </c>
    </row>
    <row r="50" spans="1:6" x14ac:dyDescent="0.25">
      <c r="A50" vm="178">
        <f ca="1"/>
        <v>45730</v>
      </c>
      <c r="B50" vm="1580">
        <f ca="1"/>
        <v>2.14</v>
      </c>
      <c r="C50" vm="1438">
        <f ca="1"/>
        <v>2.2400000000000002</v>
      </c>
      <c r="D50" vm="2797">
        <f ca="1"/>
        <v>2.3149999999999999</v>
      </c>
      <c r="E50" vm="1563">
        <f ca="1"/>
        <v>2.11</v>
      </c>
      <c r="F50" vm="2798">
        <f ca="1"/>
        <v>3351024</v>
      </c>
    </row>
    <row r="51" spans="1:6" x14ac:dyDescent="0.25">
      <c r="A51" vm="182">
        <f ca="1"/>
        <v>45733</v>
      </c>
      <c r="B51" vm="1439">
        <f ca="1"/>
        <v>2.09</v>
      </c>
      <c r="C51" vm="2054">
        <f ca="1"/>
        <v>2.15</v>
      </c>
      <c r="D51" vm="2040">
        <f ca="1"/>
        <v>2.17</v>
      </c>
      <c r="E51" vm="1443">
        <f ca="1"/>
        <v>2.04</v>
      </c>
      <c r="F51" vm="2799">
        <f ca="1"/>
        <v>1377711</v>
      </c>
    </row>
    <row r="52" spans="1:6" x14ac:dyDescent="0.25">
      <c r="A52" vm="185">
        <f ca="1"/>
        <v>45734</v>
      </c>
      <c r="B52" vm="1739">
        <f ca="1"/>
        <v>1.96</v>
      </c>
      <c r="C52" vm="1440">
        <f ca="1"/>
        <v>2.0699999999999998</v>
      </c>
      <c r="D52" vm="1439">
        <f ca="1"/>
        <v>2.09</v>
      </c>
      <c r="E52" vm="1581">
        <f ca="1"/>
        <v>1.93</v>
      </c>
      <c r="F52" vm="2800">
        <f ca="1"/>
        <v>2142794</v>
      </c>
    </row>
    <row r="53" spans="1:6" x14ac:dyDescent="0.25">
      <c r="A53" vm="189">
        <f ca="1"/>
        <v>45735</v>
      </c>
      <c r="B53" vm="1566">
        <f ca="1"/>
        <v>1.98</v>
      </c>
      <c r="C53" vm="1740">
        <f ca="1"/>
        <v>1.95</v>
      </c>
      <c r="D53" vm="1447">
        <f ca="1"/>
        <v>2</v>
      </c>
      <c r="E53" vm="1504">
        <f ca="1"/>
        <v>1.9</v>
      </c>
      <c r="F53" vm="2801">
        <f ca="1"/>
        <v>2053459</v>
      </c>
    </row>
    <row r="54" spans="1:6" x14ac:dyDescent="0.25">
      <c r="A54" vm="193">
        <f ca="1"/>
        <v>45736</v>
      </c>
      <c r="B54" vm="1739">
        <f ca="1"/>
        <v>1.96</v>
      </c>
      <c r="C54" vm="1555">
        <f ca="1"/>
        <v>1.99</v>
      </c>
      <c r="D54" vm="1555">
        <f ca="1"/>
        <v>1.99</v>
      </c>
      <c r="E54" vm="1504">
        <f ca="1"/>
        <v>1.9</v>
      </c>
      <c r="F54" vm="2802">
        <f ca="1"/>
        <v>1802141</v>
      </c>
    </row>
    <row r="55" spans="1:6" x14ac:dyDescent="0.25">
      <c r="A55" vm="197">
        <f ca="1"/>
        <v>45737</v>
      </c>
      <c r="B55" vm="1985">
        <f ca="1"/>
        <v>1.89</v>
      </c>
      <c r="C55" vm="1450">
        <f ca="1"/>
        <v>1.92</v>
      </c>
      <c r="D55" vm="2803">
        <f ca="1"/>
        <v>1.9350000000000001</v>
      </c>
      <c r="E55" vm="1987">
        <f ca="1"/>
        <v>1.86</v>
      </c>
      <c r="F55" vm="2804">
        <f ca="1"/>
        <v>3526547</v>
      </c>
    </row>
    <row r="56" spans="1:6" x14ac:dyDescent="0.25">
      <c r="A56" vm="199">
        <f ca="1"/>
        <v>45740</v>
      </c>
      <c r="B56" vm="1739">
        <f ca="1"/>
        <v>1.96</v>
      </c>
      <c r="C56" vm="1581">
        <f ca="1"/>
        <v>1.93</v>
      </c>
      <c r="D56" vm="2805">
        <f ca="1"/>
        <v>1.9750000000000001</v>
      </c>
      <c r="E56" vm="2806">
        <f ca="1"/>
        <v>1.845</v>
      </c>
      <c r="F56" vm="2807">
        <f ca="1"/>
        <v>3704226</v>
      </c>
    </row>
    <row r="57" spans="1:6" x14ac:dyDescent="0.25">
      <c r="A57" vm="203">
        <f ca="1"/>
        <v>45741</v>
      </c>
      <c r="B57" vm="1445">
        <f ca="1"/>
        <v>1.94</v>
      </c>
      <c r="C57" vm="1739">
        <f ca="1"/>
        <v>1.96</v>
      </c>
      <c r="D57" vm="1443">
        <f ca="1"/>
        <v>2.04</v>
      </c>
      <c r="E57" vm="2808">
        <f ca="1"/>
        <v>1.911</v>
      </c>
      <c r="F57" vm="2809">
        <f ca="1"/>
        <v>2360329</v>
      </c>
    </row>
    <row r="58" spans="1:6" x14ac:dyDescent="0.25">
      <c r="A58" vm="207">
        <f ca="1"/>
        <v>45742</v>
      </c>
      <c r="B58" vm="1553">
        <f ca="1"/>
        <v>1.88</v>
      </c>
      <c r="C58" vm="1740">
        <f ca="1"/>
        <v>1.95</v>
      </c>
      <c r="D58" vm="1739">
        <f ca="1"/>
        <v>1.96</v>
      </c>
      <c r="E58" vm="1507">
        <f ca="1"/>
        <v>1.85</v>
      </c>
      <c r="F58" vm="2810">
        <f ca="1"/>
        <v>1303412</v>
      </c>
    </row>
    <row r="59" spans="1:6" x14ac:dyDescent="0.25">
      <c r="A59" vm="209">
        <f ca="1"/>
        <v>45743</v>
      </c>
      <c r="B59" vm="1729">
        <f ca="1"/>
        <v>1.87</v>
      </c>
      <c r="C59" vm="1504">
        <f ca="1"/>
        <v>1.9</v>
      </c>
      <c r="D59" vm="2811">
        <f ca="1"/>
        <v>1.905</v>
      </c>
      <c r="E59" vm="1507">
        <f ca="1"/>
        <v>1.85</v>
      </c>
      <c r="F59" vm="2812">
        <f ca="1"/>
        <v>1603080</v>
      </c>
    </row>
    <row r="60" spans="1:6" x14ac:dyDescent="0.25">
      <c r="A60" vm="212">
        <f ca="1"/>
        <v>45744</v>
      </c>
      <c r="B60" vm="1500">
        <f ca="1"/>
        <v>1.82</v>
      </c>
      <c r="C60" vm="1553">
        <f ca="1"/>
        <v>1.88</v>
      </c>
      <c r="D60" vm="1499">
        <f ca="1"/>
        <v>1.885</v>
      </c>
      <c r="E60" vm="1509">
        <f ca="1"/>
        <v>1.8</v>
      </c>
      <c r="F60" vm="2813">
        <f ca="1"/>
        <v>1431592</v>
      </c>
    </row>
    <row r="61" spans="1:6" x14ac:dyDescent="0.25">
      <c r="A61" vm="216">
        <f ca="1"/>
        <v>45747</v>
      </c>
      <c r="B61" vm="1578">
        <f ca="1"/>
        <v>1.76</v>
      </c>
      <c r="C61" vm="1728">
        <f ca="1"/>
        <v>1.79</v>
      </c>
      <c r="D61" vm="1728">
        <f ca="1"/>
        <v>1.79</v>
      </c>
      <c r="E61" vm="2814">
        <f ca="1"/>
        <v>1.6950000000000001</v>
      </c>
      <c r="F61" vm="2815">
        <f ca="1"/>
        <v>3045653</v>
      </c>
    </row>
    <row r="62" spans="1:6" x14ac:dyDescent="0.25">
      <c r="A62" vm="220">
        <f ca="1"/>
        <v>45748</v>
      </c>
      <c r="B62" vm="1446">
        <f ca="1"/>
        <v>1.75</v>
      </c>
      <c r="C62" vm="1578">
        <f ca="1"/>
        <v>1.76</v>
      </c>
      <c r="D62" vm="2816">
        <f ca="1"/>
        <v>1.7849999999999999</v>
      </c>
      <c r="E62" vm="1727">
        <f ca="1"/>
        <v>1.66</v>
      </c>
      <c r="F62" vm="2817">
        <f ca="1"/>
        <v>2923560</v>
      </c>
    </row>
    <row r="63" spans="1:6" x14ac:dyDescent="0.25">
      <c r="A63" vm="223">
        <f ca="1"/>
        <v>45749</v>
      </c>
      <c r="B63" vm="1728">
        <f ca="1"/>
        <v>1.79</v>
      </c>
      <c r="C63" vm="2010">
        <f ca="1"/>
        <v>1.74</v>
      </c>
      <c r="D63" vm="1507">
        <f ca="1"/>
        <v>1.85</v>
      </c>
      <c r="E63" vm="1576">
        <f ca="1"/>
        <v>1.72</v>
      </c>
      <c r="F63" vm="2818">
        <f ca="1"/>
        <v>2384109</v>
      </c>
    </row>
    <row r="64" spans="1:6" x14ac:dyDescent="0.25">
      <c r="A64" vm="224">
        <f ca="1"/>
        <v>45750</v>
      </c>
      <c r="B64" vm="1727">
        <f ca="1"/>
        <v>1.66</v>
      </c>
      <c r="C64" vm="1570">
        <f ca="1"/>
        <v>1.68</v>
      </c>
      <c r="D64" vm="2819">
        <f ca="1"/>
        <v>1.7450000000000001</v>
      </c>
      <c r="E64" vm="1448">
        <f ca="1"/>
        <v>1.64</v>
      </c>
      <c r="F64" vm="2820">
        <f ca="1"/>
        <v>3769336</v>
      </c>
    </row>
    <row r="65" spans="1:6" x14ac:dyDescent="0.25">
      <c r="A65" vm="227">
        <f ca="1"/>
        <v>45751</v>
      </c>
      <c r="B65" vm="1727">
        <f ca="1"/>
        <v>1.66</v>
      </c>
      <c r="C65" vm="1568">
        <f ca="1"/>
        <v>1.69</v>
      </c>
      <c r="D65" vm="1568">
        <f ca="1"/>
        <v>1.69</v>
      </c>
      <c r="E65" vm="1957">
        <f ca="1"/>
        <v>1.57</v>
      </c>
      <c r="F65" vm="2821">
        <f ca="1"/>
        <v>4161286</v>
      </c>
    </row>
    <row r="66" spans="1:6" x14ac:dyDescent="0.25">
      <c r="A66" vm="231">
        <f ca="1"/>
        <v>45754</v>
      </c>
      <c r="B66" vm="1509">
        <f ca="1"/>
        <v>1.8</v>
      </c>
      <c r="C66" vm="1573">
        <f ca="1"/>
        <v>1.6</v>
      </c>
      <c r="D66" vm="1452">
        <f ca="1"/>
        <v>1.83</v>
      </c>
      <c r="E66" vm="1969">
        <f ca="1"/>
        <v>1.54</v>
      </c>
      <c r="F66" vm="2822">
        <f ca="1"/>
        <v>5439057</v>
      </c>
    </row>
    <row r="67" spans="1:6" x14ac:dyDescent="0.25">
      <c r="A67" vm="235">
        <f ca="1"/>
        <v>45755</v>
      </c>
      <c r="B67" vm="1727">
        <f ca="1"/>
        <v>1.66</v>
      </c>
      <c r="C67" vm="1729">
        <f ca="1"/>
        <v>1.87</v>
      </c>
      <c r="D67" vm="1504">
        <f ca="1"/>
        <v>1.9</v>
      </c>
      <c r="E67" vm="1575">
        <f ca="1"/>
        <v>1.62</v>
      </c>
      <c r="F67" vm="2823">
        <f ca="1"/>
        <v>3702094</v>
      </c>
    </row>
    <row r="68" spans="1:6" x14ac:dyDescent="0.25">
      <c r="A68" vm="239">
        <f ca="1"/>
        <v>45756</v>
      </c>
      <c r="B68" vm="1728">
        <f ca="1"/>
        <v>1.79</v>
      </c>
      <c r="C68" vm="1448">
        <f ca="1"/>
        <v>1.64</v>
      </c>
      <c r="D68" vm="1583">
        <f ca="1"/>
        <v>1.84</v>
      </c>
      <c r="E68" vm="1577">
        <f ca="1"/>
        <v>1.61</v>
      </c>
      <c r="F68" vm="2824">
        <f ca="1"/>
        <v>4304939</v>
      </c>
    </row>
    <row r="69" spans="1:6" x14ac:dyDescent="0.25">
      <c r="A69" vm="243">
        <f ca="1"/>
        <v>45757</v>
      </c>
      <c r="B69" vm="1446">
        <f ca="1"/>
        <v>1.75</v>
      </c>
      <c r="C69" vm="2010">
        <f ca="1"/>
        <v>1.74</v>
      </c>
      <c r="D69" vm="1989">
        <f ca="1"/>
        <v>1.7749999999999999</v>
      </c>
      <c r="E69" vm="1575">
        <f ca="1"/>
        <v>1.62</v>
      </c>
      <c r="F69" vm="2825">
        <f ca="1"/>
        <v>4556748</v>
      </c>
    </row>
    <row r="70" spans="1:6" x14ac:dyDescent="0.25">
      <c r="A70" vm="247">
        <f ca="1"/>
        <v>45758</v>
      </c>
      <c r="B70" vm="1555">
        <f ca="1"/>
        <v>1.99</v>
      </c>
      <c r="C70" vm="1728">
        <f ca="1"/>
        <v>1.79</v>
      </c>
      <c r="D70" vm="1753">
        <f ca="1"/>
        <v>2.0299999999999998</v>
      </c>
      <c r="E70" vm="2826">
        <f ca="1"/>
        <v>1.7211000000000001</v>
      </c>
      <c r="F70" vm="2827">
        <f ca="1"/>
        <v>4185387</v>
      </c>
    </row>
    <row r="71" spans="1:6" x14ac:dyDescent="0.25">
      <c r="A71" vm="251">
        <f ca="1"/>
        <v>45761</v>
      </c>
      <c r="B71" vm="1515">
        <f ca="1"/>
        <v>2.02</v>
      </c>
      <c r="C71" vm="1560">
        <f ca="1"/>
        <v>2.0099999999999998</v>
      </c>
      <c r="D71" vm="1995">
        <f ca="1"/>
        <v>2.08</v>
      </c>
      <c r="E71" vm="1450">
        <f ca="1"/>
        <v>1.92</v>
      </c>
      <c r="F71" vm="2828">
        <f ca="1"/>
        <v>3074438</v>
      </c>
    </row>
    <row r="72" spans="1:6" x14ac:dyDescent="0.25">
      <c r="A72" vm="255">
        <f ca="1"/>
        <v>45762</v>
      </c>
      <c r="B72" vm="1515">
        <f ca="1"/>
        <v>2.02</v>
      </c>
      <c r="C72" vm="1447">
        <f ca="1"/>
        <v>2</v>
      </c>
      <c r="D72" vm="1751">
        <f ca="1"/>
        <v>2.06</v>
      </c>
      <c r="E72" vm="1740">
        <f ca="1"/>
        <v>1.95</v>
      </c>
      <c r="F72" vm="2829">
        <f ca="1"/>
        <v>3192497</v>
      </c>
    </row>
    <row r="73" spans="1:6" x14ac:dyDescent="0.25">
      <c r="A73" vm="259">
        <f ca="1"/>
        <v>45763</v>
      </c>
      <c r="B73" vm="1553">
        <f ca="1"/>
        <v>1.88</v>
      </c>
      <c r="C73" vm="1447">
        <f ca="1"/>
        <v>2</v>
      </c>
      <c r="D73" vm="1751">
        <f ca="1"/>
        <v>2.06</v>
      </c>
      <c r="E73" vm="2830">
        <f ca="1"/>
        <v>1.8149999999999999</v>
      </c>
      <c r="F73" vm="2831">
        <f ca="1"/>
        <v>3429803</v>
      </c>
    </row>
    <row r="74" spans="1:6" x14ac:dyDescent="0.25">
      <c r="A74" vm="263">
        <f ca="1"/>
        <v>45764</v>
      </c>
      <c r="B74" vm="1742">
        <f ca="1"/>
        <v>1.97</v>
      </c>
      <c r="C74" vm="1504">
        <f ca="1"/>
        <v>1.9</v>
      </c>
      <c r="D74" vm="1447">
        <f ca="1"/>
        <v>2</v>
      </c>
      <c r="E74" vm="1499">
        <f ca="1"/>
        <v>1.885</v>
      </c>
      <c r="F74" vm="2832">
        <f ca="1"/>
        <v>2956314</v>
      </c>
    </row>
    <row r="75" spans="1:6" x14ac:dyDescent="0.25">
      <c r="A75" vm="267">
        <f ca="1"/>
        <v>45768</v>
      </c>
      <c r="B75" vm="1566">
        <f ca="1"/>
        <v>1.98</v>
      </c>
      <c r="C75" vm="1740">
        <f ca="1"/>
        <v>1.95</v>
      </c>
      <c r="D75" vm="1745">
        <f ca="1"/>
        <v>2.0499999999999998</v>
      </c>
      <c r="E75" vm="1504">
        <f ca="1"/>
        <v>1.9</v>
      </c>
      <c r="F75" vm="2833">
        <f ca="1"/>
        <v>2627137</v>
      </c>
    </row>
    <row r="76" spans="1:6" x14ac:dyDescent="0.25">
      <c r="A76" vm="271">
        <f ca="1"/>
        <v>45769</v>
      </c>
      <c r="B76" vm="1751">
        <f ca="1"/>
        <v>2.06</v>
      </c>
      <c r="C76" vm="1560">
        <f ca="1"/>
        <v>2.0099999999999998</v>
      </c>
      <c r="D76" vm="1563">
        <f ca="1"/>
        <v>2.11</v>
      </c>
      <c r="E76" vm="1566">
        <f ca="1"/>
        <v>1.98</v>
      </c>
      <c r="F76" vm="2834">
        <f ca="1"/>
        <v>3482032</v>
      </c>
    </row>
    <row r="77" spans="1:6" x14ac:dyDescent="0.25">
      <c r="A77" vm="274">
        <f ca="1"/>
        <v>45770</v>
      </c>
      <c r="B77" vm="1995">
        <f ca="1"/>
        <v>2.08</v>
      </c>
      <c r="C77" vm="1580">
        <f ca="1"/>
        <v>2.14</v>
      </c>
      <c r="D77" vm="1453">
        <f ca="1"/>
        <v>2.23</v>
      </c>
      <c r="E77" vm="1745">
        <f ca="1"/>
        <v>2.0499999999999998</v>
      </c>
      <c r="F77" vm="2835">
        <f ca="1"/>
        <v>4085844</v>
      </c>
    </row>
    <row r="78" spans="1:6" x14ac:dyDescent="0.25">
      <c r="A78" vm="278">
        <f ca="1"/>
        <v>45771</v>
      </c>
      <c r="B78" vm="1513">
        <f ca="1"/>
        <v>2.13</v>
      </c>
      <c r="C78" vm="1439">
        <f ca="1"/>
        <v>2.09</v>
      </c>
      <c r="D78" vm="2054">
        <f ca="1"/>
        <v>2.15</v>
      </c>
      <c r="E78" vm="1751">
        <f ca="1"/>
        <v>2.06</v>
      </c>
      <c r="F78" vm="2836">
        <f ca="1"/>
        <v>2195620</v>
      </c>
    </row>
    <row r="79" spans="1:6" x14ac:dyDescent="0.25">
      <c r="A79" vm="282">
        <f ca="1"/>
        <v>45772</v>
      </c>
      <c r="B79" vm="1513">
        <f ca="1"/>
        <v>2.13</v>
      </c>
      <c r="C79" vm="1565">
        <f ca="1"/>
        <v>2.1</v>
      </c>
      <c r="D79" vm="1580">
        <f ca="1"/>
        <v>2.14</v>
      </c>
      <c r="E79" vm="1751">
        <f ca="1"/>
        <v>2.06</v>
      </c>
      <c r="F79" vm="2837">
        <f ca="1"/>
        <v>2072237</v>
      </c>
    </row>
    <row r="80" spans="1:6" x14ac:dyDescent="0.25">
      <c r="A80" vm="286">
        <f ca="1"/>
        <v>45775</v>
      </c>
      <c r="B80" vm="2003">
        <f ca="1"/>
        <v>2.16</v>
      </c>
      <c r="C80" vm="1580">
        <f ca="1"/>
        <v>2.14</v>
      </c>
      <c r="D80" vm="1752">
        <f ca="1"/>
        <v>2.2200000000000002</v>
      </c>
      <c r="E80" vm="1513">
        <f ca="1"/>
        <v>2.13</v>
      </c>
      <c r="F80" vm="2838">
        <f ca="1"/>
        <v>1769230</v>
      </c>
    </row>
    <row r="81" spans="1:6" x14ac:dyDescent="0.25">
      <c r="A81" vm="290">
        <f ca="1"/>
        <v>45776</v>
      </c>
      <c r="B81" vm="1749">
        <f ca="1"/>
        <v>2.1800000000000002</v>
      </c>
      <c r="C81" vm="2054">
        <f ca="1"/>
        <v>2.15</v>
      </c>
      <c r="D81" vm="1516">
        <f ca="1"/>
        <v>2.2000000000000002</v>
      </c>
      <c r="E81" vm="1565">
        <f ca="1"/>
        <v>2.1</v>
      </c>
      <c r="F81" vm="2839">
        <f ca="1"/>
        <v>2596108</v>
      </c>
    </row>
    <row r="82" spans="1:6" x14ac:dyDescent="0.25">
      <c r="A82" vm="292">
        <f ca="1"/>
        <v>45777</v>
      </c>
      <c r="B82" vm="1518">
        <f ca="1"/>
        <v>2.25</v>
      </c>
      <c r="C82" vm="2054">
        <f ca="1"/>
        <v>2.15</v>
      </c>
      <c r="D82" vm="1441">
        <f ca="1"/>
        <v>2.27</v>
      </c>
      <c r="E82" vm="2840">
        <f ca="1"/>
        <v>2.1240000000000001</v>
      </c>
      <c r="F82" vm="2841">
        <f ca="1"/>
        <v>2732069</v>
      </c>
    </row>
    <row r="83" spans="1:6" x14ac:dyDescent="0.25">
      <c r="A83" vm="295">
        <f ca="1"/>
        <v>45778</v>
      </c>
      <c r="B83" vm="1441">
        <f ca="1"/>
        <v>2.27</v>
      </c>
      <c r="C83" vm="1518">
        <f ca="1"/>
        <v>2.25</v>
      </c>
      <c r="D83" vm="1508">
        <f ca="1"/>
        <v>2.29</v>
      </c>
      <c r="E83" vm="1516">
        <f ca="1"/>
        <v>2.2000000000000002</v>
      </c>
      <c r="F83" vm="2842">
        <f ca="1"/>
        <v>2147872</v>
      </c>
    </row>
    <row r="84" spans="1:6" x14ac:dyDescent="0.25">
      <c r="A84" vm="298">
        <f ca="1"/>
        <v>45779</v>
      </c>
      <c r="B84" vm="1444">
        <f ca="1"/>
        <v>2.46</v>
      </c>
      <c r="C84" vm="1746">
        <f ca="1"/>
        <v>2.31</v>
      </c>
      <c r="D84" vm="1149">
        <f ca="1"/>
        <v>2.54</v>
      </c>
      <c r="E84" vm="1746">
        <f ca="1"/>
        <v>2.31</v>
      </c>
      <c r="F84" vm="2843">
        <f ca="1"/>
        <v>5903989</v>
      </c>
    </row>
    <row r="85" spans="1:6" x14ac:dyDescent="0.25">
      <c r="A85" vm="302">
        <f ca="1"/>
        <v>45782</v>
      </c>
      <c r="B85" vm="2752">
        <f ca="1"/>
        <v>2.38</v>
      </c>
      <c r="C85" vm="2844">
        <f ca="1"/>
        <v>2.4350000000000001</v>
      </c>
      <c r="D85" vm="2741">
        <f ca="1"/>
        <v>2.52</v>
      </c>
      <c r="E85" vm="2752">
        <f ca="1"/>
        <v>2.38</v>
      </c>
      <c r="F85" vm="2845">
        <f ca="1"/>
        <v>2683020</v>
      </c>
    </row>
    <row r="86" spans="1:6" x14ac:dyDescent="0.25">
      <c r="A86" vm="304">
        <f ca="1"/>
        <v>45783</v>
      </c>
      <c r="B86" vm="1439">
        <f ca="1"/>
        <v>2.09</v>
      </c>
      <c r="C86" vm="1747">
        <f ca="1"/>
        <v>2.35</v>
      </c>
      <c r="D86" vm="2846">
        <f ca="1"/>
        <v>2.4344000000000001</v>
      </c>
      <c r="E86" vm="1995">
        <f ca="1"/>
        <v>2.08</v>
      </c>
      <c r="F86" vm="2847">
        <f ca="1"/>
        <v>3874946</v>
      </c>
    </row>
    <row r="87" spans="1:6" x14ac:dyDescent="0.25">
      <c r="A87" vm="307">
        <f ca="1"/>
        <v>45784</v>
      </c>
      <c r="B87" vm="1443">
        <f ca="1"/>
        <v>2.04</v>
      </c>
      <c r="C87" vm="1563">
        <f ca="1"/>
        <v>2.11</v>
      </c>
      <c r="D87" vm="1580">
        <f ca="1"/>
        <v>2.14</v>
      </c>
      <c r="E87" vm="1447">
        <f ca="1"/>
        <v>2</v>
      </c>
      <c r="F87" vm="2848">
        <f ca="1"/>
        <v>3819372</v>
      </c>
    </row>
    <row r="88" spans="1:6" x14ac:dyDescent="0.25">
      <c r="A88" vm="310">
        <f ca="1"/>
        <v>45785</v>
      </c>
      <c r="B88" vm="1565">
        <f ca="1"/>
        <v>2.1</v>
      </c>
      <c r="C88" vm="1752">
        <f ca="1"/>
        <v>2.2200000000000002</v>
      </c>
      <c r="D88" vm="1564">
        <f ca="1"/>
        <v>2.2999999999999998</v>
      </c>
      <c r="E88" vm="1566">
        <f ca="1"/>
        <v>1.98</v>
      </c>
      <c r="F88" vm="2849">
        <f ca="1"/>
        <v>3964623</v>
      </c>
    </row>
    <row r="89" spans="1:6" x14ac:dyDescent="0.25">
      <c r="A89" vm="314">
        <f ca="1"/>
        <v>45786</v>
      </c>
      <c r="B89" vm="1439">
        <f ca="1"/>
        <v>2.09</v>
      </c>
      <c r="C89" vm="1565">
        <f ca="1"/>
        <v>2.1</v>
      </c>
      <c r="D89" vm="2850">
        <f ca="1"/>
        <v>2.145</v>
      </c>
      <c r="E89" vm="1753">
        <f ca="1"/>
        <v>2.0299999999999998</v>
      </c>
      <c r="F89" vm="2851">
        <f ca="1"/>
        <v>3316773</v>
      </c>
    </row>
    <row r="90" spans="1:6" x14ac:dyDescent="0.25">
      <c r="A90" vm="316">
        <f ca="1"/>
        <v>45789</v>
      </c>
      <c r="B90" vm="2054">
        <f ca="1"/>
        <v>2.15</v>
      </c>
      <c r="C90" vm="1554">
        <f ca="1"/>
        <v>2.19</v>
      </c>
      <c r="D90" vm="1518">
        <f ca="1"/>
        <v>2.25</v>
      </c>
      <c r="E90" vm="1565">
        <f ca="1"/>
        <v>2.1</v>
      </c>
      <c r="F90" vm="2852">
        <f ca="1"/>
        <v>3024992</v>
      </c>
    </row>
    <row r="91" spans="1:6" x14ac:dyDescent="0.25">
      <c r="A91" vm="320">
        <f ca="1"/>
        <v>45790</v>
      </c>
      <c r="B91" vm="1554">
        <f ca="1"/>
        <v>2.19</v>
      </c>
      <c r="C91" vm="1749">
        <f ca="1"/>
        <v>2.1800000000000002</v>
      </c>
      <c r="D91" vm="2853">
        <f ca="1"/>
        <v>2.2299000000000002</v>
      </c>
      <c r="E91" vm="1565">
        <f ca="1"/>
        <v>2.1</v>
      </c>
      <c r="F91" vm="2854">
        <f ca="1"/>
        <v>2640385</v>
      </c>
    </row>
    <row r="92" spans="1:6" x14ac:dyDescent="0.25">
      <c r="A92" vm="324">
        <f ca="1"/>
        <v>45791</v>
      </c>
      <c r="B92" vm="2040">
        <f ca="1"/>
        <v>2.17</v>
      </c>
      <c r="C92" vm="1749">
        <f ca="1"/>
        <v>2.1800000000000002</v>
      </c>
      <c r="D92" vm="2000">
        <f ca="1"/>
        <v>2.2349999999999999</v>
      </c>
      <c r="E92" vm="1439">
        <f ca="1"/>
        <v>2.09</v>
      </c>
      <c r="F92" vm="2855">
        <f ca="1"/>
        <v>3291363</v>
      </c>
    </row>
    <row r="93" spans="1:6" x14ac:dyDescent="0.25">
      <c r="A93" vm="328">
        <f ca="1"/>
        <v>45792</v>
      </c>
      <c r="B93" vm="1438">
        <f ca="1"/>
        <v>2.2400000000000002</v>
      </c>
      <c r="C93" vm="2054">
        <f ca="1"/>
        <v>2.15</v>
      </c>
      <c r="D93" vm="1147">
        <f ca="1"/>
        <v>2.2599999999999998</v>
      </c>
      <c r="E93" vm="1510">
        <f ca="1"/>
        <v>2.12</v>
      </c>
      <c r="F93" vm="2856">
        <f ca="1"/>
        <v>2400814</v>
      </c>
    </row>
    <row r="94" spans="1:6" x14ac:dyDescent="0.25">
      <c r="A94" vm="332">
        <f ca="1"/>
        <v>45793</v>
      </c>
      <c r="B94" vm="1147">
        <f ca="1"/>
        <v>2.2599999999999998</v>
      </c>
      <c r="C94" vm="1438">
        <f ca="1"/>
        <v>2.2400000000000002</v>
      </c>
      <c r="D94" vm="1508">
        <f ca="1"/>
        <v>2.29</v>
      </c>
      <c r="E94" vm="2857">
        <f ca="1"/>
        <v>2.2008000000000001</v>
      </c>
      <c r="F94" vm="2858">
        <f ca="1"/>
        <v>1804904</v>
      </c>
    </row>
    <row r="95" spans="1:6" x14ac:dyDescent="0.25">
      <c r="A95" vm="336">
        <f ca="1"/>
        <v>45796</v>
      </c>
      <c r="B95" vm="1564">
        <f ca="1"/>
        <v>2.2999999999999998</v>
      </c>
      <c r="C95" vm="1752">
        <f ca="1"/>
        <v>2.2200000000000002</v>
      </c>
      <c r="D95" vm="1998">
        <f ca="1"/>
        <v>2.39</v>
      </c>
      <c r="E95" vm="2859">
        <f ca="1"/>
        <v>2.2149999999999999</v>
      </c>
      <c r="F95" vm="2860">
        <f ca="1"/>
        <v>3206098</v>
      </c>
    </row>
    <row r="96" spans="1:6" x14ac:dyDescent="0.25">
      <c r="A96" vm="340">
        <f ca="1"/>
        <v>45797</v>
      </c>
      <c r="B96" vm="2040">
        <f ca="1"/>
        <v>2.17</v>
      </c>
      <c r="C96" vm="1564">
        <f ca="1"/>
        <v>2.2999999999999998</v>
      </c>
      <c r="D96" vm="1564">
        <f ca="1"/>
        <v>2.2999999999999998</v>
      </c>
      <c r="E96" vm="1565">
        <f ca="1"/>
        <v>2.1</v>
      </c>
      <c r="F96" vm="2861">
        <f ca="1"/>
        <v>5658061</v>
      </c>
    </row>
    <row r="97" spans="1:6" x14ac:dyDescent="0.25">
      <c r="A97" vm="344">
        <f ca="1"/>
        <v>45798</v>
      </c>
      <c r="B97" vm="1753">
        <f ca="1"/>
        <v>2.0299999999999998</v>
      </c>
      <c r="C97" vm="2003">
        <f ca="1"/>
        <v>2.16</v>
      </c>
      <c r="D97" vm="2862">
        <f ca="1"/>
        <v>2.2050000000000001</v>
      </c>
      <c r="E97" vm="1560">
        <f ca="1"/>
        <v>2.0099999999999998</v>
      </c>
      <c r="F97" vm="2863">
        <f ca="1"/>
        <v>7587324</v>
      </c>
    </row>
    <row r="98" spans="1:6" x14ac:dyDescent="0.25">
      <c r="A98" vm="346">
        <f ca="1"/>
        <v>45799</v>
      </c>
      <c r="B98" vm="1518">
        <f ca="1"/>
        <v>2.25</v>
      </c>
      <c r="C98" vm="1745">
        <f ca="1"/>
        <v>2.0499999999999998</v>
      </c>
      <c r="D98" vm="1147">
        <f ca="1"/>
        <v>2.2599999999999998</v>
      </c>
      <c r="E98" vm="1447">
        <f ca="1"/>
        <v>2</v>
      </c>
      <c r="F98" vm="2864">
        <f ca="1"/>
        <v>5348276</v>
      </c>
    </row>
    <row r="99" spans="1:6" x14ac:dyDescent="0.25">
      <c r="A99" vm="349">
        <f ca="1"/>
        <v>45800</v>
      </c>
      <c r="B99" vm="1564">
        <f ca="1"/>
        <v>2.2999999999999998</v>
      </c>
      <c r="C99" vm="1554">
        <f ca="1"/>
        <v>2.19</v>
      </c>
      <c r="D99" vm="1750">
        <f ca="1"/>
        <v>2.33</v>
      </c>
      <c r="E99" vm="2865">
        <f ca="1"/>
        <v>2.165</v>
      </c>
      <c r="F99" vm="2866">
        <f ca="1"/>
        <v>3065435</v>
      </c>
    </row>
    <row r="100" spans="1:6" x14ac:dyDescent="0.25">
      <c r="A100" vm="353">
        <f ca="1"/>
        <v>45804</v>
      </c>
      <c r="B100" vm="1438">
        <f ca="1"/>
        <v>2.2400000000000002</v>
      </c>
      <c r="C100" vm="2063">
        <f ca="1"/>
        <v>2.36</v>
      </c>
      <c r="D100" vm="2867">
        <f ca="1"/>
        <v>2.415</v>
      </c>
      <c r="E100" vm="1453">
        <f ca="1"/>
        <v>2.23</v>
      </c>
      <c r="F100" vm="2868">
        <f ca="1"/>
        <v>4188665</v>
      </c>
    </row>
    <row r="101" spans="1:6" x14ac:dyDescent="0.25">
      <c r="A101" vm="357">
        <f ca="1"/>
        <v>45805</v>
      </c>
      <c r="B101" vm="1516">
        <f ca="1"/>
        <v>2.2000000000000002</v>
      </c>
      <c r="C101" vm="1518">
        <f ca="1"/>
        <v>2.25</v>
      </c>
      <c r="D101" vm="1747">
        <f ca="1"/>
        <v>2.35</v>
      </c>
      <c r="E101" vm="2869">
        <f ca="1"/>
        <v>2.1349999999999998</v>
      </c>
      <c r="F101" vm="2870">
        <f ca="1"/>
        <v>8053613</v>
      </c>
    </row>
    <row r="102" spans="1:6" x14ac:dyDescent="0.25">
      <c r="A102" vm="361">
        <f ca="1"/>
        <v>45806</v>
      </c>
      <c r="B102" vm="1147">
        <f ca="1"/>
        <v>2.2599999999999998</v>
      </c>
      <c r="C102" vm="1752">
        <f ca="1"/>
        <v>2.2200000000000002</v>
      </c>
      <c r="D102" vm="1145">
        <f ca="1"/>
        <v>2.2799999999999998</v>
      </c>
      <c r="E102" vm="1749">
        <f ca="1"/>
        <v>2.1800000000000002</v>
      </c>
      <c r="F102" vm="2871">
        <f ca="1"/>
        <v>6076366</v>
      </c>
    </row>
    <row r="103" spans="1:6" x14ac:dyDescent="0.25">
      <c r="A103" vm="365">
        <f ca="1"/>
        <v>45807</v>
      </c>
      <c r="B103" vm="1510">
        <f ca="1"/>
        <v>2.12</v>
      </c>
      <c r="C103" vm="1438">
        <f ca="1"/>
        <v>2.2400000000000002</v>
      </c>
      <c r="D103" vm="1441">
        <f ca="1"/>
        <v>2.27</v>
      </c>
      <c r="E103" vm="1563">
        <f ca="1"/>
        <v>2.11</v>
      </c>
      <c r="F103" vm="2872">
        <f ca="1"/>
        <v>4775068</v>
      </c>
    </row>
    <row r="104" spans="1:6" x14ac:dyDescent="0.25">
      <c r="A104" vm="369">
        <f ca="1"/>
        <v>45810</v>
      </c>
      <c r="B104" vm="2873">
        <f ca="1"/>
        <v>2.34</v>
      </c>
      <c r="C104" vm="2040">
        <f ca="1"/>
        <v>2.17</v>
      </c>
      <c r="D104" vm="2773">
        <f ca="1"/>
        <v>2.375</v>
      </c>
      <c r="E104" vm="2003">
        <f ca="1"/>
        <v>2.16</v>
      </c>
      <c r="F104" vm="2874">
        <f ca="1"/>
        <v>7292464</v>
      </c>
    </row>
    <row r="105" spans="1:6" x14ac:dyDescent="0.25">
      <c r="A105" vm="372">
        <f ca="1"/>
        <v>45811</v>
      </c>
      <c r="B105" vm="1547">
        <f ca="1"/>
        <v>2.4500000000000002</v>
      </c>
      <c r="C105" vm="1750">
        <f ca="1"/>
        <v>2.33</v>
      </c>
      <c r="D105" vm="1444">
        <f ca="1"/>
        <v>2.46</v>
      </c>
      <c r="E105" vm="1145">
        <f ca="1"/>
        <v>2.2799999999999998</v>
      </c>
      <c r="F105" vm="2875">
        <f ca="1"/>
        <v>4427863</v>
      </c>
    </row>
    <row r="106" spans="1:6" x14ac:dyDescent="0.25">
      <c r="A106" vm="375">
        <f ca="1"/>
        <v>45812</v>
      </c>
      <c r="B106" vm="1547">
        <f ca="1"/>
        <v>2.4500000000000002</v>
      </c>
      <c r="C106" vm="2727">
        <f ca="1"/>
        <v>2.5</v>
      </c>
      <c r="D106" vm="2876">
        <f ca="1"/>
        <v>2.5299999999999998</v>
      </c>
      <c r="E106" vm="2749">
        <f ca="1"/>
        <v>2.4300000000000002</v>
      </c>
      <c r="F106" vm="2877">
        <f ca="1"/>
        <v>4555086</v>
      </c>
    </row>
    <row r="107" spans="1:6" x14ac:dyDescent="0.25">
      <c r="A107" vm="378">
        <f ca="1"/>
        <v>45813</v>
      </c>
      <c r="B107" vm="1144">
        <f ca="1"/>
        <v>2.48</v>
      </c>
      <c r="C107" vm="1444">
        <f ca="1"/>
        <v>2.46</v>
      </c>
      <c r="D107" vm="2878">
        <f ca="1"/>
        <v>2.5350000000000001</v>
      </c>
      <c r="E107" vm="1998">
        <f ca="1"/>
        <v>2.39</v>
      </c>
      <c r="F107" vm="2879">
        <f ca="1"/>
        <v>4380565</v>
      </c>
    </row>
    <row r="108" spans="1:6" x14ac:dyDescent="0.25">
      <c r="A108" vm="382">
        <f ca="1"/>
        <v>45814</v>
      </c>
      <c r="B108" vm="1144">
        <f ca="1"/>
        <v>2.48</v>
      </c>
      <c r="C108" vm="2876">
        <f ca="1"/>
        <v>2.5299999999999998</v>
      </c>
      <c r="D108" vm="1139">
        <f ca="1"/>
        <v>2.61</v>
      </c>
      <c r="E108" vm="2880">
        <f ca="1"/>
        <v>2.4550000000000001</v>
      </c>
      <c r="F108" vm="2881">
        <f ca="1"/>
        <v>5095094</v>
      </c>
    </row>
    <row r="109" spans="1:6" x14ac:dyDescent="0.25">
      <c r="A109" vm="386">
        <f ca="1"/>
        <v>45817</v>
      </c>
      <c r="B109" vm="1148">
        <f ca="1"/>
        <v>2.5099999999999998</v>
      </c>
      <c r="C109" vm="2741">
        <f ca="1"/>
        <v>2.52</v>
      </c>
      <c r="D109" vm="2876">
        <f ca="1"/>
        <v>2.5299999999999998</v>
      </c>
      <c r="E109" vm="2744">
        <f ca="1"/>
        <v>2.41</v>
      </c>
      <c r="F109" vm="2882">
        <f ca="1"/>
        <v>5917576</v>
      </c>
    </row>
    <row r="110" spans="1:6" x14ac:dyDescent="0.25">
      <c r="A110" vm="389">
        <f ca="1"/>
        <v>45818</v>
      </c>
      <c r="B110" vm="2876">
        <f ca="1"/>
        <v>2.5299999999999998</v>
      </c>
      <c r="C110" vm="1149">
        <f ca="1"/>
        <v>2.54</v>
      </c>
      <c r="D110" vm="1549">
        <f ca="1"/>
        <v>2.65</v>
      </c>
      <c r="E110" vm="2883">
        <f ca="1"/>
        <v>2.4849999999999999</v>
      </c>
      <c r="F110" vm="2884">
        <f ca="1"/>
        <v>3949639</v>
      </c>
    </row>
    <row r="111" spans="1:6" x14ac:dyDescent="0.25">
      <c r="A111" vm="391">
        <f ca="1"/>
        <v>45819</v>
      </c>
      <c r="B111" vm="1516">
        <f ca="1"/>
        <v>2.2000000000000002</v>
      </c>
      <c r="C111" vm="2876">
        <f ca="1"/>
        <v>2.5299999999999998</v>
      </c>
      <c r="D111" vm="2060">
        <f ca="1"/>
        <v>2.72</v>
      </c>
      <c r="E111" vm="1742">
        <f ca="1"/>
        <v>1.97</v>
      </c>
      <c r="F111" vm="2885">
        <f ca="1"/>
        <v>24284539</v>
      </c>
    </row>
    <row r="112" spans="1:6" x14ac:dyDescent="0.25">
      <c r="A112" vm="395">
        <f ca="1"/>
        <v>45820</v>
      </c>
      <c r="B112" vm="1567">
        <f ca="1"/>
        <v>1.81</v>
      </c>
      <c r="C112" vm="1516">
        <f ca="1"/>
        <v>2.2000000000000002</v>
      </c>
      <c r="D112" vm="1453">
        <f ca="1"/>
        <v>2.23</v>
      </c>
      <c r="E112" vm="1509">
        <f ca="1"/>
        <v>1.8</v>
      </c>
      <c r="F112" vm="2886">
        <f ca="1"/>
        <v>18706289</v>
      </c>
    </row>
    <row r="113" spans="1:6" x14ac:dyDescent="0.25">
      <c r="A113" vm="399">
        <f ca="1"/>
        <v>45821</v>
      </c>
      <c r="B113" vm="1980">
        <f ca="1"/>
        <v>1.73</v>
      </c>
      <c r="C113" vm="1567">
        <f ca="1"/>
        <v>1.81</v>
      </c>
      <c r="D113" vm="1500">
        <f ca="1"/>
        <v>1.82</v>
      </c>
      <c r="E113" vm="1568">
        <f ca="1"/>
        <v>1.69</v>
      </c>
      <c r="F113" vm="2887">
        <f ca="1"/>
        <v>8955051</v>
      </c>
    </row>
    <row r="114" spans="1:6" x14ac:dyDescent="0.25">
      <c r="A114" vm="403">
        <f ca="1"/>
        <v>45824</v>
      </c>
      <c r="B114" vm="1987">
        <f ca="1"/>
        <v>1.86</v>
      </c>
      <c r="C114" vm="1727">
        <f ca="1"/>
        <v>1.66</v>
      </c>
      <c r="D114" vm="1499">
        <f ca="1"/>
        <v>1.885</v>
      </c>
      <c r="E114" vm="1957">
        <f ca="1"/>
        <v>1.57</v>
      </c>
      <c r="F114" vm="2888">
        <f ca="1"/>
        <v>9713303</v>
      </c>
    </row>
    <row r="115" spans="1:6" x14ac:dyDescent="0.25">
      <c r="A115" vm="407">
        <f ca="1"/>
        <v>45825</v>
      </c>
      <c r="B115" vm="1511">
        <f ca="1"/>
        <v>1.71</v>
      </c>
      <c r="C115" vm="1507">
        <f ca="1"/>
        <v>1.85</v>
      </c>
      <c r="D115" vm="1987">
        <f ca="1"/>
        <v>1.86</v>
      </c>
      <c r="E115" vm="1511">
        <f ca="1"/>
        <v>1.71</v>
      </c>
      <c r="F115" vm="2889">
        <f ca="1"/>
        <v>6439252</v>
      </c>
    </row>
    <row r="116" spans="1:6" x14ac:dyDescent="0.25">
      <c r="A116" vm="410">
        <f ca="1"/>
        <v>45826</v>
      </c>
      <c r="B116" vm="1728">
        <f ca="1"/>
        <v>1.79</v>
      </c>
      <c r="C116" vm="1980">
        <f ca="1"/>
        <v>1.73</v>
      </c>
      <c r="D116" vm="2830">
        <f ca="1"/>
        <v>1.8149999999999999</v>
      </c>
      <c r="E116" vm="1503">
        <f ca="1"/>
        <v>1.58</v>
      </c>
      <c r="F116" vm="2890">
        <f ca="1"/>
        <v>8747003</v>
      </c>
    </row>
    <row r="117" spans="1:6" x14ac:dyDescent="0.25">
      <c r="A117" vm="412">
        <f ca="1"/>
        <v>45828</v>
      </c>
      <c r="B117" vm="1742">
        <f ca="1"/>
        <v>1.97</v>
      </c>
      <c r="C117" vm="1450">
        <f ca="1"/>
        <v>1.92</v>
      </c>
      <c r="D117" vm="2891">
        <f ca="1"/>
        <v>2.0099</v>
      </c>
      <c r="E117" vm="1583">
        <f ca="1"/>
        <v>1.84</v>
      </c>
      <c r="F117" vm="2892">
        <f ca="1"/>
        <v>12721104</v>
      </c>
    </row>
    <row r="118" spans="1:6" x14ac:dyDescent="0.25">
      <c r="A118" vm="414">
        <f ca="1"/>
        <v>45831</v>
      </c>
      <c r="B118" vm="1753">
        <f ca="1"/>
        <v>2.0299999999999998</v>
      </c>
      <c r="C118" vm="1447">
        <f ca="1"/>
        <v>2</v>
      </c>
      <c r="D118" vm="1753">
        <f ca="1"/>
        <v>2.0299999999999998</v>
      </c>
      <c r="E118" vm="1449">
        <f ca="1"/>
        <v>1.91</v>
      </c>
      <c r="F118" vm="2893">
        <f ca="1"/>
        <v>7943956</v>
      </c>
    </row>
    <row r="119" spans="1:6" x14ac:dyDescent="0.25">
      <c r="A119" vm="417">
        <f ca="1"/>
        <v>45832</v>
      </c>
      <c r="B119" vm="1745">
        <f ca="1"/>
        <v>2.0499999999999998</v>
      </c>
      <c r="C119" vm="1751">
        <f ca="1"/>
        <v>2.06</v>
      </c>
      <c r="D119" vm="1580">
        <f ca="1"/>
        <v>2.14</v>
      </c>
      <c r="E119" vm="1753">
        <f ca="1"/>
        <v>2.0299999999999998</v>
      </c>
      <c r="F119" vm="2894">
        <f ca="1"/>
        <v>6325664</v>
      </c>
    </row>
    <row r="120" spans="1:6" x14ac:dyDescent="0.25">
      <c r="A120" vm="421">
        <f ca="1"/>
        <v>45833</v>
      </c>
      <c r="B120" vm="1553">
        <f ca="1"/>
        <v>1.88</v>
      </c>
      <c r="C120" vm="1753">
        <f ca="1"/>
        <v>2.0299999999999998</v>
      </c>
      <c r="D120" vm="1745">
        <f ca="1"/>
        <v>2.0499999999999998</v>
      </c>
      <c r="E120" vm="1987">
        <f ca="1"/>
        <v>1.86</v>
      </c>
      <c r="F120" vm="2895">
        <f ca="1"/>
        <v>11279440</v>
      </c>
    </row>
    <row r="121" spans="1:6" x14ac:dyDescent="0.25">
      <c r="A121" vm="422">
        <f ca="1"/>
        <v>45834</v>
      </c>
      <c r="B121" vm="1742">
        <f ca="1"/>
        <v>1.97</v>
      </c>
      <c r="C121" vm="1729">
        <f ca="1"/>
        <v>1.87</v>
      </c>
      <c r="D121" vm="1742">
        <f ca="1"/>
        <v>1.97</v>
      </c>
      <c r="E121" vm="1567">
        <f ca="1"/>
        <v>1.81</v>
      </c>
      <c r="F121" vm="2896">
        <f ca="1"/>
        <v>6719899</v>
      </c>
    </row>
    <row r="122" spans="1:6" x14ac:dyDescent="0.25">
      <c r="A122" vm="423">
        <f ca="1"/>
        <v>45835</v>
      </c>
      <c r="B122" vm="1581">
        <f ca="1"/>
        <v>1.93</v>
      </c>
      <c r="C122" vm="1742">
        <f ca="1"/>
        <v>1.97</v>
      </c>
      <c r="D122" vm="1753">
        <f ca="1"/>
        <v>2.0299999999999998</v>
      </c>
      <c r="E122" vm="1450">
        <f ca="1"/>
        <v>1.92</v>
      </c>
      <c r="F122" vm="2897">
        <f ca="1"/>
        <v>14186949</v>
      </c>
    </row>
    <row r="123" spans="1:6" x14ac:dyDescent="0.25">
      <c r="A123" vm="425">
        <f ca="1"/>
        <v>45838</v>
      </c>
      <c r="B123" vm="1740">
        <f ca="1"/>
        <v>1.95</v>
      </c>
      <c r="C123" vm="1566">
        <f ca="1"/>
        <v>1.98</v>
      </c>
      <c r="D123" vm="1565">
        <f ca="1"/>
        <v>2.1</v>
      </c>
      <c r="E123" vm="1740">
        <f ca="1"/>
        <v>1.95</v>
      </c>
      <c r="F123" vm="2898">
        <f ca="1"/>
        <v>8359660</v>
      </c>
    </row>
    <row r="124" spans="1:6" x14ac:dyDescent="0.25">
      <c r="A124" vm="427">
        <f ca="1"/>
        <v>45839</v>
      </c>
      <c r="B124" vm="1445">
        <f ca="1"/>
        <v>1.94</v>
      </c>
      <c r="C124" vm="1740">
        <f ca="1"/>
        <v>1.95</v>
      </c>
      <c r="D124" vm="1742">
        <f ca="1"/>
        <v>1.97</v>
      </c>
      <c r="E124" vm="2029">
        <f ca="1"/>
        <v>1.865</v>
      </c>
      <c r="F124" vm="2899">
        <f ca="1"/>
        <v>6092568</v>
      </c>
    </row>
    <row r="125" spans="1:6" x14ac:dyDescent="0.25">
      <c r="A125" vm="430">
        <f ca="1"/>
        <v>45840</v>
      </c>
      <c r="B125" vm="1745">
        <f ca="1"/>
        <v>2.0499999999999998</v>
      </c>
      <c r="C125" vm="1581">
        <f ca="1"/>
        <v>1.93</v>
      </c>
      <c r="D125" vm="1440">
        <f ca="1"/>
        <v>2.0699999999999998</v>
      </c>
      <c r="E125" vm="1504">
        <f ca="1"/>
        <v>1.9</v>
      </c>
      <c r="F125" vm="2900">
        <f ca="1"/>
        <v>4695359</v>
      </c>
    </row>
    <row r="126" spans="1:6" x14ac:dyDescent="0.25">
      <c r="A126" vm="432">
        <f ca="1"/>
        <v>45841</v>
      </c>
      <c r="B126" vm="1439">
        <f ca="1"/>
        <v>2.09</v>
      </c>
      <c r="C126" vm="1745">
        <f ca="1"/>
        <v>2.0499999999999998</v>
      </c>
      <c r="D126" vm="1510">
        <f ca="1"/>
        <v>2.12</v>
      </c>
      <c r="E126" vm="1560">
        <f ca="1"/>
        <v>2.0099999999999998</v>
      </c>
      <c r="F126" vm="2901">
        <f ca="1"/>
        <v>3367697</v>
      </c>
    </row>
    <row r="127" spans="1:6" x14ac:dyDescent="0.25">
      <c r="A127" vm="434">
        <f ca="1"/>
        <v>45845</v>
      </c>
      <c r="B127" vm="1995">
        <f ca="1"/>
        <v>2.08</v>
      </c>
      <c r="C127" vm="1995">
        <f ca="1"/>
        <v>2.08</v>
      </c>
      <c r="D127" vm="2054">
        <f ca="1"/>
        <v>2.15</v>
      </c>
      <c r="E127" vm="2902">
        <f ca="1"/>
        <v>2.0350000000000001</v>
      </c>
      <c r="F127" vm="2903">
        <f ca="1"/>
        <v>6145020</v>
      </c>
    </row>
    <row r="128" spans="1:6" x14ac:dyDescent="0.25">
      <c r="A128" vm="437">
        <f ca="1"/>
        <v>45846</v>
      </c>
      <c r="B128" vm="1745">
        <f ca="1"/>
        <v>2.0499999999999998</v>
      </c>
      <c r="C128" vm="1439">
        <f ca="1"/>
        <v>2.09</v>
      </c>
      <c r="D128" vm="1580">
        <f ca="1"/>
        <v>2.14</v>
      </c>
      <c r="E128" vm="2904">
        <f ca="1"/>
        <v>2.0326</v>
      </c>
      <c r="F128" vm="2905">
        <f ca="1"/>
        <v>4765498</v>
      </c>
    </row>
    <row r="129" spans="1:6" x14ac:dyDescent="0.25">
      <c r="A129" vm="441">
        <f ca="1"/>
        <v>45847</v>
      </c>
      <c r="B129" vm="1562">
        <f ca="1"/>
        <v>2.37</v>
      </c>
      <c r="C129" vm="1580">
        <f ca="1"/>
        <v>2.14</v>
      </c>
      <c r="D129" vm="2749">
        <f ca="1"/>
        <v>2.4300000000000002</v>
      </c>
      <c r="E129" vm="1580">
        <f ca="1"/>
        <v>2.14</v>
      </c>
      <c r="F129" vm="2906">
        <f ca="1"/>
        <v>13951957</v>
      </c>
    </row>
    <row r="130" spans="1:6" x14ac:dyDescent="0.25">
      <c r="A130" vm="444">
        <f ca="1"/>
        <v>45848</v>
      </c>
      <c r="B130" vm="1746">
        <f ca="1"/>
        <v>2.31</v>
      </c>
      <c r="C130" vm="2752">
        <f ca="1"/>
        <v>2.38</v>
      </c>
      <c r="D130" vm="1551">
        <f ca="1"/>
        <v>2.4</v>
      </c>
      <c r="E130" vm="1518">
        <f ca="1"/>
        <v>2.25</v>
      </c>
      <c r="F130" vm="2907">
        <f ca="1"/>
        <v>8144677</v>
      </c>
    </row>
    <row r="131" spans="1:6" x14ac:dyDescent="0.25">
      <c r="A131" vm="446">
        <f ca="1"/>
        <v>45849</v>
      </c>
      <c r="B131" vm="1516">
        <f ca="1"/>
        <v>2.2000000000000002</v>
      </c>
      <c r="C131" vm="1145">
        <f ca="1"/>
        <v>2.2799999999999998</v>
      </c>
      <c r="D131" vm="1746">
        <f ca="1"/>
        <v>2.31</v>
      </c>
      <c r="E131" vm="2040">
        <f ca="1"/>
        <v>2.17</v>
      </c>
      <c r="F131" vm="2908">
        <f ca="1"/>
        <v>3355396</v>
      </c>
    </row>
    <row r="132" spans="1:6" x14ac:dyDescent="0.25">
      <c r="A132" vm="449">
        <f ca="1"/>
        <v>45852</v>
      </c>
      <c r="B132" vm="1580">
        <f ca="1"/>
        <v>2.14</v>
      </c>
      <c r="C132" vm="1556">
        <f ca="1"/>
        <v>2.21</v>
      </c>
      <c r="D132" vm="2000">
        <f ca="1"/>
        <v>2.2349999999999999</v>
      </c>
      <c r="E132" vm="1751">
        <f ca="1"/>
        <v>2.06</v>
      </c>
      <c r="F132" vm="2909">
        <f ca="1"/>
        <v>4562981</v>
      </c>
    </row>
    <row r="133" spans="1:6" x14ac:dyDescent="0.25">
      <c r="A133" vm="452">
        <f ca="1"/>
        <v>45853</v>
      </c>
      <c r="B133" vm="1513">
        <f ca="1"/>
        <v>2.13</v>
      </c>
      <c r="C133" vm="1580">
        <f ca="1"/>
        <v>2.14</v>
      </c>
      <c r="D133" vm="1453">
        <f ca="1"/>
        <v>2.23</v>
      </c>
      <c r="E133" vm="1995">
        <f ca="1"/>
        <v>2.08</v>
      </c>
      <c r="F133" vm="2910">
        <f ca="1"/>
        <v>5426616</v>
      </c>
    </row>
    <row r="134" spans="1:6" x14ac:dyDescent="0.25">
      <c r="A134" vm="454">
        <f ca="1"/>
        <v>45854</v>
      </c>
      <c r="B134" vm="1453">
        <f ca="1"/>
        <v>2.23</v>
      </c>
      <c r="C134" vm="2040">
        <f ca="1"/>
        <v>2.17</v>
      </c>
      <c r="D134" vm="1508">
        <f ca="1"/>
        <v>2.29</v>
      </c>
      <c r="E134" vm="2054">
        <f ca="1"/>
        <v>2.15</v>
      </c>
      <c r="F134" vm="2911">
        <f ca="1"/>
        <v>4218619</v>
      </c>
    </row>
    <row r="135" spans="1:6" x14ac:dyDescent="0.25">
      <c r="A135" vm="457">
        <f ca="1"/>
        <v>45855</v>
      </c>
      <c r="B135" vm="1438">
        <f ca="1"/>
        <v>2.2400000000000002</v>
      </c>
      <c r="C135" vm="1453">
        <f ca="1"/>
        <v>2.23</v>
      </c>
      <c r="D135" vm="2765">
        <f ca="1"/>
        <v>2.3250000000000002</v>
      </c>
      <c r="E135" vm="1516">
        <f ca="1"/>
        <v>2.2000000000000002</v>
      </c>
      <c r="F135" vm="2912">
        <f ca="1"/>
        <v>3247099</v>
      </c>
    </row>
    <row r="136" spans="1:6" x14ac:dyDescent="0.25">
      <c r="A136" vm="460">
        <f ca="1"/>
        <v>45856</v>
      </c>
      <c r="B136" vm="1564">
        <f ca="1"/>
        <v>2.2999999999999998</v>
      </c>
      <c r="C136" vm="1145">
        <f ca="1"/>
        <v>2.2799999999999998</v>
      </c>
      <c r="D136" vm="1551">
        <f ca="1"/>
        <v>2.4</v>
      </c>
      <c r="E136" vm="1438">
        <f ca="1"/>
        <v>2.2400000000000002</v>
      </c>
      <c r="F136" vm="2913">
        <f ca="1"/>
        <v>4927534</v>
      </c>
    </row>
    <row r="137" spans="1:6" x14ac:dyDescent="0.25">
      <c r="A137" vm="462">
        <f ca="1"/>
        <v>45859</v>
      </c>
      <c r="B137" vm="1747">
        <f ca="1"/>
        <v>2.35</v>
      </c>
      <c r="C137" vm="1562">
        <f ca="1"/>
        <v>2.37</v>
      </c>
      <c r="D137" vm="1144">
        <f ca="1"/>
        <v>2.48</v>
      </c>
      <c r="E137" vm="2772">
        <f ca="1"/>
        <v>2.3199999999999998</v>
      </c>
      <c r="F137" vm="2914">
        <f ca="1"/>
        <v>4498970</v>
      </c>
    </row>
    <row r="138" spans="1:6" x14ac:dyDescent="0.25">
      <c r="A138" vm="466">
        <f ca="1"/>
        <v>45860</v>
      </c>
      <c r="B138" vm="1747">
        <f ca="1"/>
        <v>2.35</v>
      </c>
      <c r="C138" vm="1747">
        <f ca="1"/>
        <v>2.35</v>
      </c>
      <c r="D138" vm="2915">
        <f ca="1"/>
        <v>2.4087999999999998</v>
      </c>
      <c r="E138" vm="2772">
        <f ca="1"/>
        <v>2.3199999999999998</v>
      </c>
      <c r="F138" vm="2916">
        <f ca="1"/>
        <v>3595159</v>
      </c>
    </row>
    <row r="139" spans="1:6" x14ac:dyDescent="0.25">
      <c r="A139" vm="469">
        <f ca="1"/>
        <v>45861</v>
      </c>
      <c r="B139" vm="2917">
        <f ca="1"/>
        <v>2.56</v>
      </c>
      <c r="C139" vm="1551">
        <f ca="1"/>
        <v>2.4</v>
      </c>
      <c r="D139" vm="2734">
        <f ca="1"/>
        <v>2.57</v>
      </c>
      <c r="E139" vm="2918">
        <f ca="1"/>
        <v>2.3616999999999999</v>
      </c>
      <c r="F139" vm="2919">
        <f ca="1"/>
        <v>7131024</v>
      </c>
    </row>
    <row r="140" spans="1:6" x14ac:dyDescent="0.25">
      <c r="A140" vm="473">
        <f ca="1"/>
        <v>45862</v>
      </c>
      <c r="B140" vm="1148">
        <f ca="1"/>
        <v>2.5099999999999998</v>
      </c>
      <c r="C140" vm="2876">
        <f ca="1"/>
        <v>2.5299999999999998</v>
      </c>
      <c r="D140" vm="2920">
        <f ca="1"/>
        <v>2.62</v>
      </c>
      <c r="E140" vm="1151">
        <f ca="1"/>
        <v>2.4700000000000002</v>
      </c>
      <c r="F140" vm="2921">
        <f ca="1"/>
        <v>3904235</v>
      </c>
    </row>
    <row r="141" spans="1:6" x14ac:dyDescent="0.25">
      <c r="A141" vm="477">
        <f ca="1"/>
        <v>45863</v>
      </c>
      <c r="B141" vm="2727">
        <f ca="1"/>
        <v>2.5</v>
      </c>
      <c r="C141" vm="2727">
        <f ca="1"/>
        <v>2.5</v>
      </c>
      <c r="D141" vm="2734">
        <f ca="1"/>
        <v>2.57</v>
      </c>
      <c r="E141" vm="1444">
        <f ca="1"/>
        <v>2.46</v>
      </c>
      <c r="F141" vm="2922">
        <f ca="1"/>
        <v>3720616</v>
      </c>
    </row>
    <row r="142" spans="1:6" x14ac:dyDescent="0.25">
      <c r="A142" vm="481">
        <f ca="1"/>
        <v>45866</v>
      </c>
      <c r="B142" vm="1141">
        <f ca="1"/>
        <v>2.5499999999999998</v>
      </c>
      <c r="C142" vm="2741">
        <f ca="1"/>
        <v>2.52</v>
      </c>
      <c r="D142" vm="1143">
        <f ca="1"/>
        <v>2.76</v>
      </c>
      <c r="E142" vm="2923">
        <f ca="1"/>
        <v>2.5150000000000001</v>
      </c>
      <c r="F142" vm="2924">
        <f ca="1"/>
        <v>5888658</v>
      </c>
    </row>
    <row r="143" spans="1:6" x14ac:dyDescent="0.25">
      <c r="A143" vm="483">
        <f ca="1"/>
        <v>45867</v>
      </c>
      <c r="B143" vm="1444">
        <f ca="1"/>
        <v>2.46</v>
      </c>
      <c r="C143" vm="1141">
        <f ca="1"/>
        <v>2.5499999999999998</v>
      </c>
      <c r="D143" vm="1142">
        <f ca="1"/>
        <v>2.58</v>
      </c>
      <c r="E143" vm="2925">
        <f ca="1"/>
        <v>2.4249999999999998</v>
      </c>
      <c r="F143" vm="2926">
        <f ca="1"/>
        <v>4492675</v>
      </c>
    </row>
    <row r="144" spans="1:6" x14ac:dyDescent="0.25">
      <c r="A144" vm="486">
        <f ca="1"/>
        <v>45868</v>
      </c>
      <c r="B144" vm="2744">
        <f ca="1"/>
        <v>2.41</v>
      </c>
      <c r="C144" vm="1151">
        <f ca="1"/>
        <v>2.4700000000000002</v>
      </c>
      <c r="D144" vm="2927">
        <f ca="1"/>
        <v>2.5550000000000002</v>
      </c>
      <c r="E144" vm="1747">
        <f ca="1"/>
        <v>2.35</v>
      </c>
      <c r="F144" vm="2928">
        <f ca="1"/>
        <v>3312312</v>
      </c>
    </row>
    <row r="145" spans="1:6" x14ac:dyDescent="0.25">
      <c r="A145" vm="489">
        <f ca="1"/>
        <v>45869</v>
      </c>
      <c r="B145" vm="2063">
        <f ca="1"/>
        <v>2.36</v>
      </c>
      <c r="C145" vm="2873">
        <f ca="1"/>
        <v>2.34</v>
      </c>
      <c r="D145" vm="2880">
        <f ca="1"/>
        <v>2.4550000000000001</v>
      </c>
      <c r="E145" vm="1750">
        <f ca="1"/>
        <v>2.33</v>
      </c>
      <c r="F145" vm="2929">
        <f ca="1"/>
        <v>2614144</v>
      </c>
    </row>
    <row r="146" spans="1:6" x14ac:dyDescent="0.25">
      <c r="A146" vm="490">
        <f ca="1"/>
        <v>45870</v>
      </c>
      <c r="B146" vm="1453">
        <f ca="1"/>
        <v>2.23</v>
      </c>
      <c r="C146" vm="1145">
        <f ca="1"/>
        <v>2.2799999999999998</v>
      </c>
      <c r="D146" vm="2772">
        <f ca="1"/>
        <v>2.3199999999999998</v>
      </c>
      <c r="E146" vm="1752">
        <f ca="1"/>
        <v>2.2200000000000002</v>
      </c>
      <c r="F146" vm="2930">
        <f ca="1"/>
        <v>3602077</v>
      </c>
    </row>
    <row r="147" spans="1:6" x14ac:dyDescent="0.25">
      <c r="A147" vm="491">
        <f ca="1"/>
        <v>45873</v>
      </c>
      <c r="B147" vm="1746">
        <f ca="1"/>
        <v>2.31</v>
      </c>
      <c r="C147" vm="1438">
        <f ca="1"/>
        <v>2.2400000000000002</v>
      </c>
      <c r="D147" vm="1746">
        <f ca="1"/>
        <v>2.31</v>
      </c>
      <c r="E147" vm="1752">
        <f ca="1"/>
        <v>2.2200000000000002</v>
      </c>
      <c r="F147" vm="2931">
        <f ca="1"/>
        <v>3047565</v>
      </c>
    </row>
    <row r="148" spans="1:6" x14ac:dyDescent="0.25">
      <c r="A148" vm="492">
        <f ca="1"/>
        <v>45874</v>
      </c>
      <c r="B148" vm="1562">
        <f ca="1"/>
        <v>2.37</v>
      </c>
      <c r="C148" vm="1750">
        <f ca="1"/>
        <v>2.33</v>
      </c>
      <c r="D148" vm="2744">
        <f ca="1"/>
        <v>2.41</v>
      </c>
      <c r="E148" vm="1147">
        <f ca="1"/>
        <v>2.2599999999999998</v>
      </c>
      <c r="F148" vm="2932">
        <f ca="1"/>
        <v>2433179</v>
      </c>
    </row>
    <row r="149" spans="1:6" x14ac:dyDescent="0.25">
      <c r="A149" vm="495">
        <f ca="1"/>
        <v>45875</v>
      </c>
      <c r="B149" vm="1747">
        <f ca="1"/>
        <v>2.35</v>
      </c>
      <c r="C149" vm="2752">
        <f ca="1"/>
        <v>2.38</v>
      </c>
      <c r="D149" vm="2752">
        <f ca="1"/>
        <v>2.38</v>
      </c>
      <c r="E149" vm="1518">
        <f ca="1"/>
        <v>2.25</v>
      </c>
      <c r="F149" vm="2933">
        <f ca="1"/>
        <v>4649310</v>
      </c>
    </row>
    <row r="150" spans="1:6" x14ac:dyDescent="0.25">
      <c r="A150" vm="499">
        <f ca="1"/>
        <v>45876</v>
      </c>
      <c r="B150" vm="2873">
        <f ca="1"/>
        <v>2.34</v>
      </c>
      <c r="C150" vm="1750">
        <f ca="1"/>
        <v>2.33</v>
      </c>
      <c r="D150" vm="2727">
        <f ca="1"/>
        <v>2.5</v>
      </c>
      <c r="E150" vm="1554">
        <f ca="1"/>
        <v>2.19</v>
      </c>
      <c r="F150" vm="2934">
        <f ca="1"/>
        <v>4844229</v>
      </c>
    </row>
    <row r="151" spans="1:6" x14ac:dyDescent="0.25">
      <c r="A151" vm="501">
        <f ca="1"/>
        <v>45877</v>
      </c>
      <c r="B151" vm="1564">
        <f ca="1"/>
        <v>2.2999999999999998</v>
      </c>
      <c r="C151" vm="2748">
        <f ca="1"/>
        <v>2.42</v>
      </c>
      <c r="D151" vm="2935">
        <f ca="1"/>
        <v>2.5499000000000001</v>
      </c>
      <c r="E151" vm="1508">
        <f ca="1"/>
        <v>2.29</v>
      </c>
      <c r="F151" vm="2936">
        <f ca="1"/>
        <v>4788519</v>
      </c>
    </row>
    <row r="152" spans="1:6" x14ac:dyDescent="0.25">
      <c r="A152" vm="504">
        <f ca="1"/>
        <v>45880</v>
      </c>
      <c r="B152" vm="1438">
        <f ca="1"/>
        <v>2.2400000000000002</v>
      </c>
      <c r="C152" vm="1564">
        <f ca="1"/>
        <v>2.2999999999999998</v>
      </c>
      <c r="D152" vm="1750">
        <f ca="1"/>
        <v>2.33</v>
      </c>
      <c r="E152" vm="1749">
        <f ca="1"/>
        <v>2.1800000000000002</v>
      </c>
      <c r="F152" vm="2937">
        <f ca="1"/>
        <v>3719606</v>
      </c>
    </row>
    <row r="153" spans="1:6" x14ac:dyDescent="0.25">
      <c r="A153" vm="505">
        <f ca="1"/>
        <v>45881</v>
      </c>
      <c r="B153" vm="2772">
        <f ca="1"/>
        <v>2.3199999999999998</v>
      </c>
      <c r="C153" vm="1518">
        <f ca="1"/>
        <v>2.25</v>
      </c>
      <c r="D153" vm="1750">
        <f ca="1"/>
        <v>2.33</v>
      </c>
      <c r="E153" vm="1556">
        <f ca="1"/>
        <v>2.21</v>
      </c>
      <c r="F153" vm="2938">
        <f ca="1"/>
        <v>4278080</v>
      </c>
    </row>
    <row r="154" spans="1:6" x14ac:dyDescent="0.25">
      <c r="A154" vm="507">
        <f ca="1"/>
        <v>45882</v>
      </c>
      <c r="B154" vm="1139">
        <f ca="1"/>
        <v>2.61</v>
      </c>
      <c r="C154" vm="1747">
        <f ca="1"/>
        <v>2.35</v>
      </c>
      <c r="D154" vm="2939">
        <f ca="1"/>
        <v>2.71</v>
      </c>
      <c r="E154" vm="2768">
        <f ca="1"/>
        <v>2.335</v>
      </c>
      <c r="F154" vm="2940">
        <f ca="1"/>
        <v>11112859</v>
      </c>
    </row>
    <row r="155" spans="1:6" x14ac:dyDescent="0.25">
      <c r="A155" vm="509">
        <f ca="1"/>
        <v>45883</v>
      </c>
      <c r="B155" vm="1143">
        <f ca="1"/>
        <v>2.76</v>
      </c>
      <c r="C155" vm="2714">
        <f ca="1"/>
        <v>2.68</v>
      </c>
      <c r="D155" vm="2729">
        <f ca="1"/>
        <v>2.7650000000000001</v>
      </c>
      <c r="E155" vm="2713">
        <f ca="1"/>
        <v>2.59</v>
      </c>
      <c r="F155" vm="2941">
        <f ca="1"/>
        <v>6391390</v>
      </c>
    </row>
    <row r="156" spans="1:6" x14ac:dyDescent="0.25">
      <c r="A156" vm="510">
        <f ca="1"/>
        <v>45884</v>
      </c>
      <c r="B156" vm="1155">
        <f ca="1"/>
        <v>2.75</v>
      </c>
      <c r="C156" vm="2738">
        <f ca="1"/>
        <v>2.77</v>
      </c>
      <c r="D156" vm="2942">
        <f ca="1"/>
        <v>2.8650000000000002</v>
      </c>
      <c r="E156" vm="2060">
        <f ca="1"/>
        <v>2.72</v>
      </c>
      <c r="F156" vm="2943">
        <f ca="1"/>
        <v>4463671</v>
      </c>
    </row>
    <row r="157" spans="1:6" x14ac:dyDescent="0.25">
      <c r="A157" vm="514">
        <f ca="1"/>
        <v>45887</v>
      </c>
      <c r="B157" vm="1153">
        <f ca="1"/>
        <v>2.9</v>
      </c>
      <c r="C157" vm="1143">
        <f ca="1"/>
        <v>2.76</v>
      </c>
      <c r="D157" vm="1110">
        <f ca="1"/>
        <v>2.92</v>
      </c>
      <c r="E157" vm="2060">
        <f ca="1"/>
        <v>2.72</v>
      </c>
      <c r="F157" vm="2944">
        <f ca="1"/>
        <v>5097301</v>
      </c>
    </row>
    <row r="158" spans="1:6" x14ac:dyDescent="0.25">
      <c r="A158" vm="517">
        <f ca="1"/>
        <v>45888</v>
      </c>
      <c r="B158" vm="1548">
        <f ca="1"/>
        <v>2.69</v>
      </c>
      <c r="C158" vm="1153">
        <f ca="1"/>
        <v>2.9</v>
      </c>
      <c r="D158" vm="1110">
        <f ca="1"/>
        <v>2.92</v>
      </c>
      <c r="E158" vm="2945">
        <f ca="1"/>
        <v>2.6749999999999998</v>
      </c>
      <c r="F158" vm="2946">
        <f ca="1"/>
        <v>4699183</v>
      </c>
    </row>
    <row r="159" spans="1:6" x14ac:dyDescent="0.25">
      <c r="A159" vm="520">
        <f ca="1"/>
        <v>45889</v>
      </c>
      <c r="B159" vm="2939">
        <f ca="1"/>
        <v>2.71</v>
      </c>
      <c r="C159" vm="2714">
        <f ca="1"/>
        <v>2.68</v>
      </c>
      <c r="D159" vm="1552">
        <f ca="1"/>
        <v>2.73</v>
      </c>
      <c r="E159" vm="2734">
        <f ca="1"/>
        <v>2.57</v>
      </c>
      <c r="F159" vm="2947">
        <f ca="1"/>
        <v>4499672</v>
      </c>
    </row>
    <row r="160" spans="1:6" x14ac:dyDescent="0.25">
      <c r="A160" vm="522">
        <f ca="1"/>
        <v>45890</v>
      </c>
      <c r="B160" vm="2948">
        <f ca="1"/>
        <v>2.74</v>
      </c>
      <c r="C160" vm="1548">
        <f ca="1"/>
        <v>2.69</v>
      </c>
      <c r="D160" vm="1135">
        <f ca="1"/>
        <v>2.85</v>
      </c>
      <c r="E160" vm="2714">
        <f ca="1"/>
        <v>2.68</v>
      </c>
      <c r="F160" vm="2949">
        <f ca="1"/>
        <v>3417339</v>
      </c>
    </row>
    <row r="161" spans="1:6" x14ac:dyDescent="0.25">
      <c r="A161" vm="524">
        <f ca="1"/>
        <v>45891</v>
      </c>
      <c r="B161" vm="1153">
        <f ca="1"/>
        <v>2.9</v>
      </c>
      <c r="C161" vm="2738">
        <f ca="1"/>
        <v>2.77</v>
      </c>
      <c r="D161" vm="1086">
        <f ca="1"/>
        <v>2.98</v>
      </c>
      <c r="E161" vm="2950">
        <f ca="1"/>
        <v>2.7549999999999999</v>
      </c>
      <c r="F161" vm="2951">
        <f ca="1"/>
        <v>7596488</v>
      </c>
    </row>
    <row r="162" spans="1:6" x14ac:dyDescent="0.25">
      <c r="A162" vm="527">
        <f ca="1"/>
        <v>45894</v>
      </c>
      <c r="B162" vm="1108">
        <f ca="1"/>
        <v>2.88</v>
      </c>
      <c r="C162" vm="1115">
        <f ca="1"/>
        <v>2.91</v>
      </c>
      <c r="D162" vm="1086">
        <f ca="1"/>
        <v>2.98</v>
      </c>
      <c r="E162" vm="2952">
        <f ca="1"/>
        <v>2.835</v>
      </c>
      <c r="F162" vm="2953">
        <f ca="1"/>
        <v>3561877</v>
      </c>
    </row>
    <row r="163" spans="1:6" x14ac:dyDescent="0.25">
      <c r="A163" vm="529">
        <f ca="1"/>
        <v>45895</v>
      </c>
      <c r="B163" vm="1086">
        <f ca="1"/>
        <v>2.98</v>
      </c>
      <c r="C163" vm="1108">
        <f ca="1"/>
        <v>2.88</v>
      </c>
      <c r="D163" vm="2954">
        <f ca="1"/>
        <v>3.0289000000000001</v>
      </c>
      <c r="E163" vm="2085">
        <f ca="1"/>
        <v>2.86</v>
      </c>
      <c r="F163" vm="2955">
        <f ca="1"/>
        <v>4634883</v>
      </c>
    </row>
    <row r="164" spans="1:6" x14ac:dyDescent="0.25">
      <c r="A164" vm="531">
        <f ca="1"/>
        <v>45896</v>
      </c>
      <c r="B164" vm="1114">
        <f ca="1"/>
        <v>2.95</v>
      </c>
      <c r="C164" vm="1106">
        <f ca="1"/>
        <v>2.99</v>
      </c>
      <c r="D164" vm="2956">
        <f ca="1"/>
        <v>3.0497000000000001</v>
      </c>
      <c r="E164" vm="1153">
        <f ca="1"/>
        <v>2.9</v>
      </c>
      <c r="F164" vm="2957">
        <f ca="1"/>
        <v>4787177</v>
      </c>
    </row>
    <row r="165" spans="1:6" x14ac:dyDescent="0.25">
      <c r="A165" vm="534">
        <f ca="1"/>
        <v>45897</v>
      </c>
      <c r="B165" vm="1110">
        <f ca="1"/>
        <v>2.92</v>
      </c>
      <c r="C165" vm="1086">
        <f ca="1"/>
        <v>2.98</v>
      </c>
      <c r="D165" vm="2958">
        <f ca="1"/>
        <v>3.0773999999999999</v>
      </c>
      <c r="E165" vm="1157">
        <f ca="1"/>
        <v>2.89</v>
      </c>
      <c r="F165" vm="2959">
        <f ca="1"/>
        <v>4018786</v>
      </c>
    </row>
    <row r="166" spans="1:6" x14ac:dyDescent="0.25">
      <c r="A166" vm="536">
        <f ca="1"/>
        <v>45898</v>
      </c>
      <c r="B166" vm="1109">
        <f ca="1"/>
        <v>2.97</v>
      </c>
      <c r="C166" vm="1113">
        <f ca="1"/>
        <v>2.94</v>
      </c>
      <c r="D166" vm="1106">
        <f ca="1"/>
        <v>2.99</v>
      </c>
      <c r="E166" vm="2960">
        <f ca="1"/>
        <v>2.871</v>
      </c>
      <c r="F166" vm="2961">
        <f ca="1"/>
        <v>2392671</v>
      </c>
    </row>
    <row r="167" spans="1:6" x14ac:dyDescent="0.25">
      <c r="A167" vm="538">
        <f ca="1"/>
        <v>45902</v>
      </c>
      <c r="B167" vm="1114">
        <f ca="1"/>
        <v>2.95</v>
      </c>
      <c r="C167" vm="1114">
        <f ca="1"/>
        <v>2.95</v>
      </c>
      <c r="D167" vm="2962">
        <f ca="1"/>
        <v>3.0249999999999999</v>
      </c>
      <c r="E167" vm="1115">
        <f ca="1"/>
        <v>2.91</v>
      </c>
      <c r="F167" vm="2963">
        <f ca="1"/>
        <v>3086365</v>
      </c>
    </row>
    <row r="168" spans="1:6" x14ac:dyDescent="0.25">
      <c r="A168" vm="541">
        <f ca="1"/>
        <v>45903</v>
      </c>
      <c r="B168" vm="1077">
        <f ca="1"/>
        <v>3.15</v>
      </c>
      <c r="C168" vm="1082">
        <f ca="1"/>
        <v>3.01</v>
      </c>
      <c r="D168" vm="1066">
        <f ca="1"/>
        <v>3.19</v>
      </c>
      <c r="E168" vm="1080">
        <f ca="1"/>
        <v>3</v>
      </c>
      <c r="F168" vm="2964">
        <f ca="1"/>
        <v>6487956</v>
      </c>
    </row>
    <row r="169" spans="1:6" x14ac:dyDescent="0.25">
      <c r="A169" vm="543">
        <f ca="1"/>
        <v>45904</v>
      </c>
      <c r="B169" vm="1128">
        <f ca="1"/>
        <v>3.42</v>
      </c>
      <c r="C169" vm="2965">
        <f ca="1"/>
        <v>3.21</v>
      </c>
      <c r="D169" vm="1195">
        <f ca="1"/>
        <v>3.48</v>
      </c>
      <c r="E169" vm="1077">
        <f ca="1"/>
        <v>3.15</v>
      </c>
      <c r="F169" vm="2966">
        <f ca="1"/>
        <v>12006074</v>
      </c>
    </row>
    <row r="170" spans="1:6" x14ac:dyDescent="0.25">
      <c r="A170" vm="545">
        <f ca="1"/>
        <v>45905</v>
      </c>
      <c r="B170" vm="1243">
        <f ca="1"/>
        <v>3.9</v>
      </c>
      <c r="C170" vm="1195">
        <f ca="1"/>
        <v>3.48</v>
      </c>
      <c r="D170" vm="2967">
        <f ca="1"/>
        <v>4.0899000000000001</v>
      </c>
      <c r="E170" vm="1061">
        <f ca="1"/>
        <v>3.47</v>
      </c>
      <c r="F170" vm="2968">
        <f ca="1"/>
        <v>22005971</v>
      </c>
    </row>
    <row r="171" spans="1:6" x14ac:dyDescent="0.25">
      <c r="A171" vm="546">
        <f ca="1"/>
        <v>45908</v>
      </c>
      <c r="B171" vm="1216">
        <f ca="1"/>
        <v>3.49</v>
      </c>
      <c r="C171" vm="2969">
        <f ca="1"/>
        <v>3.82</v>
      </c>
      <c r="D171" vm="2970">
        <f ca="1"/>
        <v>3.83</v>
      </c>
      <c r="E171" vm="1076">
        <f ca="1"/>
        <v>3.2</v>
      </c>
      <c r="F171" vm="2971">
        <f ca="1"/>
        <v>14581768</v>
      </c>
    </row>
    <row r="172" spans="1:6" x14ac:dyDescent="0.25">
      <c r="A172" vm="548">
        <f ca="1"/>
        <v>45909</v>
      </c>
      <c r="B172" vm="1073">
        <f ca="1"/>
        <v>3.35</v>
      </c>
      <c r="C172" vm="1118">
        <f ca="1"/>
        <v>3.57</v>
      </c>
      <c r="D172" vm="1209">
        <f ca="1"/>
        <v>3.58</v>
      </c>
      <c r="E172" vm="2972">
        <f ca="1"/>
        <v>3.2549999999999999</v>
      </c>
      <c r="F172" vm="2973">
        <f ca="1"/>
        <v>6005601</v>
      </c>
    </row>
    <row r="173" spans="1:6" x14ac:dyDescent="0.25">
      <c r="A173" vm="550">
        <f ca="1"/>
        <v>45910</v>
      </c>
      <c r="B173" vm="1058">
        <f ca="1"/>
        <v>3.32</v>
      </c>
      <c r="C173" vm="1117">
        <f ca="1"/>
        <v>3.38</v>
      </c>
      <c r="D173" vm="2974">
        <f ca="1"/>
        <v>3.4081999999999999</v>
      </c>
      <c r="E173" vm="1074">
        <f ca="1"/>
        <v>3.2650000000000001</v>
      </c>
      <c r="F173" vm="2975">
        <f ca="1"/>
        <v>4330459</v>
      </c>
    </row>
    <row r="174" spans="1:6" x14ac:dyDescent="0.25">
      <c r="A174" vm="551">
        <f ca="1"/>
        <v>45911</v>
      </c>
      <c r="B174" vm="1073">
        <f ca="1"/>
        <v>3.35</v>
      </c>
      <c r="C174" vm="1070">
        <f ca="1"/>
        <v>3.28</v>
      </c>
      <c r="D174" vm="1759">
        <f ca="1"/>
        <v>3.44</v>
      </c>
      <c r="E174" vm="1092">
        <f ca="1"/>
        <v>3.23</v>
      </c>
      <c r="F174" vm="2976">
        <f ca="1"/>
        <v>5602710</v>
      </c>
    </row>
    <row r="175" spans="1:6" x14ac:dyDescent="0.25">
      <c r="A175" vm="554">
        <f ca="1"/>
        <v>45912</v>
      </c>
      <c r="B175" vm="1098">
        <f ca="1"/>
        <v>3.14</v>
      </c>
      <c r="C175" vm="1051">
        <f ca="1"/>
        <v>3.34</v>
      </c>
      <c r="D175" vm="1073">
        <f ca="1"/>
        <v>3.35</v>
      </c>
      <c r="E175" vm="1087">
        <f ca="1"/>
        <v>3.08</v>
      </c>
      <c r="F175" vm="2977">
        <f ca="1"/>
        <v>7940624</v>
      </c>
    </row>
    <row r="176" spans="1:6" x14ac:dyDescent="0.25">
      <c r="A176" vm="555">
        <f ca="1"/>
        <v>45915</v>
      </c>
      <c r="B176" vm="1077">
        <f ca="1"/>
        <v>3.15</v>
      </c>
      <c r="C176" vm="1100">
        <f ca="1"/>
        <v>3.16</v>
      </c>
      <c r="D176" vm="2978">
        <f ca="1"/>
        <v>3.2044999999999999</v>
      </c>
      <c r="E176" vm="1087">
        <f ca="1"/>
        <v>3.08</v>
      </c>
      <c r="F176" vm="2979">
        <f ca="1"/>
        <v>7247027</v>
      </c>
    </row>
    <row r="177" spans="1:6" x14ac:dyDescent="0.25">
      <c r="A177" vm="556">
        <f ca="1"/>
        <v>45916</v>
      </c>
      <c r="B177" vm="1099">
        <f ca="1"/>
        <v>3.27</v>
      </c>
      <c r="C177" vm="1098">
        <f ca="1"/>
        <v>3.14</v>
      </c>
      <c r="D177" vm="1052">
        <f ca="1"/>
        <v>3.41</v>
      </c>
      <c r="E177" vm="1116">
        <f ca="1"/>
        <v>3.09</v>
      </c>
      <c r="F177" vm="2980">
        <f ca="1"/>
        <v>6346237</v>
      </c>
    </row>
    <row r="178" spans="1:6" x14ac:dyDescent="0.25">
      <c r="A178" vm="559">
        <f ca="1"/>
        <v>45917</v>
      </c>
      <c r="B178" vm="1063">
        <f ca="1"/>
        <v>3.26</v>
      </c>
      <c r="C178" vm="1072">
        <f ca="1"/>
        <v>3.25</v>
      </c>
      <c r="D178" vm="1059">
        <f ca="1"/>
        <v>3.4</v>
      </c>
      <c r="E178" vm="2981">
        <f ca="1"/>
        <v>3.2149999999999999</v>
      </c>
      <c r="F178" vm="2982">
        <f ca="1"/>
        <v>4954239</v>
      </c>
    </row>
    <row r="179" spans="1:6" x14ac:dyDescent="0.25">
      <c r="A179" vm="560">
        <f ca="1"/>
        <v>45918</v>
      </c>
      <c r="B179" vm="1096">
        <f ca="1"/>
        <v>3.17</v>
      </c>
      <c r="C179" vm="1058">
        <f ca="1"/>
        <v>3.32</v>
      </c>
      <c r="D179" vm="1194">
        <f ca="1"/>
        <v>3.46</v>
      </c>
      <c r="E179" vm="2983">
        <f ca="1"/>
        <v>3.145</v>
      </c>
      <c r="F179" vm="2984">
        <f ca="1"/>
        <v>7609979</v>
      </c>
    </row>
    <row r="180" spans="1:6" x14ac:dyDescent="0.25">
      <c r="A180" vm="561">
        <f ca="1"/>
        <v>45919</v>
      </c>
      <c r="B180" vm="1075">
        <f ca="1"/>
        <v>3.22</v>
      </c>
      <c r="C180" vm="1075">
        <f ca="1"/>
        <v>3.22</v>
      </c>
      <c r="D180" vm="1056">
        <f ca="1"/>
        <v>3.29</v>
      </c>
      <c r="E180" vm="1077">
        <f ca="1"/>
        <v>3.15</v>
      </c>
      <c r="F180" vm="2985">
        <f ca="1"/>
        <v>7670732</v>
      </c>
    </row>
    <row r="181" spans="1:6" x14ac:dyDescent="0.25">
      <c r="A181" vm="562">
        <f ca="1"/>
        <v>45922</v>
      </c>
      <c r="B181" vm="1099">
        <f ca="1"/>
        <v>3.27</v>
      </c>
      <c r="C181" vm="1092">
        <f ca="1"/>
        <v>3.23</v>
      </c>
      <c r="D181" vm="1056">
        <f ca="1"/>
        <v>3.29</v>
      </c>
      <c r="E181" vm="1077">
        <f ca="1"/>
        <v>3.15</v>
      </c>
      <c r="F181" vm="2986">
        <f ca="1"/>
        <v>4334451</v>
      </c>
    </row>
    <row r="182" spans="1:6" x14ac:dyDescent="0.25">
      <c r="A182" vm="563">
        <f ca="1"/>
        <v>45923</v>
      </c>
      <c r="B182" vm="1075">
        <f ca="1"/>
        <v>3.22</v>
      </c>
      <c r="C182" vm="1063">
        <f ca="1"/>
        <v>3.26</v>
      </c>
      <c r="D182" vm="1055">
        <f ca="1"/>
        <v>3.3</v>
      </c>
      <c r="E182" vm="1096">
        <f ca="1"/>
        <v>3.17</v>
      </c>
      <c r="F182" vm="2987">
        <f ca="1"/>
        <v>3607482</v>
      </c>
    </row>
    <row r="183" spans="1:6" x14ac:dyDescent="0.25">
      <c r="A183" vm="564">
        <f ca="1"/>
        <v>45924</v>
      </c>
      <c r="B183" vm="1065">
        <f ca="1"/>
        <v>3.24</v>
      </c>
      <c r="C183" vm="1072">
        <f ca="1"/>
        <v>3.25</v>
      </c>
      <c r="D183" vm="1757">
        <f ca="1"/>
        <v>3.395</v>
      </c>
      <c r="E183" vm="1103">
        <f ca="1"/>
        <v>3.18</v>
      </c>
      <c r="F183" vm="2988">
        <f ca="1"/>
        <v>4777010</v>
      </c>
    </row>
    <row r="184" spans="1:6" x14ac:dyDescent="0.25">
      <c r="A184" vm="566">
        <f ca="1"/>
        <v>45925</v>
      </c>
      <c r="B184" vm="1082">
        <f ca="1"/>
        <v>3.01</v>
      </c>
      <c r="C184" vm="1096">
        <f ca="1"/>
        <v>3.17</v>
      </c>
      <c r="D184" vm="2965">
        <f ca="1"/>
        <v>3.21</v>
      </c>
      <c r="E184" vm="1106">
        <f ca="1"/>
        <v>2.99</v>
      </c>
      <c r="F184" vm="2989">
        <f ca="1"/>
        <v>7079022</v>
      </c>
    </row>
    <row r="185" spans="1:6" x14ac:dyDescent="0.25">
      <c r="A185" vm="568">
        <f ca="1"/>
        <v>45926</v>
      </c>
      <c r="B185" vm="1076">
        <f ca="1"/>
        <v>3.2</v>
      </c>
      <c r="C185" vm="1105">
        <f ca="1"/>
        <v>3.04</v>
      </c>
      <c r="D185" vm="2990">
        <f ca="1"/>
        <v>3.2565</v>
      </c>
      <c r="E185" vm="2991">
        <f ca="1"/>
        <v>2.9950000000000001</v>
      </c>
      <c r="F185" vm="2992">
        <f ca="1"/>
        <v>4713618</v>
      </c>
    </row>
    <row r="186" spans="1:6" x14ac:dyDescent="0.25">
      <c r="A186" vm="571">
        <f ca="1"/>
        <v>45929</v>
      </c>
      <c r="B186" vm="1075">
        <f ca="1"/>
        <v>3.22</v>
      </c>
      <c r="C186" vm="2993">
        <f ca="1"/>
        <v>3.2349999999999999</v>
      </c>
      <c r="D186" vm="1055">
        <f ca="1"/>
        <v>3.3</v>
      </c>
      <c r="E186" vm="1077">
        <f ca="1"/>
        <v>3.15</v>
      </c>
      <c r="F186" vm="2994">
        <f ca="1"/>
        <v>4835659</v>
      </c>
    </row>
    <row r="187" spans="1:6" x14ac:dyDescent="0.25">
      <c r="A187" vm="573">
        <f ca="1"/>
        <v>45930</v>
      </c>
      <c r="B187" vm="1201">
        <f ca="1"/>
        <v>3.7</v>
      </c>
      <c r="C187" vm="1117">
        <f ca="1"/>
        <v>3.38</v>
      </c>
      <c r="D187" vm="1249">
        <f ca="1"/>
        <v>3.95</v>
      </c>
      <c r="E187" vm="1067">
        <f ca="1"/>
        <v>3.31</v>
      </c>
      <c r="F187" vm="2995">
        <f ca="1"/>
        <v>20449928</v>
      </c>
    </row>
    <row r="188" spans="1:6" x14ac:dyDescent="0.25">
      <c r="A188" vm="575">
        <f ca="1"/>
        <v>45931</v>
      </c>
      <c r="B188" vm="1201">
        <f ca="1"/>
        <v>3.7</v>
      </c>
      <c r="C188" vm="2996">
        <f ca="1"/>
        <v>3.7349999999999999</v>
      </c>
      <c r="D188" vm="2970">
        <f ca="1"/>
        <v>3.83</v>
      </c>
      <c r="E188" vm="1208">
        <f ca="1"/>
        <v>3.53</v>
      </c>
      <c r="F188" vm="2997">
        <f ca="1"/>
        <v>8810083</v>
      </c>
    </row>
    <row r="189" spans="1:6" x14ac:dyDescent="0.25">
      <c r="A189" vm="576">
        <f ca="1"/>
        <v>45932</v>
      </c>
      <c r="B189" vm="1248">
        <f ca="1"/>
        <v>3.71</v>
      </c>
      <c r="C189" vm="2998">
        <f ca="1"/>
        <v>3.74</v>
      </c>
      <c r="D189" vm="1218">
        <f ca="1"/>
        <v>3.77</v>
      </c>
      <c r="E189" vm="2999">
        <f ca="1"/>
        <v>3.6040999999999999</v>
      </c>
      <c r="F189" vm="3000">
        <f ca="1"/>
        <v>5117834</v>
      </c>
    </row>
    <row r="190" spans="1:6" x14ac:dyDescent="0.25">
      <c r="A190" vm="578">
        <f ca="1"/>
        <v>45933</v>
      </c>
      <c r="B190" vm="1248">
        <f ca="1"/>
        <v>3.71</v>
      </c>
      <c r="C190" vm="1205">
        <f ca="1"/>
        <v>3.75</v>
      </c>
      <c r="D190" vm="3001">
        <f ca="1"/>
        <v>3.85</v>
      </c>
      <c r="E190" vm="3002">
        <f ca="1"/>
        <v>3.665</v>
      </c>
      <c r="F190" vm="3003">
        <f ca="1"/>
        <v>7086736</v>
      </c>
    </row>
    <row r="191" spans="1:6" x14ac:dyDescent="0.25">
      <c r="A191" vm="580">
        <f ca="1"/>
        <v>45936</v>
      </c>
      <c r="B191" vm="1218">
        <f ca="1"/>
        <v>3.77</v>
      </c>
      <c r="C191" vm="1191">
        <f ca="1"/>
        <v>3.78</v>
      </c>
      <c r="D191" vm="1219">
        <f ca="1"/>
        <v>3.875</v>
      </c>
      <c r="E191" vm="3004">
        <f ca="1"/>
        <v>3.645</v>
      </c>
      <c r="F191" vm="3005">
        <f ca="1"/>
        <v>6115643</v>
      </c>
    </row>
    <row r="192" spans="1:6" x14ac:dyDescent="0.25">
      <c r="A192" vm="582">
        <f ca="1"/>
        <v>45937</v>
      </c>
      <c r="B192" vm="1764">
        <f ca="1"/>
        <v>3.66</v>
      </c>
      <c r="C192" vm="1188">
        <f ca="1"/>
        <v>3.76</v>
      </c>
      <c r="D192" vm="3006">
        <f ca="1"/>
        <v>3.7898000000000001</v>
      </c>
      <c r="E192" vm="2070">
        <f ca="1"/>
        <v>3.5150000000000001</v>
      </c>
      <c r="F192" vm="3007">
        <f ca="1"/>
        <v>5544435</v>
      </c>
    </row>
    <row r="193" spans="1:6" x14ac:dyDescent="0.25">
      <c r="A193" vm="584">
        <f ca="1"/>
        <v>45938</v>
      </c>
      <c r="B193" vm="1190">
        <f ca="1"/>
        <v>3.72</v>
      </c>
      <c r="C193" vm="1200">
        <f ca="1"/>
        <v>3.64</v>
      </c>
      <c r="D193" vm="3008">
        <f ca="1"/>
        <v>3.7949999999999999</v>
      </c>
      <c r="E193" vm="3009">
        <f ca="1"/>
        <v>3.62</v>
      </c>
      <c r="F193" vm="3010">
        <f ca="1"/>
        <v>5818276</v>
      </c>
    </row>
    <row r="194" spans="1:6" x14ac:dyDescent="0.25">
      <c r="A194" vm="585">
        <f ca="1"/>
        <v>45939</v>
      </c>
      <c r="B194" vm="1205">
        <f ca="1"/>
        <v>3.75</v>
      </c>
      <c r="C194" vm="1190">
        <f ca="1"/>
        <v>3.72</v>
      </c>
      <c r="D194" vm="3011">
        <f ca="1"/>
        <v>3.81</v>
      </c>
      <c r="E194" vm="3012">
        <f ca="1"/>
        <v>3.6412</v>
      </c>
      <c r="F194" vm="3013">
        <f ca="1"/>
        <v>6680842</v>
      </c>
    </row>
    <row r="195" spans="1:6" x14ac:dyDescent="0.25">
      <c r="A195" vm="587">
        <f ca="1"/>
        <v>45940</v>
      </c>
      <c r="B195" vm="2998">
        <f ca="1"/>
        <v>3.74</v>
      </c>
      <c r="C195" vm="3011">
        <f ca="1"/>
        <v>3.81</v>
      </c>
      <c r="D195" vm="2969">
        <f ca="1"/>
        <v>3.82</v>
      </c>
      <c r="E195" vm="3014">
        <f ca="1"/>
        <v>3.5539000000000001</v>
      </c>
      <c r="F195" vm="3015">
        <f ca="1"/>
        <v>6099936</v>
      </c>
    </row>
    <row r="196" spans="1:6" x14ac:dyDescent="0.25">
      <c r="A196" vm="590">
        <f ca="1"/>
        <v>45943</v>
      </c>
      <c r="B196" vm="3016">
        <f ca="1"/>
        <v>3.68</v>
      </c>
      <c r="C196" vm="2969">
        <f ca="1"/>
        <v>3.82</v>
      </c>
      <c r="D196" vm="2969">
        <f ca="1"/>
        <v>3.82</v>
      </c>
      <c r="E196" vm="1119">
        <f ca="1"/>
        <v>3.6</v>
      </c>
      <c r="F196" vm="3017">
        <f ca="1"/>
        <v>4413250</v>
      </c>
    </row>
    <row r="197" spans="1:6" x14ac:dyDescent="0.25">
      <c r="A197" vm="592">
        <f ca="1"/>
        <v>45944</v>
      </c>
      <c r="B197" vm="1062">
        <f ca="1"/>
        <v>3.55</v>
      </c>
      <c r="C197" vm="1764">
        <f ca="1"/>
        <v>3.66</v>
      </c>
      <c r="D197" vm="1764">
        <f ca="1"/>
        <v>3.66</v>
      </c>
      <c r="E197" vm="1124">
        <f ca="1"/>
        <v>3.5</v>
      </c>
      <c r="F197" vm="3018">
        <f ca="1"/>
        <v>5430014</v>
      </c>
    </row>
    <row r="198" spans="1:6" x14ac:dyDescent="0.25">
      <c r="A198" vm="594">
        <f ca="1"/>
        <v>45945</v>
      </c>
      <c r="B198" vm="1218">
        <f ca="1"/>
        <v>3.77</v>
      </c>
      <c r="C198" vm="1198">
        <f ca="1"/>
        <v>3.61</v>
      </c>
      <c r="D198" vm="1217">
        <f ca="1"/>
        <v>3.8</v>
      </c>
      <c r="E198" vm="1206">
        <f ca="1"/>
        <v>3.51</v>
      </c>
      <c r="F198" vm="3019">
        <f ca="1"/>
        <v>10814191</v>
      </c>
    </row>
    <row r="199" spans="1:6" x14ac:dyDescent="0.25">
      <c r="A199" vm="596">
        <f ca="1"/>
        <v>45946</v>
      </c>
      <c r="B199" vm="1199">
        <f ca="1"/>
        <v>3.63</v>
      </c>
      <c r="C199" vm="1217">
        <f ca="1"/>
        <v>3.8</v>
      </c>
      <c r="D199" vm="3020">
        <f ca="1"/>
        <v>3.835</v>
      </c>
      <c r="E199" vm="1204">
        <f ca="1"/>
        <v>3.59</v>
      </c>
      <c r="F199" vm="3021">
        <f ca="1"/>
        <v>6775947</v>
      </c>
    </row>
    <row r="200" spans="1:6" x14ac:dyDescent="0.25">
      <c r="A200" vm="597">
        <f ca="1"/>
        <v>45947</v>
      </c>
      <c r="B200" vm="1052">
        <f ca="1"/>
        <v>3.41</v>
      </c>
      <c r="C200" vm="1062">
        <f ca="1"/>
        <v>3.55</v>
      </c>
      <c r="D200" vm="3022">
        <f ca="1"/>
        <v>3.6150000000000002</v>
      </c>
      <c r="E200" vm="1102">
        <f ca="1"/>
        <v>3.36</v>
      </c>
      <c r="F200" vm="3023">
        <f ca="1"/>
        <v>5843074</v>
      </c>
    </row>
    <row r="201" spans="1:6" x14ac:dyDescent="0.25">
      <c r="A201" vm="600">
        <f ca="1"/>
        <v>45950</v>
      </c>
      <c r="B201" vm="1201">
        <f ca="1"/>
        <v>3.7</v>
      </c>
      <c r="C201" vm="1061">
        <f ca="1"/>
        <v>3.47</v>
      </c>
      <c r="D201" vm="3024">
        <f ca="1"/>
        <v>3.7050000000000001</v>
      </c>
      <c r="E201" vm="1123">
        <f ca="1"/>
        <v>3.45</v>
      </c>
      <c r="F201" vm="3025">
        <f ca="1"/>
        <v>8482145</v>
      </c>
    </row>
    <row r="202" spans="1:6" x14ac:dyDescent="0.25">
      <c r="A202" vm="601">
        <f ca="1"/>
        <v>45951</v>
      </c>
      <c r="B202" vm="1183">
        <f ca="1"/>
        <v>4.21</v>
      </c>
      <c r="C202" vm="3016">
        <f ca="1"/>
        <v>3.68</v>
      </c>
      <c r="D202" vm="1183">
        <f ca="1"/>
        <v>4.21</v>
      </c>
      <c r="E202" vm="3026">
        <f ca="1"/>
        <v>3.6644999999999999</v>
      </c>
      <c r="F202" vm="3027">
        <f ca="1"/>
        <v>13149103</v>
      </c>
    </row>
    <row r="203" spans="1:6" x14ac:dyDescent="0.25">
      <c r="A203" vm="604">
        <f ca="1"/>
        <v>45952</v>
      </c>
      <c r="B203" vm="1162">
        <f ca="1"/>
        <v>4.1500000000000004</v>
      </c>
      <c r="C203" vm="3028">
        <f ca="1"/>
        <v>4.13</v>
      </c>
      <c r="D203" vm="1229">
        <f ca="1"/>
        <v>4.32</v>
      </c>
      <c r="E203" vm="3029">
        <f ca="1"/>
        <v>3.9211999999999998</v>
      </c>
      <c r="F203" vm="3030">
        <f ca="1"/>
        <v>10738581</v>
      </c>
    </row>
    <row r="204" spans="1:6" x14ac:dyDescent="0.25">
      <c r="A204" vm="606">
        <f ca="1"/>
        <v>45953</v>
      </c>
      <c r="B204" vm="1238">
        <f ca="1"/>
        <v>4.3899999999999997</v>
      </c>
      <c r="C204" vm="1231">
        <f ca="1"/>
        <v>4.3099999999999996</v>
      </c>
      <c r="D204" vm="1255">
        <f ca="1"/>
        <v>4.4000000000000004</v>
      </c>
      <c r="E204" vm="1178">
        <f ca="1"/>
        <v>4.085</v>
      </c>
      <c r="F204" vm="3031">
        <f ca="1"/>
        <v>7824752</v>
      </c>
    </row>
    <row r="205" spans="1:6" x14ac:dyDescent="0.25">
      <c r="A205" vm="608">
        <f ca="1"/>
        <v>45954</v>
      </c>
      <c r="B205" vm="1224">
        <f ca="1"/>
        <v>4.8499999999999996</v>
      </c>
      <c r="C205" vm="2137">
        <f ca="1"/>
        <v>4.42</v>
      </c>
      <c r="D205" vm="1876">
        <f ca="1"/>
        <v>4.87</v>
      </c>
      <c r="E205" vm="1223">
        <f ca="1"/>
        <v>4.41</v>
      </c>
      <c r="F205" vm="3032">
        <f ca="1"/>
        <v>9601941</v>
      </c>
    </row>
    <row r="206" spans="1:6" x14ac:dyDescent="0.25">
      <c r="A206" vm="610">
        <f ca="1"/>
        <v>45957</v>
      </c>
      <c r="B206" vm="2270">
        <f ca="1"/>
        <v>5.04</v>
      </c>
      <c r="C206" vm="2230">
        <f ca="1"/>
        <v>4.92</v>
      </c>
      <c r="D206" vm="1297">
        <f ca="1"/>
        <v>5.12</v>
      </c>
      <c r="E206" vm="3033">
        <f ca="1"/>
        <v>4.82</v>
      </c>
      <c r="F206" vm="3034">
        <f ca="1"/>
        <v>8729747</v>
      </c>
    </row>
    <row r="207" spans="1:6" x14ac:dyDescent="0.25">
      <c r="A207" vm="611">
        <f ca="1"/>
        <v>45958</v>
      </c>
      <c r="B207" vm="2226">
        <f ca="1"/>
        <v>5.37</v>
      </c>
      <c r="C207" vm="2270">
        <f ca="1"/>
        <v>5.04</v>
      </c>
      <c r="D207" vm="3035">
        <f ca="1"/>
        <v>5.4450000000000003</v>
      </c>
      <c r="E207" vm="1875">
        <f ca="1"/>
        <v>5.0199999999999996</v>
      </c>
      <c r="F207" vm="3036">
        <f ca="1"/>
        <v>11414470</v>
      </c>
    </row>
    <row r="208" spans="1:6" x14ac:dyDescent="0.25">
      <c r="A208" vm="614">
        <f ca="1"/>
        <v>45959</v>
      </c>
      <c r="B208" vm="2254">
        <f ca="1"/>
        <v>5.26</v>
      </c>
      <c r="C208" vm="1846">
        <f ca="1"/>
        <v>5.4</v>
      </c>
      <c r="D208" vm="1893">
        <f ca="1"/>
        <v>5.55</v>
      </c>
      <c r="E208" vm="2213">
        <f ca="1"/>
        <v>5.1100000000000003</v>
      </c>
      <c r="F208" vm="3037">
        <f ca="1"/>
        <v>18021429</v>
      </c>
    </row>
    <row r="209" spans="1:6" x14ac:dyDescent="0.25">
      <c r="A209" vm="618">
        <f ca="1"/>
        <v>45960</v>
      </c>
      <c r="B209" vm="1293">
        <f ca="1"/>
        <v>5.15</v>
      </c>
      <c r="C209" vm="2213">
        <f ca="1"/>
        <v>5.1100000000000003</v>
      </c>
      <c r="D209" vm="1846">
        <f ca="1"/>
        <v>5.4</v>
      </c>
      <c r="E209" vm="2213">
        <f ca="1"/>
        <v>5.1100000000000003</v>
      </c>
      <c r="F209" vm="3038">
        <f ca="1"/>
        <v>11450821</v>
      </c>
    </row>
    <row r="210" spans="1:6" x14ac:dyDescent="0.25">
      <c r="A210" vm="621">
        <f ca="1"/>
        <v>45961</v>
      </c>
      <c r="B210" vm="2257">
        <f ca="1"/>
        <v>5.22</v>
      </c>
      <c r="C210" vm="1297">
        <f ca="1"/>
        <v>5.12</v>
      </c>
      <c r="D210" vm="3039">
        <f ca="1"/>
        <v>5.3265000000000002</v>
      </c>
      <c r="E210" vm="1164">
        <f ca="1"/>
        <v>5.0599999999999996</v>
      </c>
      <c r="F210" vm="3040">
        <f ca="1"/>
        <v>6919097</v>
      </c>
    </row>
    <row r="211" spans="1:6" x14ac:dyDescent="0.25">
      <c r="A211" vm="622">
        <f ca="1"/>
        <v>45964</v>
      </c>
      <c r="B211" vm="1296">
        <f ca="1"/>
        <v>5.17</v>
      </c>
      <c r="C211" vm="1889">
        <f ca="1"/>
        <v>5.34</v>
      </c>
      <c r="D211" vm="1295">
        <f ca="1"/>
        <v>5.38</v>
      </c>
      <c r="E211" vm="3041">
        <f ca="1"/>
        <v>5.0999999999999996</v>
      </c>
      <c r="F211" vm="3042">
        <f ca="1"/>
        <v>7443612</v>
      </c>
    </row>
    <row r="212" spans="1:6" x14ac:dyDescent="0.25">
      <c r="A212" vm="623">
        <f ca="1"/>
        <v>45965</v>
      </c>
      <c r="B212" vm="3043">
        <f ca="1"/>
        <v>4.83</v>
      </c>
      <c r="C212" vm="1293">
        <f ca="1"/>
        <v>5.15</v>
      </c>
      <c r="D212" vm="1300">
        <f ca="1"/>
        <v>5.19</v>
      </c>
      <c r="E212" vm="3044">
        <f ca="1"/>
        <v>3.92</v>
      </c>
      <c r="F212" vm="3045">
        <f ca="1"/>
        <v>21050538</v>
      </c>
    </row>
    <row r="213" spans="1:6" x14ac:dyDescent="0.25">
      <c r="A213" vm="626">
        <f ca="1"/>
        <v>45966</v>
      </c>
      <c r="B213" vm="2230">
        <f ca="1"/>
        <v>4.92</v>
      </c>
      <c r="C213" vm="3046">
        <f ca="1"/>
        <v>4.7</v>
      </c>
      <c r="D213" vm="3047">
        <f ca="1"/>
        <v>4.9950000000000001</v>
      </c>
      <c r="E213" vm="1237">
        <f ca="1"/>
        <v>4.5199999999999996</v>
      </c>
      <c r="F213" vm="3048">
        <f ca="1"/>
        <v>6581033</v>
      </c>
    </row>
    <row r="214" spans="1:6" x14ac:dyDescent="0.25">
      <c r="A214" vm="627">
        <f ca="1"/>
        <v>45967</v>
      </c>
      <c r="B214" vm="1875">
        <f ca="1"/>
        <v>5.0199999999999996</v>
      </c>
      <c r="C214" vm="1876">
        <f ca="1"/>
        <v>4.87</v>
      </c>
      <c r="D214" vm="1296">
        <f ca="1"/>
        <v>5.17</v>
      </c>
      <c r="E214" vm="1262">
        <f ca="1"/>
        <v>4.8</v>
      </c>
      <c r="F214" vm="3049">
        <f ca="1"/>
        <v>6222036</v>
      </c>
    </row>
    <row r="215" spans="1:6" x14ac:dyDescent="0.25">
      <c r="A215" vm="629">
        <f ca="1"/>
        <v>45968</v>
      </c>
      <c r="B215" vm="3050">
        <f ca="1"/>
        <v>4.7300000000000004</v>
      </c>
      <c r="C215" vm="3051">
        <f ca="1"/>
        <v>4.8899999999999997</v>
      </c>
      <c r="D215" vm="2270">
        <f ca="1"/>
        <v>5.04</v>
      </c>
      <c r="E215" vm="1232">
        <f ca="1"/>
        <v>4.45</v>
      </c>
      <c r="F215" vm="3052">
        <f ca="1"/>
        <v>6833028</v>
      </c>
    </row>
    <row r="216" spans="1:6" x14ac:dyDescent="0.25">
      <c r="A216" vm="631">
        <f ca="1"/>
        <v>45971</v>
      </c>
      <c r="B216" vm="2239">
        <f ca="1"/>
        <v>4.6399999999999997</v>
      </c>
      <c r="C216" vm="3053">
        <f ca="1"/>
        <v>4.8099999999999996</v>
      </c>
      <c r="D216" vm="1876">
        <f ca="1"/>
        <v>4.87</v>
      </c>
      <c r="E216" vm="1230">
        <f ca="1"/>
        <v>4.5599999999999996</v>
      </c>
      <c r="F216" vm="3054">
        <f ca="1"/>
        <v>5425297</v>
      </c>
    </row>
    <row r="217" spans="1:6" x14ac:dyDescent="0.25">
      <c r="A217" vm="632">
        <f ca="1"/>
        <v>45972</v>
      </c>
      <c r="B217" vm="1163">
        <f ca="1"/>
        <v>4.9800000000000004</v>
      </c>
      <c r="C217" vm="2242">
        <f ca="1"/>
        <v>4.5999999999999996</v>
      </c>
      <c r="D217" vm="1774">
        <f ca="1"/>
        <v>5.03</v>
      </c>
      <c r="E217" vm="1522">
        <f ca="1"/>
        <v>4.53</v>
      </c>
      <c r="F217" vm="3055">
        <f ca="1"/>
        <v>4863077</v>
      </c>
    </row>
    <row r="218" spans="1:6" x14ac:dyDescent="0.25">
      <c r="A218" vm="634">
        <f ca="1"/>
        <v>45973</v>
      </c>
      <c r="B218" vm="2263">
        <f ca="1"/>
        <v>4.93</v>
      </c>
      <c r="C218" vm="2231">
        <f ca="1"/>
        <v>5</v>
      </c>
      <c r="D218" vm="1293">
        <f ca="1"/>
        <v>5.15</v>
      </c>
      <c r="E218" vm="3043">
        <f ca="1"/>
        <v>4.83</v>
      </c>
      <c r="F218" vm="3056">
        <f ca="1"/>
        <v>6539848</v>
      </c>
    </row>
    <row r="219" spans="1:6" x14ac:dyDescent="0.25">
      <c r="A219" vm="636">
        <f ca="1"/>
        <v>45974</v>
      </c>
      <c r="B219" vm="1220">
        <f ca="1"/>
        <v>4.6900000000000004</v>
      </c>
      <c r="C219" vm="1224">
        <f ca="1"/>
        <v>4.8499999999999996</v>
      </c>
      <c r="D219" vm="3057">
        <f ca="1"/>
        <v>4.9450000000000003</v>
      </c>
      <c r="E219" vm="3058">
        <f ca="1"/>
        <v>4.66</v>
      </c>
      <c r="F219" vm="3059">
        <f ca="1"/>
        <v>5770534</v>
      </c>
    </row>
    <row r="220" spans="1:6" x14ac:dyDescent="0.25">
      <c r="A220" vm="637">
        <f ca="1"/>
        <v>45975</v>
      </c>
      <c r="B220" vm="2245">
        <f ca="1"/>
        <v>4.8600000000000003</v>
      </c>
      <c r="C220" vm="1159">
        <f ca="1"/>
        <v>4.57</v>
      </c>
      <c r="D220" vm="1309">
        <f ca="1"/>
        <v>5.35</v>
      </c>
      <c r="E220" vm="1522">
        <f ca="1"/>
        <v>4.53</v>
      </c>
      <c r="F220" vm="3060">
        <f ca="1"/>
        <v>11448466</v>
      </c>
    </row>
    <row r="221" spans="1:6" x14ac:dyDescent="0.25">
      <c r="A221" vm="639">
        <f ca="1"/>
        <v>45978</v>
      </c>
      <c r="B221" vm="1160">
        <f ca="1"/>
        <v>4.67</v>
      </c>
      <c r="C221" vm="3053">
        <f ca="1"/>
        <v>4.8099999999999996</v>
      </c>
      <c r="D221" vm="3061">
        <f ca="1"/>
        <v>4.9124999999999996</v>
      </c>
      <c r="E221" vm="3062">
        <f ca="1"/>
        <v>4.6150000000000002</v>
      </c>
      <c r="F221" vm="3063">
        <f ca="1"/>
        <v>6985525</v>
      </c>
    </row>
    <row r="222" spans="1:6" x14ac:dyDescent="0.25">
      <c r="A222" vm="643">
        <f ca="1"/>
        <v>45979</v>
      </c>
      <c r="B222" vm="1262">
        <f ca="1"/>
        <v>4.8</v>
      </c>
      <c r="C222" vm="3064">
        <f ca="1"/>
        <v>4.6500000000000004</v>
      </c>
      <c r="D222" vm="1267">
        <f ca="1"/>
        <v>4.95</v>
      </c>
      <c r="E222" vm="1257">
        <f ca="1"/>
        <v>4.59</v>
      </c>
      <c r="F222" vm="3065">
        <f ca="1"/>
        <v>5895769</v>
      </c>
    </row>
    <row r="223" spans="1:6" x14ac:dyDescent="0.25">
      <c r="A223" vm="644">
        <f ca="1"/>
        <v>45980</v>
      </c>
      <c r="B223" vm="2161">
        <f ca="1"/>
        <v>7.15</v>
      </c>
      <c r="C223" vm="1272">
        <f ca="1"/>
        <v>4.99</v>
      </c>
      <c r="D223" vm="1789">
        <f ca="1"/>
        <v>7.35</v>
      </c>
      <c r="E223" vm="3066">
        <f ca="1"/>
        <v>4.9400000000000004</v>
      </c>
      <c r="F223" vm="3067">
        <f ca="1"/>
        <v>59110306</v>
      </c>
    </row>
    <row r="224" spans="1:6" x14ac:dyDescent="0.25">
      <c r="A224" vm="647">
        <f ca="1"/>
        <v>45981</v>
      </c>
      <c r="B224" vm="2192">
        <f ca="1"/>
        <v>7.01</v>
      </c>
      <c r="C224" vm="3068">
        <f ca="1"/>
        <v>7.1950000000000003</v>
      </c>
      <c r="D224" vm="1834">
        <f ca="1"/>
        <v>7.5</v>
      </c>
      <c r="E224" vm="1353">
        <f ca="1"/>
        <v>6.85</v>
      </c>
      <c r="F224" vm="3069">
        <f ca="1"/>
        <v>20245471</v>
      </c>
    </row>
    <row r="225" spans="1:6" x14ac:dyDescent="0.25">
      <c r="A225" vm="648">
        <f ca="1"/>
        <v>45982</v>
      </c>
      <c r="B225" vm="1850">
        <f ca="1"/>
        <v>6.99</v>
      </c>
      <c r="C225" vm="2295">
        <f ca="1"/>
        <v>6.94</v>
      </c>
      <c r="D225" vm="234">
        <f ca="1"/>
        <v>7.14</v>
      </c>
      <c r="E225" vm="2472">
        <f ca="1"/>
        <v>6.51</v>
      </c>
      <c r="F225" vm="3070">
        <f ca="1"/>
        <v>11224695</v>
      </c>
    </row>
    <row r="226" spans="1:6" x14ac:dyDescent="0.25">
      <c r="A226" vm="650">
        <f ca="1"/>
        <v>45985</v>
      </c>
      <c r="B226" vm="1936">
        <f ca="1"/>
        <v>7.41</v>
      </c>
      <c r="C226" vm="1880">
        <f ca="1"/>
        <v>7.08</v>
      </c>
      <c r="D226" vm="3071">
        <f ca="1"/>
        <v>7.4850000000000003</v>
      </c>
      <c r="E226" vm="2163">
        <f ca="1"/>
        <v>7</v>
      </c>
      <c r="F226" vm="3072">
        <f ca="1"/>
        <v>9024381</v>
      </c>
    </row>
    <row r="227" spans="1:6" x14ac:dyDescent="0.25">
      <c r="A227" vm="651">
        <f ca="1"/>
        <v>45986</v>
      </c>
      <c r="B227" vm="232">
        <f ca="1"/>
        <v>7.88</v>
      </c>
      <c r="C227" vm="1839">
        <f ca="1"/>
        <v>7.47</v>
      </c>
      <c r="D227" vm="1415">
        <f ca="1"/>
        <v>7.93</v>
      </c>
      <c r="E227" vm="1543">
        <f ca="1"/>
        <v>7.32</v>
      </c>
      <c r="F227" vm="3073">
        <f ca="1"/>
        <v>7724687</v>
      </c>
    </row>
    <row r="228" spans="1:6" x14ac:dyDescent="0.25">
      <c r="A228" vm="653">
        <f ca="1"/>
        <v>45987</v>
      </c>
      <c r="B228" vm="1898">
        <f ca="1"/>
        <v>8.01</v>
      </c>
      <c r="C228" vm="1413">
        <f ca="1"/>
        <v>7.87</v>
      </c>
      <c r="D228" vm="297">
        <f ca="1"/>
        <v>8.24</v>
      </c>
      <c r="E228" vm="228">
        <f ca="1"/>
        <v>7.82</v>
      </c>
      <c r="F228" vm="3074">
        <f ca="1"/>
        <v>6995751</v>
      </c>
    </row>
    <row r="229" spans="1:6" x14ac:dyDescent="0.25">
      <c r="A229" vm="655">
        <f ca="1"/>
        <v>45989</v>
      </c>
      <c r="B229" vm="313">
        <f ca="1"/>
        <v>8.0299999999999994</v>
      </c>
      <c r="C229" vm="1871">
        <f ca="1"/>
        <v>8.1199999999999992</v>
      </c>
      <c r="D229" vm="615">
        <f ca="1"/>
        <v>8.14</v>
      </c>
      <c r="E229" vm="1808">
        <f ca="1"/>
        <v>7.91</v>
      </c>
      <c r="F229" vm="3075">
        <f ca="1"/>
        <v>3191839</v>
      </c>
    </row>
    <row r="230" spans="1:6" x14ac:dyDescent="0.25">
      <c r="A230" vm="656">
        <f ca="1"/>
        <v>45992</v>
      </c>
      <c r="B230" vm="232">
        <f ca="1"/>
        <v>7.88</v>
      </c>
      <c r="C230" vm="1415">
        <f ca="1"/>
        <v>7.93</v>
      </c>
      <c r="D230" vm="3076">
        <f ca="1"/>
        <v>8.0350999999999999</v>
      </c>
      <c r="E230" vm="1791">
        <f ca="1"/>
        <v>7.75</v>
      </c>
      <c r="F230" vm="3077">
        <f ca="1"/>
        <v>5164026</v>
      </c>
    </row>
    <row r="231" spans="1:6" x14ac:dyDescent="0.25">
      <c r="A231" vm="659">
        <f ca="1"/>
        <v>45993</v>
      </c>
      <c r="B231" vm="1839">
        <f ca="1"/>
        <v>7.47</v>
      </c>
      <c r="C231" vm="232">
        <f ca="1"/>
        <v>7.88</v>
      </c>
      <c r="D231" vm="1415">
        <f ca="1"/>
        <v>7.93</v>
      </c>
      <c r="E231" vm="2182">
        <f ca="1"/>
        <v>7.4550000000000001</v>
      </c>
      <c r="F231" vm="3078">
        <f ca="1"/>
        <v>4788357</v>
      </c>
    </row>
    <row r="232" spans="1:6" x14ac:dyDescent="0.25">
      <c r="A232" vm="660">
        <f ca="1"/>
        <v>45994</v>
      </c>
      <c r="B232" vm="311">
        <f ca="1"/>
        <v>8.3699999999999992</v>
      </c>
      <c r="C232" vm="1935">
        <f ca="1"/>
        <v>7.7</v>
      </c>
      <c r="D232" vm="3079">
        <f ca="1"/>
        <v>8.3849999999999998</v>
      </c>
      <c r="E232" vm="1379">
        <f ca="1"/>
        <v>7.55</v>
      </c>
      <c r="F232" vm="3080">
        <f ca="1"/>
        <v>8494176</v>
      </c>
    </row>
    <row r="233" spans="1:6" x14ac:dyDescent="0.25">
      <c r="A233" vm="662">
        <f ca="1"/>
        <v>45995</v>
      </c>
      <c r="B233" vm="1412">
        <f ca="1"/>
        <v>8.31</v>
      </c>
      <c r="C233" vm="272">
        <f ca="1"/>
        <v>8.3000000000000007</v>
      </c>
      <c r="D233" vm="458">
        <f ca="1"/>
        <v>8.5649999999999995</v>
      </c>
      <c r="E233" vm="309">
        <f ca="1"/>
        <v>8.11</v>
      </c>
      <c r="F233" vm="3081">
        <f ca="1"/>
        <v>7244893</v>
      </c>
    </row>
    <row r="234" spans="1:6" x14ac:dyDescent="0.25">
      <c r="A234" vm="665">
        <f ca="1"/>
        <v>45996</v>
      </c>
      <c r="B234" vm="364">
        <f ca="1"/>
        <v>8.5500000000000007</v>
      </c>
      <c r="C234" vm="352">
        <f ca="1"/>
        <v>8.33</v>
      </c>
      <c r="D234" vm="362">
        <f ca="1"/>
        <v>8.6999999999999993</v>
      </c>
      <c r="E234" vm="619">
        <f ca="1"/>
        <v>8.15</v>
      </c>
      <c r="F234" vm="3082">
        <f ca="1"/>
        <v>6080102</v>
      </c>
    </row>
    <row r="235" spans="1:6" x14ac:dyDescent="0.25">
      <c r="A235" vm="668">
        <f ca="1"/>
        <v>45999</v>
      </c>
      <c r="B235" vm="351">
        <f ca="1"/>
        <v>8.58</v>
      </c>
      <c r="C235" vm="3083">
        <f ca="1"/>
        <v>8.7650000000000006</v>
      </c>
      <c r="D235" vm="3084">
        <f ca="1"/>
        <v>8.9522999999999993</v>
      </c>
      <c r="E235" vm="312">
        <f ca="1"/>
        <v>8.44</v>
      </c>
      <c r="F235" vm="3085">
        <f ca="1"/>
        <v>7571047</v>
      </c>
    </row>
    <row r="236" spans="1:6" x14ac:dyDescent="0.25">
      <c r="A236" vm="671">
        <f ca="1"/>
        <v>46000</v>
      </c>
      <c r="B236" vm="617">
        <f ca="1"/>
        <v>8</v>
      </c>
      <c r="C236" vm="625">
        <f ca="1"/>
        <v>8.52</v>
      </c>
      <c r="D236" vm="553">
        <f ca="1"/>
        <v>8.81</v>
      </c>
      <c r="E236" vm="1418">
        <f ca="1"/>
        <v>7.9950000000000001</v>
      </c>
      <c r="F236" vm="3086">
        <f ca="1"/>
        <v>5916518</v>
      </c>
    </row>
    <row r="237" spans="1:6" x14ac:dyDescent="0.25">
      <c r="A237" vm="675">
        <f ca="1"/>
        <v>46001</v>
      </c>
      <c r="B237" vm="1421">
        <f ca="1"/>
        <v>7.84</v>
      </c>
      <c r="C237" vm="308">
        <f ca="1"/>
        <v>7.94</v>
      </c>
      <c r="D237" vm="624">
        <f ca="1"/>
        <v>8.0500000000000007</v>
      </c>
      <c r="E237" vm="1793">
        <f ca="1"/>
        <v>7.8</v>
      </c>
      <c r="F237" vm="3087">
        <f ca="1"/>
        <v>5995063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CRGY</vt:lpstr>
      <vt:lpstr>Ford</vt:lpstr>
      <vt:lpstr>NG</vt:lpstr>
      <vt:lpstr>BGC</vt:lpstr>
      <vt:lpstr>ONDS</vt:lpstr>
      <vt:lpstr>VNET</vt:lpstr>
      <vt:lpstr>GBTG</vt:lpstr>
      <vt:lpstr>TMC</vt:lpstr>
      <vt:lpstr>FOLD</vt:lpstr>
      <vt:lpstr>NUVB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Jackson</cp:lastModifiedBy>
  <dcterms:created xsi:type="dcterms:W3CDTF">2025-12-06T02:44:28Z</dcterms:created>
  <dcterms:modified xsi:type="dcterms:W3CDTF">2025-12-11T02:33:21Z</dcterms:modified>
</cp:coreProperties>
</file>